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M\Malaysian Elections\GE15 (National)\GE15 Results\SCORE SHEET PRU 15 (2022)\11. NEGERI SEMBILAN\"/>
    </mc:Choice>
  </mc:AlternateContent>
  <xr:revisionPtr revIDLastSave="0" documentId="13_ncr:1_{63142532-A6F3-4ACB-B574-1B3DAEF509C1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RaceWorksheet" sheetId="21" r:id="rId1"/>
    <sheet name="P130Rasah" sheetId="19" r:id="rId2"/>
    <sheet name="N21BktKepayang" sheetId="25" r:id="rId3"/>
    <sheet name="N22Rahang" sheetId="24" r:id="rId4"/>
    <sheet name="N23Mambau" sheetId="23" r:id="rId5"/>
    <sheet name="N24SerembanJaya" sheetId="22" r:id="rId6"/>
    <sheet name="Race&amp;Age" sheetId="20" r:id="rId7"/>
    <sheet name="Table 1" sheetId="1" r:id="rId8"/>
    <sheet name="Table 2" sheetId="2" r:id="rId9"/>
    <sheet name="Table 3" sheetId="3" r:id="rId10"/>
    <sheet name="Table 4" sheetId="4" r:id="rId11"/>
    <sheet name="Table 5" sheetId="5" r:id="rId12"/>
    <sheet name="Table 6" sheetId="6" r:id="rId13"/>
    <sheet name="Table 7" sheetId="7" r:id="rId14"/>
    <sheet name="Table 8" sheetId="8" r:id="rId15"/>
    <sheet name="Table 9" sheetId="9" r:id="rId16"/>
    <sheet name="Table 10" sheetId="10" r:id="rId17"/>
    <sheet name="Table 11" sheetId="11" r:id="rId18"/>
    <sheet name="Table 12" sheetId="12" r:id="rId19"/>
    <sheet name="Table 13" sheetId="13" r:id="rId20"/>
    <sheet name="Table 14" sheetId="14" r:id="rId21"/>
    <sheet name="Table 15" sheetId="15" r:id="rId22"/>
    <sheet name="Table 16" sheetId="16" r:id="rId23"/>
    <sheet name="Table 17" sheetId="17" r:id="rId24"/>
    <sheet name="Table 18" sheetId="18" r:id="rId25"/>
  </sheets>
  <definedNames>
    <definedName name="_xlnm._FilterDatabase" localSheetId="1" hidden="1">P130Rasah!$A$1:$Z$319</definedName>
    <definedName name="_xlnm._FilterDatabase" localSheetId="6" hidden="1">'Race&amp;Age'!$A$1:$Y$309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6" i="23" l="1"/>
  <c r="AB25" i="23"/>
  <c r="AB6" i="23"/>
  <c r="S46" i="23"/>
  <c r="S26" i="23"/>
  <c r="S6" i="23"/>
  <c r="AB45" i="24"/>
  <c r="AB26" i="24"/>
  <c r="AB6" i="24"/>
  <c r="S45" i="24"/>
  <c r="S26" i="24"/>
  <c r="S6" i="24"/>
  <c r="AB46" i="22"/>
  <c r="AB27" i="22"/>
  <c r="AB6" i="22"/>
  <c r="S46" i="22"/>
  <c r="S27" i="22"/>
  <c r="S6" i="22"/>
  <c r="AB48" i="25" l="1"/>
  <c r="AB29" i="25"/>
  <c r="AB8" i="25"/>
  <c r="S47" i="25"/>
  <c r="S27" i="25"/>
  <c r="S8" i="25"/>
  <c r="Z327" i="19"/>
  <c r="X327" i="19"/>
  <c r="W327" i="19"/>
  <c r="V327" i="19"/>
  <c r="U327" i="19"/>
  <c r="Z326" i="19"/>
  <c r="X326" i="19"/>
  <c r="W326" i="19"/>
  <c r="V326" i="19"/>
  <c r="U326" i="19"/>
  <c r="Z325" i="19"/>
  <c r="X325" i="19"/>
  <c r="W325" i="19"/>
  <c r="V325" i="19"/>
  <c r="U325" i="19"/>
  <c r="Z324" i="19"/>
  <c r="X324" i="19"/>
  <c r="W324" i="19"/>
  <c r="V324" i="19"/>
  <c r="U324" i="19"/>
  <c r="Z323" i="19"/>
  <c r="X323" i="19"/>
  <c r="W323" i="19"/>
  <c r="V323" i="19"/>
  <c r="U323" i="19"/>
  <c r="O327" i="19"/>
  <c r="N327" i="19"/>
  <c r="M327" i="19"/>
  <c r="O326" i="19"/>
  <c r="N326" i="19"/>
  <c r="M326" i="19"/>
  <c r="O325" i="19"/>
  <c r="N325" i="19"/>
  <c r="M325" i="19"/>
  <c r="O324" i="19"/>
  <c r="N324" i="19"/>
  <c r="M324" i="19"/>
  <c r="O323" i="19"/>
  <c r="N323" i="19"/>
  <c r="M323" i="19"/>
  <c r="T327" i="19"/>
  <c r="S327" i="19"/>
  <c r="R327" i="19"/>
  <c r="Q327" i="19"/>
  <c r="P327" i="19"/>
  <c r="T326" i="19"/>
  <c r="S326" i="19"/>
  <c r="R326" i="19"/>
  <c r="Q326" i="19"/>
  <c r="P326" i="19"/>
  <c r="T325" i="19"/>
  <c r="S325" i="19"/>
  <c r="R325" i="19"/>
  <c r="Q325" i="19"/>
  <c r="P325" i="19"/>
  <c r="T324" i="19"/>
  <c r="S324" i="19"/>
  <c r="R324" i="19"/>
  <c r="Q324" i="19"/>
  <c r="P324" i="19"/>
  <c r="T323" i="19"/>
  <c r="S323" i="19"/>
  <c r="R323" i="19"/>
  <c r="Q323" i="19"/>
  <c r="P323" i="19"/>
  <c r="L327" i="19"/>
  <c r="K327" i="19"/>
  <c r="J327" i="19"/>
  <c r="I327" i="19"/>
  <c r="H327" i="19"/>
  <c r="G327" i="19"/>
  <c r="F327" i="19"/>
  <c r="L326" i="19"/>
  <c r="K326" i="19"/>
  <c r="J326" i="19"/>
  <c r="I326" i="19"/>
  <c r="H326" i="19"/>
  <c r="G326" i="19"/>
  <c r="F326" i="19"/>
  <c r="L325" i="19"/>
  <c r="K325" i="19"/>
  <c r="J325" i="19"/>
  <c r="I325" i="19"/>
  <c r="H325" i="19"/>
  <c r="G325" i="19"/>
  <c r="F325" i="19"/>
  <c r="L324" i="19"/>
  <c r="K324" i="19"/>
  <c r="J324" i="19"/>
  <c r="I324" i="19"/>
  <c r="H324" i="19"/>
  <c r="G324" i="19"/>
  <c r="F324" i="19"/>
  <c r="L323" i="19"/>
  <c r="K323" i="19"/>
  <c r="J323" i="19"/>
  <c r="I323" i="19"/>
  <c r="H323" i="19"/>
  <c r="G323" i="19"/>
  <c r="F323" i="19"/>
  <c r="E327" i="19"/>
  <c r="E326" i="19"/>
  <c r="E325" i="19"/>
  <c r="E324" i="19"/>
  <c r="E323" i="19"/>
  <c r="Y321" i="19"/>
  <c r="T321" i="19"/>
  <c r="S321" i="19"/>
  <c r="X321" i="19" s="1"/>
  <c r="R321" i="19"/>
  <c r="W321" i="19" s="1"/>
  <c r="Q321" i="19"/>
  <c r="V321" i="19" s="1"/>
  <c r="P321" i="19"/>
  <c r="U321" i="19" s="1"/>
  <c r="L321" i="19"/>
  <c r="J321" i="19"/>
  <c r="I321" i="19"/>
  <c r="H321" i="19"/>
  <c r="G321" i="19"/>
  <c r="F321" i="19"/>
  <c r="E321" i="19"/>
  <c r="AO8" i="21"/>
  <c r="AF8" i="21"/>
  <c r="W48" i="21"/>
  <c r="W27" i="21"/>
  <c r="W8" i="21"/>
  <c r="N325" i="20"/>
  <c r="Y325" i="20" s="1"/>
  <c r="M325" i="20"/>
  <c r="L325" i="20"/>
  <c r="K325" i="20"/>
  <c r="P325" i="20" s="1"/>
  <c r="U325" i="20" s="1"/>
  <c r="J325" i="20"/>
  <c r="I325" i="20"/>
  <c r="R325" i="20" s="1"/>
  <c r="W325" i="20" s="1"/>
  <c r="H325" i="20"/>
  <c r="Q325" i="20" s="1"/>
  <c r="G325" i="20"/>
  <c r="F325" i="20"/>
  <c r="E325" i="20"/>
  <c r="Y308" i="20"/>
  <c r="R308" i="20"/>
  <c r="W308" i="20" s="1"/>
  <c r="Q308" i="20"/>
  <c r="V308" i="20" s="1"/>
  <c r="P308" i="20"/>
  <c r="U308" i="20" s="1"/>
  <c r="Y307" i="20"/>
  <c r="R307" i="20"/>
  <c r="W307" i="20" s="1"/>
  <c r="Q307" i="20"/>
  <c r="V307" i="20" s="1"/>
  <c r="P307" i="20"/>
  <c r="U307" i="20" s="1"/>
  <c r="Y306" i="20"/>
  <c r="R306" i="20"/>
  <c r="W306" i="20" s="1"/>
  <c r="Q306" i="20"/>
  <c r="V306" i="20" s="1"/>
  <c r="P306" i="20"/>
  <c r="U306" i="20" s="1"/>
  <c r="Y305" i="20"/>
  <c r="R305" i="20"/>
  <c r="W305" i="20" s="1"/>
  <c r="Q305" i="20"/>
  <c r="V305" i="20" s="1"/>
  <c r="P305" i="20"/>
  <c r="Y304" i="20"/>
  <c r="R304" i="20"/>
  <c r="Q304" i="20"/>
  <c r="V304" i="20" s="1"/>
  <c r="P304" i="20"/>
  <c r="U304" i="20" s="1"/>
  <c r="Y303" i="20"/>
  <c r="R303" i="20"/>
  <c r="W303" i="20" s="1"/>
  <c r="Q303" i="20"/>
  <c r="V303" i="20" s="1"/>
  <c r="P303" i="20"/>
  <c r="Y296" i="20"/>
  <c r="R296" i="20"/>
  <c r="W296" i="20" s="1"/>
  <c r="Q296" i="20"/>
  <c r="V296" i="20" s="1"/>
  <c r="P296" i="20"/>
  <c r="U296" i="20" s="1"/>
  <c r="Y295" i="20"/>
  <c r="R295" i="20"/>
  <c r="W295" i="20" s="1"/>
  <c r="Q295" i="20"/>
  <c r="V295" i="20" s="1"/>
  <c r="P295" i="20"/>
  <c r="U295" i="20" s="1"/>
  <c r="Y294" i="20"/>
  <c r="R294" i="20"/>
  <c r="W294" i="20" s="1"/>
  <c r="Q294" i="20"/>
  <c r="V294" i="20" s="1"/>
  <c r="P294" i="20"/>
  <c r="U294" i="20" s="1"/>
  <c r="Y293" i="20"/>
  <c r="R293" i="20"/>
  <c r="W293" i="20" s="1"/>
  <c r="Q293" i="20"/>
  <c r="V293" i="20" s="1"/>
  <c r="P293" i="20"/>
  <c r="Y292" i="20"/>
  <c r="R292" i="20"/>
  <c r="Q292" i="20"/>
  <c r="V292" i="20" s="1"/>
  <c r="P292" i="20"/>
  <c r="U292" i="20" s="1"/>
  <c r="Y291" i="20"/>
  <c r="R291" i="20"/>
  <c r="W291" i="20" s="1"/>
  <c r="Q291" i="20"/>
  <c r="V291" i="20" s="1"/>
  <c r="P291" i="20"/>
  <c r="Y290" i="20"/>
  <c r="R290" i="20"/>
  <c r="W290" i="20" s="1"/>
  <c r="Q290" i="20"/>
  <c r="V290" i="20" s="1"/>
  <c r="P290" i="20"/>
  <c r="U290" i="20" s="1"/>
  <c r="Y289" i="20"/>
  <c r="R289" i="20"/>
  <c r="W289" i="20" s="1"/>
  <c r="Q289" i="20"/>
  <c r="V289" i="20" s="1"/>
  <c r="P289" i="20"/>
  <c r="U289" i="20" s="1"/>
  <c r="Y288" i="20"/>
  <c r="R288" i="20"/>
  <c r="W288" i="20" s="1"/>
  <c r="Q288" i="20"/>
  <c r="V288" i="20" s="1"/>
  <c r="P288" i="20"/>
  <c r="U288" i="20" s="1"/>
  <c r="Y287" i="20"/>
  <c r="R287" i="20"/>
  <c r="W287" i="20" s="1"/>
  <c r="Q287" i="20"/>
  <c r="V287" i="20" s="1"/>
  <c r="P287" i="20"/>
  <c r="Y286" i="20"/>
  <c r="R286" i="20"/>
  <c r="Q286" i="20"/>
  <c r="V286" i="20" s="1"/>
  <c r="P286" i="20"/>
  <c r="U286" i="20" s="1"/>
  <c r="Y285" i="20"/>
  <c r="R285" i="20"/>
  <c r="W285" i="20" s="1"/>
  <c r="Q285" i="20"/>
  <c r="V285" i="20" s="1"/>
  <c r="P285" i="20"/>
  <c r="Y284" i="20"/>
  <c r="R284" i="20"/>
  <c r="W284" i="20" s="1"/>
  <c r="Q284" i="20"/>
  <c r="V284" i="20" s="1"/>
  <c r="P284" i="20"/>
  <c r="U284" i="20" s="1"/>
  <c r="Y283" i="20"/>
  <c r="R283" i="20"/>
  <c r="W283" i="20" s="1"/>
  <c r="Q283" i="20"/>
  <c r="V283" i="20" s="1"/>
  <c r="P283" i="20"/>
  <c r="U283" i="20" s="1"/>
  <c r="Y282" i="20"/>
  <c r="R282" i="20"/>
  <c r="W282" i="20" s="1"/>
  <c r="Q282" i="20"/>
  <c r="V282" i="20" s="1"/>
  <c r="P282" i="20"/>
  <c r="U282" i="20" s="1"/>
  <c r="Y281" i="20"/>
  <c r="R281" i="20"/>
  <c r="W281" i="20" s="1"/>
  <c r="Q281" i="20"/>
  <c r="V281" i="20" s="1"/>
  <c r="P281" i="20"/>
  <c r="Y280" i="20"/>
  <c r="R280" i="20"/>
  <c r="Q280" i="20"/>
  <c r="V280" i="20" s="1"/>
  <c r="P280" i="20"/>
  <c r="U280" i="20" s="1"/>
  <c r="Y279" i="20"/>
  <c r="R279" i="20"/>
  <c r="W279" i="20" s="1"/>
  <c r="Q279" i="20"/>
  <c r="V279" i="20" s="1"/>
  <c r="P279" i="20"/>
  <c r="Y278" i="20"/>
  <c r="R278" i="20"/>
  <c r="W278" i="20" s="1"/>
  <c r="Q278" i="20"/>
  <c r="V278" i="20" s="1"/>
  <c r="P278" i="20"/>
  <c r="U278" i="20" s="1"/>
  <c r="Y277" i="20"/>
  <c r="R277" i="20"/>
  <c r="W277" i="20" s="1"/>
  <c r="Q277" i="20"/>
  <c r="V277" i="20" s="1"/>
  <c r="P277" i="20"/>
  <c r="U277" i="20" s="1"/>
  <c r="Y276" i="20"/>
  <c r="R276" i="20"/>
  <c r="W276" i="20" s="1"/>
  <c r="Q276" i="20"/>
  <c r="V276" i="20" s="1"/>
  <c r="P276" i="20"/>
  <c r="U276" i="20" s="1"/>
  <c r="Y275" i="20"/>
  <c r="R275" i="20"/>
  <c r="W275" i="20" s="1"/>
  <c r="Q275" i="20"/>
  <c r="V275" i="20" s="1"/>
  <c r="P275" i="20"/>
  <c r="Y302" i="20"/>
  <c r="R302" i="20"/>
  <c r="Q302" i="20"/>
  <c r="V302" i="20" s="1"/>
  <c r="P302" i="20"/>
  <c r="U302" i="20" s="1"/>
  <c r="Y301" i="20"/>
  <c r="R301" i="20"/>
  <c r="W301" i="20" s="1"/>
  <c r="Q301" i="20"/>
  <c r="V301" i="20" s="1"/>
  <c r="P301" i="20"/>
  <c r="Y300" i="20"/>
  <c r="R300" i="20"/>
  <c r="W300" i="20" s="1"/>
  <c r="Q300" i="20"/>
  <c r="V300" i="20" s="1"/>
  <c r="P300" i="20"/>
  <c r="U300" i="20" s="1"/>
  <c r="Y299" i="20"/>
  <c r="R299" i="20"/>
  <c r="W299" i="20" s="1"/>
  <c r="Q299" i="20"/>
  <c r="V299" i="20" s="1"/>
  <c r="P299" i="20"/>
  <c r="U299" i="20" s="1"/>
  <c r="Y298" i="20"/>
  <c r="R298" i="20"/>
  <c r="W298" i="20" s="1"/>
  <c r="Q298" i="20"/>
  <c r="V298" i="20" s="1"/>
  <c r="P298" i="20"/>
  <c r="U298" i="20" s="1"/>
  <c r="Y297" i="20"/>
  <c r="R297" i="20"/>
  <c r="W297" i="20" s="1"/>
  <c r="Q297" i="20"/>
  <c r="V297" i="20" s="1"/>
  <c r="P297" i="20"/>
  <c r="Y324" i="20"/>
  <c r="R324" i="20"/>
  <c r="Q324" i="20"/>
  <c r="V324" i="20" s="1"/>
  <c r="P324" i="20"/>
  <c r="U324" i="20" s="1"/>
  <c r="Y274" i="20"/>
  <c r="R274" i="20"/>
  <c r="W274" i="20" s="1"/>
  <c r="Q274" i="20"/>
  <c r="V274" i="20" s="1"/>
  <c r="P274" i="20"/>
  <c r="Y273" i="20"/>
  <c r="R273" i="20"/>
  <c r="W273" i="20" s="1"/>
  <c r="Q273" i="20"/>
  <c r="V273" i="20" s="1"/>
  <c r="P273" i="20"/>
  <c r="U273" i="20" s="1"/>
  <c r="Y272" i="20"/>
  <c r="R272" i="20"/>
  <c r="W272" i="20" s="1"/>
  <c r="Q272" i="20"/>
  <c r="V272" i="20" s="1"/>
  <c r="P272" i="20"/>
  <c r="U272" i="20" s="1"/>
  <c r="Y271" i="20"/>
  <c r="R271" i="20"/>
  <c r="W271" i="20" s="1"/>
  <c r="Q271" i="20"/>
  <c r="V271" i="20" s="1"/>
  <c r="P271" i="20"/>
  <c r="U271" i="20" s="1"/>
  <c r="Y270" i="20"/>
  <c r="R270" i="20"/>
  <c r="W270" i="20" s="1"/>
  <c r="Q270" i="20"/>
  <c r="V270" i="20" s="1"/>
  <c r="P270" i="20"/>
  <c r="Y269" i="20"/>
  <c r="R269" i="20"/>
  <c r="Q269" i="20"/>
  <c r="V269" i="20" s="1"/>
  <c r="P269" i="20"/>
  <c r="U269" i="20" s="1"/>
  <c r="Y268" i="20"/>
  <c r="R268" i="20"/>
  <c r="W268" i="20" s="1"/>
  <c r="Q268" i="20"/>
  <c r="V268" i="20" s="1"/>
  <c r="P268" i="20"/>
  <c r="Y267" i="20"/>
  <c r="R267" i="20"/>
  <c r="W267" i="20" s="1"/>
  <c r="Q267" i="20"/>
  <c r="V267" i="20" s="1"/>
  <c r="P267" i="20"/>
  <c r="U267" i="20" s="1"/>
  <c r="Y266" i="20"/>
  <c r="R266" i="20"/>
  <c r="W266" i="20" s="1"/>
  <c r="Q266" i="20"/>
  <c r="V266" i="20" s="1"/>
  <c r="P266" i="20"/>
  <c r="U266" i="20" s="1"/>
  <c r="Y265" i="20"/>
  <c r="R265" i="20"/>
  <c r="W265" i="20" s="1"/>
  <c r="Q265" i="20"/>
  <c r="V265" i="20" s="1"/>
  <c r="P265" i="20"/>
  <c r="U265" i="20" s="1"/>
  <c r="Y264" i="20"/>
  <c r="R264" i="20"/>
  <c r="W264" i="20" s="1"/>
  <c r="Q264" i="20"/>
  <c r="V264" i="20" s="1"/>
  <c r="P264" i="20"/>
  <c r="Y263" i="20"/>
  <c r="R263" i="20"/>
  <c r="Q263" i="20"/>
  <c r="V263" i="20" s="1"/>
  <c r="P263" i="20"/>
  <c r="U263" i="20" s="1"/>
  <c r="Y262" i="20"/>
  <c r="R262" i="20"/>
  <c r="W262" i="20" s="1"/>
  <c r="Q262" i="20"/>
  <c r="V262" i="20" s="1"/>
  <c r="P262" i="20"/>
  <c r="Y261" i="20"/>
  <c r="R261" i="20"/>
  <c r="W261" i="20" s="1"/>
  <c r="Q261" i="20"/>
  <c r="V261" i="20" s="1"/>
  <c r="P261" i="20"/>
  <c r="U261" i="20" s="1"/>
  <c r="Y260" i="20"/>
  <c r="R260" i="20"/>
  <c r="W260" i="20" s="1"/>
  <c r="Q260" i="20"/>
  <c r="V260" i="20" s="1"/>
  <c r="P260" i="20"/>
  <c r="U260" i="20" s="1"/>
  <c r="Y259" i="20"/>
  <c r="R259" i="20"/>
  <c r="W259" i="20" s="1"/>
  <c r="Q259" i="20"/>
  <c r="V259" i="20" s="1"/>
  <c r="P259" i="20"/>
  <c r="U259" i="20" s="1"/>
  <c r="Y258" i="20"/>
  <c r="R258" i="20"/>
  <c r="W258" i="20" s="1"/>
  <c r="Q258" i="20"/>
  <c r="P258" i="20"/>
  <c r="U258" i="20" s="1"/>
  <c r="Y257" i="20"/>
  <c r="R257" i="20"/>
  <c r="Q257" i="20"/>
  <c r="V257" i="20" s="1"/>
  <c r="P257" i="20"/>
  <c r="U257" i="20" s="1"/>
  <c r="Y256" i="20"/>
  <c r="R256" i="20"/>
  <c r="W256" i="20" s="1"/>
  <c r="Q256" i="20"/>
  <c r="V256" i="20" s="1"/>
  <c r="P256" i="20"/>
  <c r="Y323" i="20"/>
  <c r="R323" i="20"/>
  <c r="W323" i="20" s="1"/>
  <c r="Q323" i="20"/>
  <c r="V323" i="20" s="1"/>
  <c r="P323" i="20"/>
  <c r="U323" i="20" s="1"/>
  <c r="Y255" i="20"/>
  <c r="R255" i="20"/>
  <c r="W255" i="20" s="1"/>
  <c r="Q255" i="20"/>
  <c r="V255" i="20" s="1"/>
  <c r="P255" i="20"/>
  <c r="U255" i="20" s="1"/>
  <c r="Y254" i="20"/>
  <c r="R254" i="20"/>
  <c r="W254" i="20" s="1"/>
  <c r="Q254" i="20"/>
  <c r="V254" i="20" s="1"/>
  <c r="P254" i="20"/>
  <c r="U254" i="20" s="1"/>
  <c r="Y253" i="20"/>
  <c r="R253" i="20"/>
  <c r="W253" i="20" s="1"/>
  <c r="Q253" i="20"/>
  <c r="V253" i="20" s="1"/>
  <c r="P253" i="20"/>
  <c r="Y252" i="20"/>
  <c r="R252" i="20"/>
  <c r="W252" i="20" s="1"/>
  <c r="Q252" i="20"/>
  <c r="V252" i="20" s="1"/>
  <c r="P252" i="20"/>
  <c r="U252" i="20" s="1"/>
  <c r="Y251" i="20"/>
  <c r="R251" i="20"/>
  <c r="W251" i="20" s="1"/>
  <c r="Q251" i="20"/>
  <c r="V251" i="20" s="1"/>
  <c r="P251" i="20"/>
  <c r="Y250" i="20"/>
  <c r="R250" i="20"/>
  <c r="W250" i="20" s="1"/>
  <c r="Q250" i="20"/>
  <c r="V250" i="20" s="1"/>
  <c r="P250" i="20"/>
  <c r="U250" i="20" s="1"/>
  <c r="Y243" i="20"/>
  <c r="R243" i="20"/>
  <c r="W243" i="20" s="1"/>
  <c r="Q243" i="20"/>
  <c r="V243" i="20" s="1"/>
  <c r="P243" i="20"/>
  <c r="U243" i="20" s="1"/>
  <c r="Y242" i="20"/>
  <c r="R242" i="20"/>
  <c r="W242" i="20" s="1"/>
  <c r="Q242" i="20"/>
  <c r="V242" i="20" s="1"/>
  <c r="P242" i="20"/>
  <c r="U242" i="20" s="1"/>
  <c r="Y241" i="20"/>
  <c r="R241" i="20"/>
  <c r="W241" i="20" s="1"/>
  <c r="Q241" i="20"/>
  <c r="V241" i="20" s="1"/>
  <c r="P241" i="20"/>
  <c r="Y240" i="20"/>
  <c r="R240" i="20"/>
  <c r="W240" i="20" s="1"/>
  <c r="Q240" i="20"/>
  <c r="V240" i="20" s="1"/>
  <c r="P240" i="20"/>
  <c r="U240" i="20" s="1"/>
  <c r="Y239" i="20"/>
  <c r="R239" i="20"/>
  <c r="W239" i="20" s="1"/>
  <c r="Q239" i="20"/>
  <c r="V239" i="20" s="1"/>
  <c r="P239" i="20"/>
  <c r="Y238" i="20"/>
  <c r="R238" i="20"/>
  <c r="W238" i="20" s="1"/>
  <c r="Q238" i="20"/>
  <c r="V238" i="20" s="1"/>
  <c r="P238" i="20"/>
  <c r="Y237" i="20"/>
  <c r="R237" i="20"/>
  <c r="W237" i="20" s="1"/>
  <c r="Q237" i="20"/>
  <c r="V237" i="20" s="1"/>
  <c r="P237" i="20"/>
  <c r="U237" i="20" s="1"/>
  <c r="Y236" i="20"/>
  <c r="R236" i="20"/>
  <c r="W236" i="20" s="1"/>
  <c r="Q236" i="20"/>
  <c r="P236" i="20"/>
  <c r="U236" i="20" s="1"/>
  <c r="Y235" i="20"/>
  <c r="R235" i="20"/>
  <c r="W235" i="20" s="1"/>
  <c r="Q235" i="20"/>
  <c r="V235" i="20" s="1"/>
  <c r="P235" i="20"/>
  <c r="Y234" i="20"/>
  <c r="R234" i="20"/>
  <c r="W234" i="20" s="1"/>
  <c r="Q234" i="20"/>
  <c r="V234" i="20" s="1"/>
  <c r="P234" i="20"/>
  <c r="U234" i="20" s="1"/>
  <c r="Y249" i="20"/>
  <c r="R249" i="20"/>
  <c r="W249" i="20" s="1"/>
  <c r="Q249" i="20"/>
  <c r="V249" i="20" s="1"/>
  <c r="P249" i="20"/>
  <c r="Y248" i="20"/>
  <c r="R248" i="20"/>
  <c r="Q248" i="20"/>
  <c r="V248" i="20" s="1"/>
  <c r="P248" i="20"/>
  <c r="U248" i="20" s="1"/>
  <c r="Y247" i="20"/>
  <c r="R247" i="20"/>
  <c r="W247" i="20" s="1"/>
  <c r="Q247" i="20"/>
  <c r="V247" i="20" s="1"/>
  <c r="P247" i="20"/>
  <c r="U247" i="20" s="1"/>
  <c r="Y246" i="20"/>
  <c r="R246" i="20"/>
  <c r="W246" i="20" s="1"/>
  <c r="Q246" i="20"/>
  <c r="V246" i="20" s="1"/>
  <c r="P246" i="20"/>
  <c r="U246" i="20" s="1"/>
  <c r="Y245" i="20"/>
  <c r="R245" i="20"/>
  <c r="W245" i="20" s="1"/>
  <c r="Q245" i="20"/>
  <c r="V245" i="20" s="1"/>
  <c r="P245" i="20"/>
  <c r="Y244" i="20"/>
  <c r="R244" i="20"/>
  <c r="W244" i="20" s="1"/>
  <c r="Q244" i="20"/>
  <c r="V244" i="20" s="1"/>
  <c r="P244" i="20"/>
  <c r="U244" i="20" s="1"/>
  <c r="Y322" i="20"/>
  <c r="R322" i="20"/>
  <c r="W322" i="20" s="1"/>
  <c r="Q322" i="20"/>
  <c r="V322" i="20" s="1"/>
  <c r="P322" i="20"/>
  <c r="Y233" i="20"/>
  <c r="R233" i="20"/>
  <c r="W233" i="20" s="1"/>
  <c r="Q233" i="20"/>
  <c r="V233" i="20" s="1"/>
  <c r="P233" i="20"/>
  <c r="U233" i="20" s="1"/>
  <c r="Y232" i="20"/>
  <c r="R232" i="20"/>
  <c r="W232" i="20" s="1"/>
  <c r="Q232" i="20"/>
  <c r="V232" i="20" s="1"/>
  <c r="P232" i="20"/>
  <c r="U232" i="20" s="1"/>
  <c r="Y231" i="20"/>
  <c r="R231" i="20"/>
  <c r="W231" i="20" s="1"/>
  <c r="Q231" i="20"/>
  <c r="V231" i="20" s="1"/>
  <c r="P231" i="20"/>
  <c r="U231" i="20" s="1"/>
  <c r="Y230" i="20"/>
  <c r="R230" i="20"/>
  <c r="W230" i="20" s="1"/>
  <c r="Q230" i="20"/>
  <c r="V230" i="20" s="1"/>
  <c r="P230" i="20"/>
  <c r="Y229" i="20"/>
  <c r="R229" i="20"/>
  <c r="Q229" i="20"/>
  <c r="V229" i="20" s="1"/>
  <c r="P229" i="20"/>
  <c r="U229" i="20" s="1"/>
  <c r="Y228" i="20"/>
  <c r="R228" i="20"/>
  <c r="W228" i="20" s="1"/>
  <c r="Q228" i="20"/>
  <c r="V228" i="20" s="1"/>
  <c r="P228" i="20"/>
  <c r="Y227" i="20"/>
  <c r="R227" i="20"/>
  <c r="W227" i="20" s="1"/>
  <c r="Q227" i="20"/>
  <c r="V227" i="20" s="1"/>
  <c r="P227" i="20"/>
  <c r="U227" i="20" s="1"/>
  <c r="Y226" i="20"/>
  <c r="R226" i="20"/>
  <c r="W226" i="20" s="1"/>
  <c r="Q226" i="20"/>
  <c r="V226" i="20" s="1"/>
  <c r="P226" i="20"/>
  <c r="U226" i="20" s="1"/>
  <c r="Y225" i="20"/>
  <c r="R225" i="20"/>
  <c r="W225" i="20" s="1"/>
  <c r="Q225" i="20"/>
  <c r="V225" i="20" s="1"/>
  <c r="P225" i="20"/>
  <c r="U225" i="20" s="1"/>
  <c r="Y224" i="20"/>
  <c r="R224" i="20"/>
  <c r="W224" i="20" s="1"/>
  <c r="Q224" i="20"/>
  <c r="V224" i="20" s="1"/>
  <c r="P224" i="20"/>
  <c r="Y223" i="20"/>
  <c r="R223" i="20"/>
  <c r="W223" i="20" s="1"/>
  <c r="Q223" i="20"/>
  <c r="V223" i="20" s="1"/>
  <c r="P223" i="20"/>
  <c r="U223" i="20" s="1"/>
  <c r="Y222" i="20"/>
  <c r="R222" i="20"/>
  <c r="W222" i="20" s="1"/>
  <c r="Q222" i="20"/>
  <c r="V222" i="20" s="1"/>
  <c r="P222" i="20"/>
  <c r="Y221" i="20"/>
  <c r="R221" i="20"/>
  <c r="W221" i="20" s="1"/>
  <c r="Q221" i="20"/>
  <c r="V221" i="20" s="1"/>
  <c r="P221" i="20"/>
  <c r="U221" i="20" s="1"/>
  <c r="Y220" i="20"/>
  <c r="R220" i="20"/>
  <c r="W220" i="20" s="1"/>
  <c r="Q220" i="20"/>
  <c r="V220" i="20" s="1"/>
  <c r="P220" i="20"/>
  <c r="U220" i="20" s="1"/>
  <c r="Y219" i="20"/>
  <c r="R219" i="20"/>
  <c r="W219" i="20" s="1"/>
  <c r="Q219" i="20"/>
  <c r="V219" i="20" s="1"/>
  <c r="P219" i="20"/>
  <c r="U219" i="20" s="1"/>
  <c r="Y218" i="20"/>
  <c r="R218" i="20"/>
  <c r="W218" i="20" s="1"/>
  <c r="Q218" i="20"/>
  <c r="V218" i="20" s="1"/>
  <c r="P218" i="20"/>
  <c r="U218" i="20" s="1"/>
  <c r="Y217" i="20"/>
  <c r="R217" i="20"/>
  <c r="W217" i="20" s="1"/>
  <c r="Q217" i="20"/>
  <c r="V217" i="20" s="1"/>
  <c r="P217" i="20"/>
  <c r="U217" i="20" s="1"/>
  <c r="Y216" i="20"/>
  <c r="R216" i="20"/>
  <c r="W216" i="20" s="1"/>
  <c r="Q216" i="20"/>
  <c r="V216" i="20" s="1"/>
  <c r="P216" i="20"/>
  <c r="Y215" i="20"/>
  <c r="R215" i="20"/>
  <c r="W215" i="20" s="1"/>
  <c r="Q215" i="20"/>
  <c r="V215" i="20" s="1"/>
  <c r="P215" i="20"/>
  <c r="U215" i="20" s="1"/>
  <c r="Y214" i="20"/>
  <c r="R214" i="20"/>
  <c r="W214" i="20" s="1"/>
  <c r="Q214" i="20"/>
  <c r="V214" i="20" s="1"/>
  <c r="P214" i="20"/>
  <c r="U214" i="20" s="1"/>
  <c r="Y213" i="20"/>
  <c r="R213" i="20"/>
  <c r="W213" i="20" s="1"/>
  <c r="Q213" i="20"/>
  <c r="P213" i="20"/>
  <c r="U213" i="20" s="1"/>
  <c r="Y212" i="20"/>
  <c r="R212" i="20"/>
  <c r="W212" i="20" s="1"/>
  <c r="Q212" i="20"/>
  <c r="V212" i="20" s="1"/>
  <c r="P212" i="20"/>
  <c r="Y211" i="20"/>
  <c r="R211" i="20"/>
  <c r="W211" i="20" s="1"/>
  <c r="Q211" i="20"/>
  <c r="V211" i="20" s="1"/>
  <c r="P211" i="20"/>
  <c r="U211" i="20" s="1"/>
  <c r="Y321" i="20"/>
  <c r="R321" i="20"/>
  <c r="W321" i="20" s="1"/>
  <c r="Q321" i="20"/>
  <c r="V321" i="20" s="1"/>
  <c r="P321" i="20"/>
  <c r="Y210" i="20"/>
  <c r="R210" i="20"/>
  <c r="W210" i="20" s="1"/>
  <c r="Q210" i="20"/>
  <c r="V210" i="20" s="1"/>
  <c r="P210" i="20"/>
  <c r="U210" i="20" s="1"/>
  <c r="Y209" i="20"/>
  <c r="R209" i="20"/>
  <c r="W209" i="20" s="1"/>
  <c r="Q209" i="20"/>
  <c r="V209" i="20" s="1"/>
  <c r="P209" i="20"/>
  <c r="Y208" i="20"/>
  <c r="R208" i="20"/>
  <c r="W208" i="20" s="1"/>
  <c r="Q208" i="20"/>
  <c r="P208" i="20"/>
  <c r="U208" i="20" s="1"/>
  <c r="Y207" i="20"/>
  <c r="R207" i="20"/>
  <c r="W207" i="20" s="1"/>
  <c r="Q207" i="20"/>
  <c r="V207" i="20" s="1"/>
  <c r="P207" i="20"/>
  <c r="Y206" i="20"/>
  <c r="R206" i="20"/>
  <c r="W206" i="20" s="1"/>
  <c r="Q206" i="20"/>
  <c r="V206" i="20" s="1"/>
  <c r="P206" i="20"/>
  <c r="U206" i="20" s="1"/>
  <c r="Y205" i="20"/>
  <c r="R205" i="20"/>
  <c r="W205" i="20" s="1"/>
  <c r="Q205" i="20"/>
  <c r="V205" i="20" s="1"/>
  <c r="P205" i="20"/>
  <c r="Y204" i="20"/>
  <c r="R204" i="20"/>
  <c r="W204" i="20" s="1"/>
  <c r="Q204" i="20"/>
  <c r="V204" i="20" s="1"/>
  <c r="P204" i="20"/>
  <c r="U204" i="20" s="1"/>
  <c r="Y203" i="20"/>
  <c r="R203" i="20"/>
  <c r="W203" i="20" s="1"/>
  <c r="Q203" i="20"/>
  <c r="V203" i="20" s="1"/>
  <c r="P203" i="20"/>
  <c r="U203" i="20" s="1"/>
  <c r="Y199" i="20"/>
  <c r="R199" i="20"/>
  <c r="W199" i="20" s="1"/>
  <c r="Q199" i="20"/>
  <c r="V199" i="20" s="1"/>
  <c r="P199" i="20"/>
  <c r="U199" i="20" s="1"/>
  <c r="Y198" i="20"/>
  <c r="R198" i="20"/>
  <c r="W198" i="20" s="1"/>
  <c r="Q198" i="20"/>
  <c r="V198" i="20" s="1"/>
  <c r="P198" i="20"/>
  <c r="U198" i="20" s="1"/>
  <c r="Y197" i="20"/>
  <c r="R197" i="20"/>
  <c r="W197" i="20" s="1"/>
  <c r="Q197" i="20"/>
  <c r="V197" i="20" s="1"/>
  <c r="P197" i="20"/>
  <c r="U197" i="20" s="1"/>
  <c r="Y196" i="20"/>
  <c r="R196" i="20"/>
  <c r="W196" i="20" s="1"/>
  <c r="Q196" i="20"/>
  <c r="V196" i="20" s="1"/>
  <c r="P196" i="20"/>
  <c r="Y195" i="20"/>
  <c r="R195" i="20"/>
  <c r="W195" i="20" s="1"/>
  <c r="Q195" i="20"/>
  <c r="V195" i="20" s="1"/>
  <c r="P195" i="20"/>
  <c r="U195" i="20" s="1"/>
  <c r="Y194" i="20"/>
  <c r="R194" i="20"/>
  <c r="W194" i="20" s="1"/>
  <c r="Q194" i="20"/>
  <c r="V194" i="20" s="1"/>
  <c r="P194" i="20"/>
  <c r="U194" i="20" s="1"/>
  <c r="Y335" i="20"/>
  <c r="R335" i="20"/>
  <c r="W335" i="20" s="1"/>
  <c r="Q335" i="20"/>
  <c r="V335" i="20" s="1"/>
  <c r="P335" i="20"/>
  <c r="U335" i="20" s="1"/>
  <c r="Y202" i="20"/>
  <c r="R202" i="20"/>
  <c r="W202" i="20" s="1"/>
  <c r="Q202" i="20"/>
  <c r="V202" i="20" s="1"/>
  <c r="P202" i="20"/>
  <c r="Y201" i="20"/>
  <c r="R201" i="20"/>
  <c r="W201" i="20" s="1"/>
  <c r="Q201" i="20"/>
  <c r="V201" i="20" s="1"/>
  <c r="P201" i="20"/>
  <c r="U201" i="20" s="1"/>
  <c r="Y200" i="20"/>
  <c r="R200" i="20"/>
  <c r="W200" i="20" s="1"/>
  <c r="Q200" i="20"/>
  <c r="V200" i="20" s="1"/>
  <c r="P200" i="20"/>
  <c r="Y193" i="20"/>
  <c r="R193" i="20"/>
  <c r="W193" i="20" s="1"/>
  <c r="Q193" i="20"/>
  <c r="V193" i="20" s="1"/>
  <c r="P193" i="20"/>
  <c r="Y192" i="20"/>
  <c r="R192" i="20"/>
  <c r="W192" i="20" s="1"/>
  <c r="Q192" i="20"/>
  <c r="V192" i="20" s="1"/>
  <c r="P192" i="20"/>
  <c r="Y191" i="20"/>
  <c r="R191" i="20"/>
  <c r="W191" i="20" s="1"/>
  <c r="Q191" i="20"/>
  <c r="V191" i="20" s="1"/>
  <c r="P191" i="20"/>
  <c r="U191" i="20" s="1"/>
  <c r="Y190" i="20"/>
  <c r="R190" i="20"/>
  <c r="W190" i="20" s="1"/>
  <c r="Q190" i="20"/>
  <c r="V190" i="20" s="1"/>
  <c r="P190" i="20"/>
  <c r="Y189" i="20"/>
  <c r="R189" i="20"/>
  <c r="W189" i="20" s="1"/>
  <c r="Q189" i="20"/>
  <c r="V189" i="20" s="1"/>
  <c r="P189" i="20"/>
  <c r="U189" i="20" s="1"/>
  <c r="Y188" i="20"/>
  <c r="R188" i="20"/>
  <c r="W188" i="20" s="1"/>
  <c r="Q188" i="20"/>
  <c r="V188" i="20" s="1"/>
  <c r="P188" i="20"/>
  <c r="Y187" i="20"/>
  <c r="R187" i="20"/>
  <c r="W187" i="20" s="1"/>
  <c r="Q187" i="20"/>
  <c r="V187" i="20" s="1"/>
  <c r="P187" i="20"/>
  <c r="U187" i="20" s="1"/>
  <c r="Y334" i="20"/>
  <c r="R334" i="20"/>
  <c r="W334" i="20" s="1"/>
  <c r="Q334" i="20"/>
  <c r="V334" i="20" s="1"/>
  <c r="P334" i="20"/>
  <c r="U334" i="20" s="1"/>
  <c r="Y333" i="20"/>
  <c r="R333" i="20"/>
  <c r="W333" i="20" s="1"/>
  <c r="Q333" i="20"/>
  <c r="V333" i="20" s="1"/>
  <c r="P333" i="20"/>
  <c r="U333" i="20" s="1"/>
  <c r="Y332" i="20"/>
  <c r="R332" i="20"/>
  <c r="W332" i="20" s="1"/>
  <c r="Q332" i="20"/>
  <c r="V332" i="20" s="1"/>
  <c r="P332" i="20"/>
  <c r="Y331" i="20"/>
  <c r="R331" i="20"/>
  <c r="W331" i="20" s="1"/>
  <c r="Q331" i="20"/>
  <c r="V331" i="20" s="1"/>
  <c r="P331" i="20"/>
  <c r="U331" i="20" s="1"/>
  <c r="Y186" i="20"/>
  <c r="R186" i="20"/>
  <c r="W186" i="20" s="1"/>
  <c r="Q186" i="20"/>
  <c r="V186" i="20" s="1"/>
  <c r="P186" i="20"/>
  <c r="Y185" i="20"/>
  <c r="R185" i="20"/>
  <c r="W185" i="20" s="1"/>
  <c r="Q185" i="20"/>
  <c r="V185" i="20" s="1"/>
  <c r="P185" i="20"/>
  <c r="U185" i="20" s="1"/>
  <c r="Y184" i="20"/>
  <c r="R184" i="20"/>
  <c r="W184" i="20" s="1"/>
  <c r="Q184" i="20"/>
  <c r="V184" i="20" s="1"/>
  <c r="P184" i="20"/>
  <c r="U184" i="20" s="1"/>
  <c r="Y183" i="20"/>
  <c r="R183" i="20"/>
  <c r="W183" i="20" s="1"/>
  <c r="Q183" i="20"/>
  <c r="V183" i="20" s="1"/>
  <c r="P183" i="20"/>
  <c r="U183" i="20" s="1"/>
  <c r="Y182" i="20"/>
  <c r="R182" i="20"/>
  <c r="W182" i="20" s="1"/>
  <c r="Q182" i="20"/>
  <c r="V182" i="20" s="1"/>
  <c r="P182" i="20"/>
  <c r="Y320" i="20"/>
  <c r="R320" i="20"/>
  <c r="W320" i="20" s="1"/>
  <c r="Q320" i="20"/>
  <c r="V320" i="20" s="1"/>
  <c r="P320" i="20"/>
  <c r="U320" i="20" s="1"/>
  <c r="Y181" i="20"/>
  <c r="R181" i="20"/>
  <c r="W181" i="20" s="1"/>
  <c r="Q181" i="20"/>
  <c r="V181" i="20" s="1"/>
  <c r="P181" i="20"/>
  <c r="Y180" i="20"/>
  <c r="R180" i="20"/>
  <c r="W180" i="20" s="1"/>
  <c r="Q180" i="20"/>
  <c r="V180" i="20" s="1"/>
  <c r="P180" i="20"/>
  <c r="U180" i="20" s="1"/>
  <c r="Y179" i="20"/>
  <c r="R179" i="20"/>
  <c r="W179" i="20" s="1"/>
  <c r="Q179" i="20"/>
  <c r="V179" i="20" s="1"/>
  <c r="P179" i="20"/>
  <c r="U179" i="20" s="1"/>
  <c r="Y176" i="20"/>
  <c r="R176" i="20"/>
  <c r="W176" i="20" s="1"/>
  <c r="Q176" i="20"/>
  <c r="V176" i="20" s="1"/>
  <c r="P176" i="20"/>
  <c r="U176" i="20" s="1"/>
  <c r="Y175" i="20"/>
  <c r="R175" i="20"/>
  <c r="W175" i="20" s="1"/>
  <c r="Q175" i="20"/>
  <c r="V175" i="20" s="1"/>
  <c r="P175" i="20"/>
  <c r="Y174" i="20"/>
  <c r="R174" i="20"/>
  <c r="W174" i="20" s="1"/>
  <c r="Q174" i="20"/>
  <c r="V174" i="20" s="1"/>
  <c r="P174" i="20"/>
  <c r="U174" i="20" s="1"/>
  <c r="Y173" i="20"/>
  <c r="R173" i="20"/>
  <c r="W173" i="20" s="1"/>
  <c r="Q173" i="20"/>
  <c r="V173" i="20" s="1"/>
  <c r="P173" i="20"/>
  <c r="Y172" i="20"/>
  <c r="R172" i="20"/>
  <c r="W172" i="20" s="1"/>
  <c r="Q172" i="20"/>
  <c r="V172" i="20" s="1"/>
  <c r="P172" i="20"/>
  <c r="U172" i="20" s="1"/>
  <c r="Y319" i="20"/>
  <c r="R319" i="20"/>
  <c r="W319" i="20" s="1"/>
  <c r="Q319" i="20"/>
  <c r="V319" i="20" s="1"/>
  <c r="P319" i="20"/>
  <c r="U319" i="20" s="1"/>
  <c r="Y178" i="20"/>
  <c r="R178" i="20"/>
  <c r="W178" i="20" s="1"/>
  <c r="Q178" i="20"/>
  <c r="V178" i="20" s="1"/>
  <c r="P178" i="20"/>
  <c r="U178" i="20" s="1"/>
  <c r="Y177" i="20"/>
  <c r="R177" i="20"/>
  <c r="W177" i="20" s="1"/>
  <c r="Q177" i="20"/>
  <c r="V177" i="20" s="1"/>
  <c r="P177" i="20"/>
  <c r="Y171" i="20"/>
  <c r="R171" i="20"/>
  <c r="W171" i="20" s="1"/>
  <c r="Q171" i="20"/>
  <c r="V171" i="20" s="1"/>
  <c r="P171" i="20"/>
  <c r="U171" i="20" s="1"/>
  <c r="Y170" i="20"/>
  <c r="R170" i="20"/>
  <c r="W170" i="20" s="1"/>
  <c r="Q170" i="20"/>
  <c r="V170" i="20" s="1"/>
  <c r="P170" i="20"/>
  <c r="Y169" i="20"/>
  <c r="R169" i="20"/>
  <c r="W169" i="20" s="1"/>
  <c r="Q169" i="20"/>
  <c r="V169" i="20" s="1"/>
  <c r="P169" i="20"/>
  <c r="U169" i="20" s="1"/>
  <c r="Y168" i="20"/>
  <c r="R168" i="20"/>
  <c r="W168" i="20" s="1"/>
  <c r="Q168" i="20"/>
  <c r="V168" i="20" s="1"/>
  <c r="P168" i="20"/>
  <c r="U168" i="20" s="1"/>
  <c r="Y167" i="20"/>
  <c r="R167" i="20"/>
  <c r="W167" i="20" s="1"/>
  <c r="Q167" i="20"/>
  <c r="V167" i="20" s="1"/>
  <c r="P167" i="20"/>
  <c r="U167" i="20" s="1"/>
  <c r="Y166" i="20"/>
  <c r="R166" i="20"/>
  <c r="W166" i="20" s="1"/>
  <c r="Q166" i="20"/>
  <c r="V166" i="20" s="1"/>
  <c r="P166" i="20"/>
  <c r="Y165" i="20"/>
  <c r="R165" i="20"/>
  <c r="W165" i="20" s="1"/>
  <c r="Q165" i="20"/>
  <c r="V165" i="20" s="1"/>
  <c r="P165" i="20"/>
  <c r="U165" i="20" s="1"/>
  <c r="Y164" i="20"/>
  <c r="R164" i="20"/>
  <c r="W164" i="20" s="1"/>
  <c r="Q164" i="20"/>
  <c r="V164" i="20" s="1"/>
  <c r="P164" i="20"/>
  <c r="Y163" i="20"/>
  <c r="R163" i="20"/>
  <c r="W163" i="20" s="1"/>
  <c r="Q163" i="20"/>
  <c r="V163" i="20" s="1"/>
  <c r="P163" i="20"/>
  <c r="U163" i="20" s="1"/>
  <c r="Y162" i="20"/>
  <c r="R162" i="20"/>
  <c r="W162" i="20" s="1"/>
  <c r="Q162" i="20"/>
  <c r="V162" i="20" s="1"/>
  <c r="P162" i="20"/>
  <c r="U162" i="20" s="1"/>
  <c r="Y161" i="20"/>
  <c r="R161" i="20"/>
  <c r="W161" i="20" s="1"/>
  <c r="Q161" i="20"/>
  <c r="V161" i="20" s="1"/>
  <c r="P161" i="20"/>
  <c r="U161" i="20" s="1"/>
  <c r="Y160" i="20"/>
  <c r="R160" i="20"/>
  <c r="W160" i="20" s="1"/>
  <c r="Q160" i="20"/>
  <c r="V160" i="20" s="1"/>
  <c r="P160" i="20"/>
  <c r="Y159" i="20"/>
  <c r="R159" i="20"/>
  <c r="W159" i="20" s="1"/>
  <c r="Q159" i="20"/>
  <c r="V159" i="20" s="1"/>
  <c r="P159" i="20"/>
  <c r="U159" i="20" s="1"/>
  <c r="Y158" i="20"/>
  <c r="R158" i="20"/>
  <c r="W158" i="20" s="1"/>
  <c r="Q158" i="20"/>
  <c r="V158" i="20" s="1"/>
  <c r="P158" i="20"/>
  <c r="Y330" i="20"/>
  <c r="R330" i="20"/>
  <c r="W330" i="20" s="1"/>
  <c r="Q330" i="20"/>
  <c r="V330" i="20" s="1"/>
  <c r="P330" i="20"/>
  <c r="U330" i="20" s="1"/>
  <c r="Y157" i="20"/>
  <c r="R157" i="20"/>
  <c r="W157" i="20" s="1"/>
  <c r="Q157" i="20"/>
  <c r="V157" i="20" s="1"/>
  <c r="P157" i="20"/>
  <c r="U157" i="20" s="1"/>
  <c r="Y156" i="20"/>
  <c r="R156" i="20"/>
  <c r="W156" i="20" s="1"/>
  <c r="Q156" i="20"/>
  <c r="V156" i="20" s="1"/>
  <c r="P156" i="20"/>
  <c r="U156" i="20" s="1"/>
  <c r="Y155" i="20"/>
  <c r="R155" i="20"/>
  <c r="W155" i="20" s="1"/>
  <c r="Q155" i="20"/>
  <c r="V155" i="20" s="1"/>
  <c r="P155" i="20"/>
  <c r="U155" i="20" s="1"/>
  <c r="Y154" i="20"/>
  <c r="R154" i="20"/>
  <c r="W154" i="20" s="1"/>
  <c r="Q154" i="20"/>
  <c r="V154" i="20" s="1"/>
  <c r="P154" i="20"/>
  <c r="U154" i="20" s="1"/>
  <c r="Y153" i="20"/>
  <c r="R153" i="20"/>
  <c r="W153" i="20" s="1"/>
  <c r="Q153" i="20"/>
  <c r="V153" i="20" s="1"/>
  <c r="P153" i="20"/>
  <c r="Y152" i="20"/>
  <c r="R152" i="20"/>
  <c r="W152" i="20" s="1"/>
  <c r="Q152" i="20"/>
  <c r="V152" i="20" s="1"/>
  <c r="P152" i="20"/>
  <c r="U152" i="20" s="1"/>
  <c r="Y151" i="20"/>
  <c r="R151" i="20"/>
  <c r="Q151" i="20"/>
  <c r="V151" i="20" s="1"/>
  <c r="P151" i="20"/>
  <c r="U151" i="20" s="1"/>
  <c r="Y148" i="20"/>
  <c r="R148" i="20"/>
  <c r="W148" i="20" s="1"/>
  <c r="Q148" i="20"/>
  <c r="V148" i="20" s="1"/>
  <c r="P148" i="20"/>
  <c r="Y147" i="20"/>
  <c r="R147" i="20"/>
  <c r="W147" i="20" s="1"/>
  <c r="Q147" i="20"/>
  <c r="V147" i="20" s="1"/>
  <c r="P147" i="20"/>
  <c r="U147" i="20" s="1"/>
  <c r="Y146" i="20"/>
  <c r="R146" i="20"/>
  <c r="W146" i="20" s="1"/>
  <c r="Q146" i="20"/>
  <c r="V146" i="20" s="1"/>
  <c r="P146" i="20"/>
  <c r="U146" i="20" s="1"/>
  <c r="Y145" i="20"/>
  <c r="R145" i="20"/>
  <c r="W145" i="20" s="1"/>
  <c r="Q145" i="20"/>
  <c r="V145" i="20" s="1"/>
  <c r="P145" i="20"/>
  <c r="U145" i="20" s="1"/>
  <c r="Y144" i="20"/>
  <c r="R144" i="20"/>
  <c r="Q144" i="20"/>
  <c r="V144" i="20" s="1"/>
  <c r="P144" i="20"/>
  <c r="U144" i="20" s="1"/>
  <c r="Y143" i="20"/>
  <c r="R143" i="20"/>
  <c r="W143" i="20" s="1"/>
  <c r="Q143" i="20"/>
  <c r="V143" i="20" s="1"/>
  <c r="P143" i="20"/>
  <c r="U143" i="20" s="1"/>
  <c r="Y119" i="20"/>
  <c r="R119" i="20"/>
  <c r="W119" i="20" s="1"/>
  <c r="Q119" i="20"/>
  <c r="V119" i="20" s="1"/>
  <c r="P119" i="20"/>
  <c r="Y118" i="20"/>
  <c r="R118" i="20"/>
  <c r="W118" i="20" s="1"/>
  <c r="Q118" i="20"/>
  <c r="V118" i="20" s="1"/>
  <c r="P118" i="20"/>
  <c r="U118" i="20" s="1"/>
  <c r="Y117" i="20"/>
  <c r="R117" i="20"/>
  <c r="W117" i="20" s="1"/>
  <c r="Q117" i="20"/>
  <c r="V117" i="20" s="1"/>
  <c r="P117" i="20"/>
  <c r="U117" i="20" s="1"/>
  <c r="Y116" i="20"/>
  <c r="R116" i="20"/>
  <c r="W116" i="20" s="1"/>
  <c r="Q116" i="20"/>
  <c r="V116" i="20" s="1"/>
  <c r="P116" i="20"/>
  <c r="U116" i="20" s="1"/>
  <c r="Y115" i="20"/>
  <c r="R115" i="20"/>
  <c r="W115" i="20" s="1"/>
  <c r="Q115" i="20"/>
  <c r="V115" i="20" s="1"/>
  <c r="P115" i="20"/>
  <c r="Y114" i="20"/>
  <c r="R114" i="20"/>
  <c r="W114" i="20" s="1"/>
  <c r="Q114" i="20"/>
  <c r="V114" i="20" s="1"/>
  <c r="P114" i="20"/>
  <c r="U114" i="20" s="1"/>
  <c r="Y113" i="20"/>
  <c r="R113" i="20"/>
  <c r="W113" i="20" s="1"/>
  <c r="Q113" i="20"/>
  <c r="V113" i="20" s="1"/>
  <c r="P113" i="20"/>
  <c r="Y112" i="20"/>
  <c r="R112" i="20"/>
  <c r="W112" i="20" s="1"/>
  <c r="Q112" i="20"/>
  <c r="V112" i="20" s="1"/>
  <c r="P112" i="20"/>
  <c r="U112" i="20" s="1"/>
  <c r="Y134" i="20"/>
  <c r="R134" i="20"/>
  <c r="W134" i="20" s="1"/>
  <c r="Q134" i="20"/>
  <c r="V134" i="20" s="1"/>
  <c r="P134" i="20"/>
  <c r="U134" i="20" s="1"/>
  <c r="Y133" i="20"/>
  <c r="R133" i="20"/>
  <c r="W133" i="20" s="1"/>
  <c r="Q133" i="20"/>
  <c r="V133" i="20" s="1"/>
  <c r="P133" i="20"/>
  <c r="U133" i="20" s="1"/>
  <c r="Y132" i="20"/>
  <c r="R132" i="20"/>
  <c r="W132" i="20" s="1"/>
  <c r="Q132" i="20"/>
  <c r="V132" i="20" s="1"/>
  <c r="P132" i="20"/>
  <c r="Y131" i="20"/>
  <c r="R131" i="20"/>
  <c r="W131" i="20" s="1"/>
  <c r="Q131" i="20"/>
  <c r="V131" i="20" s="1"/>
  <c r="P131" i="20"/>
  <c r="U131" i="20" s="1"/>
  <c r="Y130" i="20"/>
  <c r="R130" i="20"/>
  <c r="W130" i="20" s="1"/>
  <c r="Q130" i="20"/>
  <c r="V130" i="20" s="1"/>
  <c r="P130" i="20"/>
  <c r="Y129" i="20"/>
  <c r="R129" i="20"/>
  <c r="W129" i="20" s="1"/>
  <c r="Q129" i="20"/>
  <c r="V129" i="20" s="1"/>
  <c r="P129" i="20"/>
  <c r="U129" i="20" s="1"/>
  <c r="Y128" i="20"/>
  <c r="R128" i="20"/>
  <c r="W128" i="20" s="1"/>
  <c r="Q128" i="20"/>
  <c r="V128" i="20" s="1"/>
  <c r="P128" i="20"/>
  <c r="U128" i="20" s="1"/>
  <c r="Y127" i="20"/>
  <c r="R127" i="20"/>
  <c r="W127" i="20" s="1"/>
  <c r="Q127" i="20"/>
  <c r="P127" i="20"/>
  <c r="U127" i="20" s="1"/>
  <c r="Y126" i="20"/>
  <c r="R126" i="20"/>
  <c r="W126" i="20" s="1"/>
  <c r="Q126" i="20"/>
  <c r="V126" i="20" s="1"/>
  <c r="P126" i="20"/>
  <c r="Y125" i="20"/>
  <c r="R125" i="20"/>
  <c r="W125" i="20" s="1"/>
  <c r="Q125" i="20"/>
  <c r="V125" i="20" s="1"/>
  <c r="P125" i="20"/>
  <c r="U125" i="20" s="1"/>
  <c r="Y124" i="20"/>
  <c r="R124" i="20"/>
  <c r="W124" i="20" s="1"/>
  <c r="Q124" i="20"/>
  <c r="V124" i="20" s="1"/>
  <c r="P124" i="20"/>
  <c r="Y123" i="20"/>
  <c r="R123" i="20"/>
  <c r="W123" i="20" s="1"/>
  <c r="Q123" i="20"/>
  <c r="V123" i="20" s="1"/>
  <c r="P123" i="20"/>
  <c r="U123" i="20" s="1"/>
  <c r="Y122" i="20"/>
  <c r="R122" i="20"/>
  <c r="W122" i="20" s="1"/>
  <c r="Q122" i="20"/>
  <c r="V122" i="20" s="1"/>
  <c r="P122" i="20"/>
  <c r="U122" i="20" s="1"/>
  <c r="Y121" i="20"/>
  <c r="R121" i="20"/>
  <c r="W121" i="20" s="1"/>
  <c r="Q121" i="20"/>
  <c r="V121" i="20" s="1"/>
  <c r="P121" i="20"/>
  <c r="U121" i="20" s="1"/>
  <c r="Y120" i="20"/>
  <c r="R120" i="20"/>
  <c r="W120" i="20" s="1"/>
  <c r="Q120" i="20"/>
  <c r="V120" i="20" s="1"/>
  <c r="P120" i="20"/>
  <c r="Y142" i="20"/>
  <c r="R142" i="20"/>
  <c r="W142" i="20" s="1"/>
  <c r="Q142" i="20"/>
  <c r="V142" i="20" s="1"/>
  <c r="P142" i="20"/>
  <c r="U142" i="20" s="1"/>
  <c r="Y141" i="20"/>
  <c r="R141" i="20"/>
  <c r="W141" i="20" s="1"/>
  <c r="Q141" i="20"/>
  <c r="V141" i="20" s="1"/>
  <c r="P141" i="20"/>
  <c r="Y140" i="20"/>
  <c r="R140" i="20"/>
  <c r="W140" i="20" s="1"/>
  <c r="Q140" i="20"/>
  <c r="V140" i="20" s="1"/>
  <c r="P140" i="20"/>
  <c r="U140" i="20" s="1"/>
  <c r="Y139" i="20"/>
  <c r="R139" i="20"/>
  <c r="W139" i="20" s="1"/>
  <c r="Q139" i="20"/>
  <c r="V139" i="20" s="1"/>
  <c r="P139" i="20"/>
  <c r="U139" i="20" s="1"/>
  <c r="Y138" i="20"/>
  <c r="R138" i="20"/>
  <c r="W138" i="20" s="1"/>
  <c r="Q138" i="20"/>
  <c r="V138" i="20" s="1"/>
  <c r="P138" i="20"/>
  <c r="U138" i="20" s="1"/>
  <c r="Y137" i="20"/>
  <c r="R137" i="20"/>
  <c r="W137" i="20" s="1"/>
  <c r="Q137" i="20"/>
  <c r="V137" i="20" s="1"/>
  <c r="P137" i="20"/>
  <c r="Y136" i="20"/>
  <c r="R136" i="20"/>
  <c r="W136" i="20" s="1"/>
  <c r="Q136" i="20"/>
  <c r="V136" i="20" s="1"/>
  <c r="P136" i="20"/>
  <c r="U136" i="20" s="1"/>
  <c r="Y135" i="20"/>
  <c r="R135" i="20"/>
  <c r="W135" i="20" s="1"/>
  <c r="Q135" i="20"/>
  <c r="V135" i="20" s="1"/>
  <c r="P135" i="20"/>
  <c r="Y329" i="20"/>
  <c r="R329" i="20"/>
  <c r="W329" i="20" s="1"/>
  <c r="Q329" i="20"/>
  <c r="V329" i="20" s="1"/>
  <c r="P329" i="20"/>
  <c r="U329" i="20" s="1"/>
  <c r="Y328" i="20"/>
  <c r="R328" i="20"/>
  <c r="W328" i="20" s="1"/>
  <c r="Q328" i="20"/>
  <c r="V328" i="20" s="1"/>
  <c r="P328" i="20"/>
  <c r="U328" i="20" s="1"/>
  <c r="Y318" i="20"/>
  <c r="R318" i="20"/>
  <c r="W318" i="20" s="1"/>
  <c r="Q318" i="20"/>
  <c r="V318" i="20" s="1"/>
  <c r="P318" i="20"/>
  <c r="U318" i="20" s="1"/>
  <c r="Y150" i="20"/>
  <c r="R150" i="20"/>
  <c r="W150" i="20" s="1"/>
  <c r="Q150" i="20"/>
  <c r="V150" i="20" s="1"/>
  <c r="P150" i="20"/>
  <c r="Y149" i="20"/>
  <c r="R149" i="20"/>
  <c r="W149" i="20" s="1"/>
  <c r="Q149" i="20"/>
  <c r="V149" i="20" s="1"/>
  <c r="P149" i="20"/>
  <c r="U149" i="20" s="1"/>
  <c r="Y111" i="20"/>
  <c r="R111" i="20"/>
  <c r="W111" i="20" s="1"/>
  <c r="Q111" i="20"/>
  <c r="V111" i="20" s="1"/>
  <c r="P111" i="20"/>
  <c r="Y110" i="20"/>
  <c r="R110" i="20"/>
  <c r="W110" i="20" s="1"/>
  <c r="Q110" i="20"/>
  <c r="V110" i="20" s="1"/>
  <c r="P110" i="20"/>
  <c r="U110" i="20" s="1"/>
  <c r="Y109" i="20"/>
  <c r="R109" i="20"/>
  <c r="W109" i="20" s="1"/>
  <c r="Q109" i="20"/>
  <c r="V109" i="20" s="1"/>
  <c r="P109" i="20"/>
  <c r="U109" i="20" s="1"/>
  <c r="Y108" i="20"/>
  <c r="R108" i="20"/>
  <c r="W108" i="20" s="1"/>
  <c r="Q108" i="20"/>
  <c r="V108" i="20" s="1"/>
  <c r="P108" i="20"/>
  <c r="U108" i="20" s="1"/>
  <c r="Y107" i="20"/>
  <c r="R107" i="20"/>
  <c r="W107" i="20" s="1"/>
  <c r="Q107" i="20"/>
  <c r="V107" i="20" s="1"/>
  <c r="P107" i="20"/>
  <c r="Y106" i="20"/>
  <c r="R106" i="20"/>
  <c r="W106" i="20" s="1"/>
  <c r="Q106" i="20"/>
  <c r="V106" i="20" s="1"/>
  <c r="P106" i="20"/>
  <c r="U106" i="20" s="1"/>
  <c r="Y105" i="20"/>
  <c r="R105" i="20"/>
  <c r="W105" i="20" s="1"/>
  <c r="Q105" i="20"/>
  <c r="V105" i="20" s="1"/>
  <c r="P105" i="20"/>
  <c r="Y317" i="20"/>
  <c r="R317" i="20"/>
  <c r="W317" i="20" s="1"/>
  <c r="Q317" i="20"/>
  <c r="V317" i="20" s="1"/>
  <c r="P317" i="20"/>
  <c r="U317" i="20" s="1"/>
  <c r="Y104" i="20"/>
  <c r="R104" i="20"/>
  <c r="W104" i="20" s="1"/>
  <c r="Q104" i="20"/>
  <c r="V104" i="20" s="1"/>
  <c r="P104" i="20"/>
  <c r="U104" i="20" s="1"/>
  <c r="Y103" i="20"/>
  <c r="R103" i="20"/>
  <c r="W103" i="20" s="1"/>
  <c r="Q103" i="20"/>
  <c r="V103" i="20" s="1"/>
  <c r="P103" i="20"/>
  <c r="U103" i="20" s="1"/>
  <c r="Y102" i="20"/>
  <c r="R102" i="20"/>
  <c r="W102" i="20" s="1"/>
  <c r="Q102" i="20"/>
  <c r="V102" i="20" s="1"/>
  <c r="P102" i="20"/>
  <c r="Y316" i="20"/>
  <c r="R316" i="20"/>
  <c r="W316" i="20" s="1"/>
  <c r="Q316" i="20"/>
  <c r="V316" i="20" s="1"/>
  <c r="P316" i="20"/>
  <c r="U316" i="20" s="1"/>
  <c r="Y101" i="20"/>
  <c r="R101" i="20"/>
  <c r="W101" i="20" s="1"/>
  <c r="Q101" i="20"/>
  <c r="V101" i="20" s="1"/>
  <c r="P101" i="20"/>
  <c r="Y100" i="20"/>
  <c r="R100" i="20"/>
  <c r="W100" i="20" s="1"/>
  <c r="Q100" i="20"/>
  <c r="V100" i="20" s="1"/>
  <c r="P100" i="20"/>
  <c r="U100" i="20" s="1"/>
  <c r="Y99" i="20"/>
  <c r="R99" i="20"/>
  <c r="W99" i="20" s="1"/>
  <c r="Q99" i="20"/>
  <c r="V99" i="20" s="1"/>
  <c r="P99" i="20"/>
  <c r="U99" i="20" s="1"/>
  <c r="Y98" i="20"/>
  <c r="R98" i="20"/>
  <c r="W98" i="20" s="1"/>
  <c r="Q98" i="20"/>
  <c r="V98" i="20" s="1"/>
  <c r="P98" i="20"/>
  <c r="U98" i="20" s="1"/>
  <c r="Y97" i="20"/>
  <c r="R97" i="20"/>
  <c r="W97" i="20" s="1"/>
  <c r="Q97" i="20"/>
  <c r="V97" i="20" s="1"/>
  <c r="P97" i="20"/>
  <c r="Y96" i="20"/>
  <c r="R96" i="20"/>
  <c r="W96" i="20" s="1"/>
  <c r="Q96" i="20"/>
  <c r="V96" i="20" s="1"/>
  <c r="P96" i="20"/>
  <c r="U96" i="20" s="1"/>
  <c r="Y95" i="20"/>
  <c r="R95" i="20"/>
  <c r="W95" i="20" s="1"/>
  <c r="Q95" i="20"/>
  <c r="V95" i="20" s="1"/>
  <c r="P95" i="20"/>
  <c r="Y94" i="20"/>
  <c r="R94" i="20"/>
  <c r="W94" i="20" s="1"/>
  <c r="Q94" i="20"/>
  <c r="V94" i="20" s="1"/>
  <c r="P94" i="20"/>
  <c r="U94" i="20" s="1"/>
  <c r="Y93" i="20"/>
  <c r="R93" i="20"/>
  <c r="W93" i="20" s="1"/>
  <c r="Q93" i="20"/>
  <c r="V93" i="20" s="1"/>
  <c r="P93" i="20"/>
  <c r="U93" i="20" s="1"/>
  <c r="Y92" i="20"/>
  <c r="R92" i="20"/>
  <c r="W92" i="20" s="1"/>
  <c r="Q92" i="20"/>
  <c r="V92" i="20" s="1"/>
  <c r="P92" i="20"/>
  <c r="U92" i="20" s="1"/>
  <c r="Y91" i="20"/>
  <c r="R91" i="20"/>
  <c r="W91" i="20" s="1"/>
  <c r="Q91" i="20"/>
  <c r="V91" i="20" s="1"/>
  <c r="P91" i="20"/>
  <c r="Y90" i="20"/>
  <c r="R90" i="20"/>
  <c r="W90" i="20" s="1"/>
  <c r="Q90" i="20"/>
  <c r="V90" i="20" s="1"/>
  <c r="P90" i="20"/>
  <c r="U90" i="20" s="1"/>
  <c r="Y89" i="20"/>
  <c r="R89" i="20"/>
  <c r="W89" i="20" s="1"/>
  <c r="Q89" i="20"/>
  <c r="V89" i="20" s="1"/>
  <c r="P89" i="20"/>
  <c r="Y88" i="20"/>
  <c r="R88" i="20"/>
  <c r="W88" i="20" s="1"/>
  <c r="Q88" i="20"/>
  <c r="V88" i="20" s="1"/>
  <c r="P88" i="20"/>
  <c r="U88" i="20" s="1"/>
  <c r="Y87" i="20"/>
  <c r="R87" i="20"/>
  <c r="W87" i="20" s="1"/>
  <c r="Q87" i="20"/>
  <c r="V87" i="20" s="1"/>
  <c r="P87" i="20"/>
  <c r="U87" i="20" s="1"/>
  <c r="Y83" i="20"/>
  <c r="R83" i="20"/>
  <c r="W83" i="20" s="1"/>
  <c r="Q83" i="20"/>
  <c r="V83" i="20" s="1"/>
  <c r="P83" i="20"/>
  <c r="U83" i="20" s="1"/>
  <c r="Y82" i="20"/>
  <c r="R82" i="20"/>
  <c r="W82" i="20" s="1"/>
  <c r="Q82" i="20"/>
  <c r="V82" i="20" s="1"/>
  <c r="P82" i="20"/>
  <c r="Y81" i="20"/>
  <c r="R81" i="20"/>
  <c r="W81" i="20" s="1"/>
  <c r="Q81" i="20"/>
  <c r="V81" i="20" s="1"/>
  <c r="P81" i="20"/>
  <c r="U81" i="20" s="1"/>
  <c r="Y80" i="20"/>
  <c r="R80" i="20"/>
  <c r="W80" i="20" s="1"/>
  <c r="Q80" i="20"/>
  <c r="V80" i="20" s="1"/>
  <c r="P80" i="20"/>
  <c r="Y79" i="20"/>
  <c r="R79" i="20"/>
  <c r="W79" i="20" s="1"/>
  <c r="Q79" i="20"/>
  <c r="V79" i="20" s="1"/>
  <c r="P79" i="20"/>
  <c r="U79" i="20" s="1"/>
  <c r="Y78" i="20"/>
  <c r="R78" i="20"/>
  <c r="W78" i="20" s="1"/>
  <c r="Q78" i="20"/>
  <c r="V78" i="20" s="1"/>
  <c r="P78" i="20"/>
  <c r="U78" i="20" s="1"/>
  <c r="Y77" i="20"/>
  <c r="R77" i="20"/>
  <c r="W77" i="20" s="1"/>
  <c r="Q77" i="20"/>
  <c r="V77" i="20" s="1"/>
  <c r="P77" i="20"/>
  <c r="U77" i="20" s="1"/>
  <c r="Y76" i="20"/>
  <c r="R76" i="20"/>
  <c r="W76" i="20" s="1"/>
  <c r="Q76" i="20"/>
  <c r="V76" i="20" s="1"/>
  <c r="P76" i="20"/>
  <c r="U76" i="20" s="1"/>
  <c r="Y315" i="20"/>
  <c r="R315" i="20"/>
  <c r="W315" i="20" s="1"/>
  <c r="Q315" i="20"/>
  <c r="V315" i="20" s="1"/>
  <c r="P315" i="20"/>
  <c r="U315" i="20" s="1"/>
  <c r="Y86" i="20"/>
  <c r="R86" i="20"/>
  <c r="W86" i="20" s="1"/>
  <c r="Q86" i="20"/>
  <c r="V86" i="20" s="1"/>
  <c r="P86" i="20"/>
  <c r="Y85" i="20"/>
  <c r="R85" i="20"/>
  <c r="W85" i="20" s="1"/>
  <c r="Q85" i="20"/>
  <c r="V85" i="20" s="1"/>
  <c r="P85" i="20"/>
  <c r="U85" i="20" s="1"/>
  <c r="Y84" i="20"/>
  <c r="R84" i="20"/>
  <c r="W84" i="20" s="1"/>
  <c r="Q84" i="20"/>
  <c r="V84" i="20" s="1"/>
  <c r="P84" i="20"/>
  <c r="U84" i="20" s="1"/>
  <c r="Y66" i="20"/>
  <c r="R66" i="20"/>
  <c r="W66" i="20" s="1"/>
  <c r="Q66" i="20"/>
  <c r="V66" i="20" s="1"/>
  <c r="P66" i="20"/>
  <c r="U66" i="20" s="1"/>
  <c r="Y65" i="20"/>
  <c r="R65" i="20"/>
  <c r="Q65" i="20"/>
  <c r="V65" i="20" s="1"/>
  <c r="P65" i="20"/>
  <c r="U65" i="20" s="1"/>
  <c r="Y64" i="20"/>
  <c r="R64" i="20"/>
  <c r="W64" i="20" s="1"/>
  <c r="Q64" i="20"/>
  <c r="V64" i="20" s="1"/>
  <c r="P64" i="20"/>
  <c r="U64" i="20" s="1"/>
  <c r="Y63" i="20"/>
  <c r="R63" i="20"/>
  <c r="W63" i="20" s="1"/>
  <c r="Q63" i="20"/>
  <c r="V63" i="20" s="1"/>
  <c r="P63" i="20"/>
  <c r="Y62" i="20"/>
  <c r="R62" i="20"/>
  <c r="W62" i="20" s="1"/>
  <c r="Q62" i="20"/>
  <c r="V62" i="20" s="1"/>
  <c r="P62" i="20"/>
  <c r="U62" i="20" s="1"/>
  <c r="Y75" i="20"/>
  <c r="R75" i="20"/>
  <c r="W75" i="20" s="1"/>
  <c r="Q75" i="20"/>
  <c r="V75" i="20" s="1"/>
  <c r="P75" i="20"/>
  <c r="U75" i="20" s="1"/>
  <c r="Y74" i="20"/>
  <c r="R74" i="20"/>
  <c r="W74" i="20" s="1"/>
  <c r="Q74" i="20"/>
  <c r="V74" i="20" s="1"/>
  <c r="P74" i="20"/>
  <c r="U74" i="20" s="1"/>
  <c r="Y73" i="20"/>
  <c r="R73" i="20"/>
  <c r="W73" i="20" s="1"/>
  <c r="Q73" i="20"/>
  <c r="V73" i="20" s="1"/>
  <c r="P73" i="20"/>
  <c r="Y72" i="20"/>
  <c r="R72" i="20"/>
  <c r="W72" i="20" s="1"/>
  <c r="Q72" i="20"/>
  <c r="V72" i="20" s="1"/>
  <c r="P72" i="20"/>
  <c r="U72" i="20" s="1"/>
  <c r="Y71" i="20"/>
  <c r="R71" i="20"/>
  <c r="W71" i="20" s="1"/>
  <c r="Q71" i="20"/>
  <c r="V71" i="20" s="1"/>
  <c r="P71" i="20"/>
  <c r="Y70" i="20"/>
  <c r="R70" i="20"/>
  <c r="W70" i="20" s="1"/>
  <c r="Q70" i="20"/>
  <c r="V70" i="20" s="1"/>
  <c r="P70" i="20"/>
  <c r="U70" i="20" s="1"/>
  <c r="Y69" i="20"/>
  <c r="R69" i="20"/>
  <c r="W69" i="20" s="1"/>
  <c r="Q69" i="20"/>
  <c r="V69" i="20" s="1"/>
  <c r="P69" i="20"/>
  <c r="U69" i="20" s="1"/>
  <c r="Y68" i="20"/>
  <c r="R68" i="20"/>
  <c r="W68" i="20" s="1"/>
  <c r="Q68" i="20"/>
  <c r="V68" i="20" s="1"/>
  <c r="P68" i="20"/>
  <c r="U68" i="20" s="1"/>
  <c r="Y67" i="20"/>
  <c r="R67" i="20"/>
  <c r="W67" i="20" s="1"/>
  <c r="Q67" i="20"/>
  <c r="V67" i="20" s="1"/>
  <c r="P67" i="20"/>
  <c r="Y314" i="20"/>
  <c r="R314" i="20"/>
  <c r="W314" i="20" s="1"/>
  <c r="Q314" i="20"/>
  <c r="V314" i="20" s="1"/>
  <c r="P314" i="20"/>
  <c r="U314" i="20" s="1"/>
  <c r="Y61" i="20"/>
  <c r="R61" i="20"/>
  <c r="W61" i="20" s="1"/>
  <c r="Q61" i="20"/>
  <c r="V61" i="20" s="1"/>
  <c r="P61" i="20"/>
  <c r="Y60" i="20"/>
  <c r="R60" i="20"/>
  <c r="W60" i="20" s="1"/>
  <c r="Q60" i="20"/>
  <c r="V60" i="20" s="1"/>
  <c r="P60" i="20"/>
  <c r="U60" i="20" s="1"/>
  <c r="Y59" i="20"/>
  <c r="R59" i="20"/>
  <c r="W59" i="20" s="1"/>
  <c r="Q59" i="20"/>
  <c r="V59" i="20" s="1"/>
  <c r="P59" i="20"/>
  <c r="U59" i="20" s="1"/>
  <c r="Y58" i="20"/>
  <c r="R58" i="20"/>
  <c r="W58" i="20" s="1"/>
  <c r="Q58" i="20"/>
  <c r="V58" i="20" s="1"/>
  <c r="P58" i="20"/>
  <c r="U58" i="20" s="1"/>
  <c r="Y57" i="20"/>
  <c r="R57" i="20"/>
  <c r="W57" i="20" s="1"/>
  <c r="Q57" i="20"/>
  <c r="V57" i="20" s="1"/>
  <c r="P57" i="20"/>
  <c r="Y56" i="20"/>
  <c r="R56" i="20"/>
  <c r="W56" i="20" s="1"/>
  <c r="Q56" i="20"/>
  <c r="V56" i="20" s="1"/>
  <c r="P56" i="20"/>
  <c r="Y55" i="20"/>
  <c r="R55" i="20"/>
  <c r="W55" i="20" s="1"/>
  <c r="Q55" i="20"/>
  <c r="V55" i="20" s="1"/>
  <c r="P55" i="20"/>
  <c r="Y54" i="20"/>
  <c r="R54" i="20"/>
  <c r="W54" i="20" s="1"/>
  <c r="Q54" i="20"/>
  <c r="V54" i="20" s="1"/>
  <c r="P54" i="20"/>
  <c r="U54" i="20" s="1"/>
  <c r="Y53" i="20"/>
  <c r="R53" i="20"/>
  <c r="W53" i="20" s="1"/>
  <c r="Q53" i="20"/>
  <c r="V53" i="20" s="1"/>
  <c r="P53" i="20"/>
  <c r="U53" i="20" s="1"/>
  <c r="Y52" i="20"/>
  <c r="R52" i="20"/>
  <c r="W52" i="20" s="1"/>
  <c r="Q52" i="20"/>
  <c r="V52" i="20" s="1"/>
  <c r="P52" i="20"/>
  <c r="U52" i="20" s="1"/>
  <c r="Y51" i="20"/>
  <c r="R51" i="20"/>
  <c r="W51" i="20" s="1"/>
  <c r="Q51" i="20"/>
  <c r="V51" i="20" s="1"/>
  <c r="P51" i="20"/>
  <c r="Y50" i="20"/>
  <c r="R50" i="20"/>
  <c r="W50" i="20" s="1"/>
  <c r="Q50" i="20"/>
  <c r="V50" i="20" s="1"/>
  <c r="P50" i="20"/>
  <c r="Y49" i="20"/>
  <c r="R49" i="20"/>
  <c r="W49" i="20" s="1"/>
  <c r="Q49" i="20"/>
  <c r="V49" i="20" s="1"/>
  <c r="P49" i="20"/>
  <c r="Y313" i="20"/>
  <c r="R313" i="20"/>
  <c r="W313" i="20" s="1"/>
  <c r="Q313" i="20"/>
  <c r="V313" i="20" s="1"/>
  <c r="P313" i="20"/>
  <c r="U313" i="20" s="1"/>
  <c r="Y44" i="20"/>
  <c r="R44" i="20"/>
  <c r="W44" i="20" s="1"/>
  <c r="Q44" i="20"/>
  <c r="V44" i="20" s="1"/>
  <c r="P44" i="20"/>
  <c r="U44" i="20" s="1"/>
  <c r="Y43" i="20"/>
  <c r="R43" i="20"/>
  <c r="W43" i="20" s="1"/>
  <c r="Q43" i="20"/>
  <c r="V43" i="20" s="1"/>
  <c r="P43" i="20"/>
  <c r="U43" i="20" s="1"/>
  <c r="Y42" i="20"/>
  <c r="R42" i="20"/>
  <c r="W42" i="20" s="1"/>
  <c r="Q42" i="20"/>
  <c r="V42" i="20" s="1"/>
  <c r="P42" i="20"/>
  <c r="Y41" i="20"/>
  <c r="R41" i="20"/>
  <c r="W41" i="20" s="1"/>
  <c r="Q41" i="20"/>
  <c r="V41" i="20" s="1"/>
  <c r="P41" i="20"/>
  <c r="Y40" i="20"/>
  <c r="R40" i="20"/>
  <c r="W40" i="20" s="1"/>
  <c r="Q40" i="20"/>
  <c r="V40" i="20" s="1"/>
  <c r="P40" i="20"/>
  <c r="Y48" i="20"/>
  <c r="R48" i="20"/>
  <c r="W48" i="20" s="1"/>
  <c r="Q48" i="20"/>
  <c r="V48" i="20" s="1"/>
  <c r="P48" i="20"/>
  <c r="U48" i="20" s="1"/>
  <c r="Y47" i="20"/>
  <c r="R47" i="20"/>
  <c r="W47" i="20" s="1"/>
  <c r="Q47" i="20"/>
  <c r="V47" i="20" s="1"/>
  <c r="P47" i="20"/>
  <c r="U47" i="20" s="1"/>
  <c r="Y46" i="20"/>
  <c r="R46" i="20"/>
  <c r="W46" i="20" s="1"/>
  <c r="Q46" i="20"/>
  <c r="V46" i="20" s="1"/>
  <c r="P46" i="20"/>
  <c r="U46" i="20" s="1"/>
  <c r="Y45" i="20"/>
  <c r="R45" i="20"/>
  <c r="W45" i="20" s="1"/>
  <c r="Q45" i="20"/>
  <c r="V45" i="20" s="1"/>
  <c r="P45" i="20"/>
  <c r="Y327" i="20"/>
  <c r="R327" i="20"/>
  <c r="W327" i="20" s="1"/>
  <c r="Q327" i="20"/>
  <c r="V327" i="20" s="1"/>
  <c r="P327" i="20"/>
  <c r="Y37" i="20"/>
  <c r="R37" i="20"/>
  <c r="W37" i="20" s="1"/>
  <c r="Q37" i="20"/>
  <c r="V37" i="20" s="1"/>
  <c r="P37" i="20"/>
  <c r="Y36" i="20"/>
  <c r="R36" i="20"/>
  <c r="W36" i="20" s="1"/>
  <c r="Q36" i="20"/>
  <c r="V36" i="20" s="1"/>
  <c r="P36" i="20"/>
  <c r="U36" i="20" s="1"/>
  <c r="Y35" i="20"/>
  <c r="R35" i="20"/>
  <c r="W35" i="20" s="1"/>
  <c r="Q35" i="20"/>
  <c r="V35" i="20" s="1"/>
  <c r="P35" i="20"/>
  <c r="U35" i="20" s="1"/>
  <c r="Y34" i="20"/>
  <c r="R34" i="20"/>
  <c r="W34" i="20" s="1"/>
  <c r="Q34" i="20"/>
  <c r="V34" i="20" s="1"/>
  <c r="P34" i="20"/>
  <c r="U34" i="20" s="1"/>
  <c r="Y33" i="20"/>
  <c r="R33" i="20"/>
  <c r="W33" i="20" s="1"/>
  <c r="Q33" i="20"/>
  <c r="V33" i="20" s="1"/>
  <c r="P33" i="20"/>
  <c r="U33" i="20" s="1"/>
  <c r="Y32" i="20"/>
  <c r="R32" i="20"/>
  <c r="W32" i="20" s="1"/>
  <c r="Q32" i="20"/>
  <c r="V32" i="20" s="1"/>
  <c r="P32" i="20"/>
  <c r="Y31" i="20"/>
  <c r="R31" i="20"/>
  <c r="W31" i="20" s="1"/>
  <c r="Q31" i="20"/>
  <c r="V31" i="20" s="1"/>
  <c r="P31" i="20"/>
  <c r="Y39" i="20"/>
  <c r="R39" i="20"/>
  <c r="W39" i="20" s="1"/>
  <c r="Q39" i="20"/>
  <c r="V39" i="20" s="1"/>
  <c r="P39" i="20"/>
  <c r="U39" i="20" s="1"/>
  <c r="Y38" i="20"/>
  <c r="R38" i="20"/>
  <c r="W38" i="20" s="1"/>
  <c r="Q38" i="20"/>
  <c r="V38" i="20" s="1"/>
  <c r="P38" i="20"/>
  <c r="U38" i="20" s="1"/>
  <c r="Y30" i="20"/>
  <c r="R30" i="20"/>
  <c r="W30" i="20" s="1"/>
  <c r="Q30" i="20"/>
  <c r="V30" i="20" s="1"/>
  <c r="P30" i="20"/>
  <c r="U30" i="20" s="1"/>
  <c r="Y29" i="20"/>
  <c r="R29" i="20"/>
  <c r="W29" i="20" s="1"/>
  <c r="Q29" i="20"/>
  <c r="V29" i="20" s="1"/>
  <c r="P29" i="20"/>
  <c r="Y28" i="20"/>
  <c r="R28" i="20"/>
  <c r="W28" i="20" s="1"/>
  <c r="Q28" i="20"/>
  <c r="V28" i="20" s="1"/>
  <c r="P28" i="20"/>
  <c r="Y27" i="20"/>
  <c r="R27" i="20"/>
  <c r="W27" i="20" s="1"/>
  <c r="Q27" i="20"/>
  <c r="V27" i="20" s="1"/>
  <c r="P27" i="20"/>
  <c r="Y26" i="20"/>
  <c r="R26" i="20"/>
  <c r="W26" i="20" s="1"/>
  <c r="Q26" i="20"/>
  <c r="V26" i="20" s="1"/>
  <c r="P26" i="20"/>
  <c r="U26" i="20" s="1"/>
  <c r="Y312" i="20"/>
  <c r="R312" i="20"/>
  <c r="W312" i="20" s="1"/>
  <c r="Q312" i="20"/>
  <c r="V312" i="20" s="1"/>
  <c r="P312" i="20"/>
  <c r="U312" i="20" s="1"/>
  <c r="Y25" i="20"/>
  <c r="R25" i="20"/>
  <c r="W25" i="20" s="1"/>
  <c r="Q25" i="20"/>
  <c r="V25" i="20" s="1"/>
  <c r="P25" i="20"/>
  <c r="U25" i="20" s="1"/>
  <c r="Y24" i="20"/>
  <c r="R24" i="20"/>
  <c r="W24" i="20" s="1"/>
  <c r="Q24" i="20"/>
  <c r="V24" i="20" s="1"/>
  <c r="P24" i="20"/>
  <c r="Y23" i="20"/>
  <c r="R23" i="20"/>
  <c r="W23" i="20" s="1"/>
  <c r="Q23" i="20"/>
  <c r="V23" i="20" s="1"/>
  <c r="P23" i="20"/>
  <c r="Y22" i="20"/>
  <c r="R22" i="20"/>
  <c r="W22" i="20" s="1"/>
  <c r="Q22" i="20"/>
  <c r="V22" i="20" s="1"/>
  <c r="P22" i="20"/>
  <c r="Y21" i="20"/>
  <c r="R21" i="20"/>
  <c r="W21" i="20" s="1"/>
  <c r="Q21" i="20"/>
  <c r="V21" i="20" s="1"/>
  <c r="P21" i="20"/>
  <c r="U21" i="20" s="1"/>
  <c r="Y20" i="20"/>
  <c r="R20" i="20"/>
  <c r="W20" i="20" s="1"/>
  <c r="Q20" i="20"/>
  <c r="V20" i="20" s="1"/>
  <c r="P20" i="20"/>
  <c r="U20" i="20" s="1"/>
  <c r="Y19" i="20"/>
  <c r="R19" i="20"/>
  <c r="W19" i="20" s="1"/>
  <c r="Q19" i="20"/>
  <c r="V19" i="20" s="1"/>
  <c r="P19" i="20"/>
  <c r="U19" i="20" s="1"/>
  <c r="Y18" i="20"/>
  <c r="R18" i="20"/>
  <c r="W18" i="20" s="1"/>
  <c r="Q18" i="20"/>
  <c r="V18" i="20" s="1"/>
  <c r="P18" i="20"/>
  <c r="U18" i="20" s="1"/>
  <c r="Y17" i="20"/>
  <c r="R17" i="20"/>
  <c r="W17" i="20" s="1"/>
  <c r="Q17" i="20"/>
  <c r="V17" i="20" s="1"/>
  <c r="P17" i="20"/>
  <c r="U17" i="20" s="1"/>
  <c r="Y16" i="20"/>
  <c r="R16" i="20"/>
  <c r="W16" i="20" s="1"/>
  <c r="Q16" i="20"/>
  <c r="V16" i="20" s="1"/>
  <c r="P16" i="20"/>
  <c r="U16" i="20" s="1"/>
  <c r="Y15" i="20"/>
  <c r="R15" i="20"/>
  <c r="W15" i="20" s="1"/>
  <c r="Q15" i="20"/>
  <c r="V15" i="20" s="1"/>
  <c r="P15" i="20"/>
  <c r="U15" i="20" s="1"/>
  <c r="Y11" i="20"/>
  <c r="R11" i="20"/>
  <c r="W11" i="20" s="1"/>
  <c r="Q11" i="20"/>
  <c r="V11" i="20" s="1"/>
  <c r="P11" i="20"/>
  <c r="U11" i="20" s="1"/>
  <c r="Y10" i="20"/>
  <c r="R10" i="20"/>
  <c r="W10" i="20" s="1"/>
  <c r="Q10" i="20"/>
  <c r="V10" i="20" s="1"/>
  <c r="P10" i="20"/>
  <c r="U10" i="20" s="1"/>
  <c r="Y9" i="20"/>
  <c r="R9" i="20"/>
  <c r="W9" i="20" s="1"/>
  <c r="Q9" i="20"/>
  <c r="V9" i="20" s="1"/>
  <c r="P9" i="20"/>
  <c r="U9" i="20" s="1"/>
  <c r="Y8" i="20"/>
  <c r="R8" i="20"/>
  <c r="W8" i="20" s="1"/>
  <c r="Q8" i="20"/>
  <c r="V8" i="20" s="1"/>
  <c r="P8" i="20"/>
  <c r="U8" i="20" s="1"/>
  <c r="Y7" i="20"/>
  <c r="R7" i="20"/>
  <c r="Q7" i="20"/>
  <c r="V7" i="20" s="1"/>
  <c r="P7" i="20"/>
  <c r="U7" i="20" s="1"/>
  <c r="Y6" i="20"/>
  <c r="R6" i="20"/>
  <c r="W6" i="20" s="1"/>
  <c r="Q6" i="20"/>
  <c r="V6" i="20" s="1"/>
  <c r="P6" i="20"/>
  <c r="U6" i="20" s="1"/>
  <c r="Y5" i="20"/>
  <c r="R5" i="20"/>
  <c r="W5" i="20" s="1"/>
  <c r="Q5" i="20"/>
  <c r="V5" i="20" s="1"/>
  <c r="P5" i="20"/>
  <c r="U5" i="20" s="1"/>
  <c r="Y4" i="20"/>
  <c r="R4" i="20"/>
  <c r="W4" i="20" s="1"/>
  <c r="Q4" i="20"/>
  <c r="V4" i="20" s="1"/>
  <c r="P4" i="20"/>
  <c r="U4" i="20" s="1"/>
  <c r="Y3" i="20"/>
  <c r="R3" i="20"/>
  <c r="W3" i="20" s="1"/>
  <c r="Q3" i="20"/>
  <c r="V3" i="20" s="1"/>
  <c r="P3" i="20"/>
  <c r="Y2" i="20"/>
  <c r="R2" i="20"/>
  <c r="W2" i="20" s="1"/>
  <c r="Q2" i="20"/>
  <c r="V2" i="20" s="1"/>
  <c r="P2" i="20"/>
  <c r="U2" i="20" s="1"/>
  <c r="Y14" i="20"/>
  <c r="R14" i="20"/>
  <c r="Q14" i="20"/>
  <c r="V14" i="20" s="1"/>
  <c r="P14" i="20"/>
  <c r="U14" i="20" s="1"/>
  <c r="Y13" i="20"/>
  <c r="R13" i="20"/>
  <c r="W13" i="20" s="1"/>
  <c r="Q13" i="20"/>
  <c r="V13" i="20" s="1"/>
  <c r="P13" i="20"/>
  <c r="U13" i="20" s="1"/>
  <c r="Y12" i="20"/>
  <c r="R12" i="20"/>
  <c r="W12" i="20" s="1"/>
  <c r="Q12" i="20"/>
  <c r="V12" i="20" s="1"/>
  <c r="P12" i="20"/>
  <c r="U12" i="20" s="1"/>
  <c r="Y311" i="20"/>
  <c r="R311" i="20"/>
  <c r="W311" i="20" s="1"/>
  <c r="Q311" i="20"/>
  <c r="V311" i="20" s="1"/>
  <c r="P311" i="20"/>
  <c r="U311" i="20" s="1"/>
  <c r="O314" i="19"/>
  <c r="O266" i="19"/>
  <c r="O254" i="19"/>
  <c r="O110" i="19"/>
  <c r="M85" i="19"/>
  <c r="M81" i="19"/>
  <c r="M62" i="19"/>
  <c r="M57" i="19"/>
  <c r="M50" i="19"/>
  <c r="M34" i="19"/>
  <c r="M26" i="19"/>
  <c r="M22" i="19"/>
  <c r="K319" i="19"/>
  <c r="K318" i="19"/>
  <c r="K317" i="19"/>
  <c r="K316" i="19"/>
  <c r="K315" i="19"/>
  <c r="K314" i="19"/>
  <c r="K313" i="19"/>
  <c r="K312" i="19"/>
  <c r="K311" i="19"/>
  <c r="K310" i="19"/>
  <c r="O310" i="19" s="1"/>
  <c r="K309" i="19"/>
  <c r="K308" i="19"/>
  <c r="K307" i="19"/>
  <c r="K306" i="19"/>
  <c r="K305" i="19"/>
  <c r="K304" i="19"/>
  <c r="K303" i="19"/>
  <c r="K302" i="19"/>
  <c r="O302" i="19" s="1"/>
  <c r="K301" i="19"/>
  <c r="K300" i="19"/>
  <c r="K299" i="19"/>
  <c r="K298" i="19"/>
  <c r="K297" i="19"/>
  <c r="K296" i="19"/>
  <c r="K295" i="19"/>
  <c r="K294" i="19"/>
  <c r="K293" i="19"/>
  <c r="K292" i="19"/>
  <c r="K291" i="19"/>
  <c r="K290" i="19"/>
  <c r="K289" i="19"/>
  <c r="K288" i="19"/>
  <c r="K287" i="19"/>
  <c r="K286" i="19"/>
  <c r="K285" i="19"/>
  <c r="K284" i="19"/>
  <c r="K283" i="19"/>
  <c r="K282" i="19"/>
  <c r="K281" i="19"/>
  <c r="K280" i="19"/>
  <c r="K279" i="19"/>
  <c r="K278" i="19"/>
  <c r="O278" i="19" s="1"/>
  <c r="K277" i="19"/>
  <c r="K276" i="19"/>
  <c r="K275" i="19"/>
  <c r="K274" i="19"/>
  <c r="K273" i="19"/>
  <c r="K272" i="19"/>
  <c r="K271" i="19"/>
  <c r="K270" i="19"/>
  <c r="K269" i="19"/>
  <c r="K268" i="19"/>
  <c r="K267" i="19"/>
  <c r="K266" i="19"/>
  <c r="K265" i="19"/>
  <c r="K264" i="19"/>
  <c r="K263" i="19"/>
  <c r="K262" i="19"/>
  <c r="O262" i="19" s="1"/>
  <c r="K261" i="19"/>
  <c r="K260" i="19"/>
  <c r="K259" i="19"/>
  <c r="K258" i="19"/>
  <c r="K257" i="19"/>
  <c r="K256" i="19"/>
  <c r="K255" i="19"/>
  <c r="K254" i="19"/>
  <c r="K253" i="19"/>
  <c r="K252" i="19"/>
  <c r="K251" i="19"/>
  <c r="K250" i="19"/>
  <c r="K249" i="19"/>
  <c r="K248" i="19"/>
  <c r="K247" i="19"/>
  <c r="K246" i="19"/>
  <c r="K245" i="19"/>
  <c r="K244" i="19"/>
  <c r="K243" i="19"/>
  <c r="K242" i="19"/>
  <c r="K241" i="19"/>
  <c r="K240" i="19"/>
  <c r="K239" i="19"/>
  <c r="K238" i="19"/>
  <c r="K237" i="19"/>
  <c r="K236" i="19"/>
  <c r="K235" i="19"/>
  <c r="Z235" i="19" s="1"/>
  <c r="K234" i="19"/>
  <c r="K233" i="19"/>
  <c r="K232" i="19"/>
  <c r="K231" i="19"/>
  <c r="K230" i="19"/>
  <c r="O230" i="19" s="1"/>
  <c r="K229" i="19"/>
  <c r="K228" i="19"/>
  <c r="K227" i="19"/>
  <c r="K226" i="19"/>
  <c r="K225" i="19"/>
  <c r="K224" i="19"/>
  <c r="K223" i="19"/>
  <c r="K222" i="19"/>
  <c r="K221" i="19"/>
  <c r="K220" i="19"/>
  <c r="K219" i="19"/>
  <c r="K218" i="19"/>
  <c r="O218" i="19" s="1"/>
  <c r="K217" i="19"/>
  <c r="K216" i="19"/>
  <c r="K215" i="19"/>
  <c r="K214" i="19"/>
  <c r="O214" i="19" s="1"/>
  <c r="K213" i="19"/>
  <c r="K212" i="19"/>
  <c r="K211" i="19"/>
  <c r="Z211" i="19" s="1"/>
  <c r="K210" i="19"/>
  <c r="K209" i="19"/>
  <c r="K208" i="19"/>
  <c r="K207" i="19"/>
  <c r="K206" i="19"/>
  <c r="O206" i="19" s="1"/>
  <c r="K205" i="19"/>
  <c r="K204" i="19"/>
  <c r="K203" i="19"/>
  <c r="K202" i="19"/>
  <c r="K201" i="19"/>
  <c r="K200" i="19"/>
  <c r="K199" i="19"/>
  <c r="Z199" i="19" s="1"/>
  <c r="K198" i="19"/>
  <c r="K197" i="19"/>
  <c r="K196" i="19"/>
  <c r="K195" i="19"/>
  <c r="K194" i="19"/>
  <c r="K193" i="19"/>
  <c r="K192" i="19"/>
  <c r="K191" i="19"/>
  <c r="K190" i="19"/>
  <c r="K189" i="19"/>
  <c r="K188" i="19"/>
  <c r="K187" i="19"/>
  <c r="K186" i="19"/>
  <c r="K185" i="19"/>
  <c r="K184" i="19"/>
  <c r="K183" i="19"/>
  <c r="K182" i="19"/>
  <c r="O182" i="19" s="1"/>
  <c r="K181" i="19"/>
  <c r="K180" i="19"/>
  <c r="K179" i="19"/>
  <c r="K178" i="19"/>
  <c r="K177" i="19"/>
  <c r="K176" i="19"/>
  <c r="K175" i="19"/>
  <c r="K174" i="19"/>
  <c r="K173" i="19"/>
  <c r="K172" i="19"/>
  <c r="K171" i="19"/>
  <c r="K170" i="19"/>
  <c r="O170" i="19" s="1"/>
  <c r="K169" i="19"/>
  <c r="K168" i="19"/>
  <c r="K167" i="19"/>
  <c r="K166" i="19"/>
  <c r="O166" i="19" s="1"/>
  <c r="K165" i="19"/>
  <c r="K164" i="19"/>
  <c r="K163" i="19"/>
  <c r="K162" i="19"/>
  <c r="K161" i="19"/>
  <c r="K160" i="19"/>
  <c r="K159" i="19"/>
  <c r="K158" i="19"/>
  <c r="O158" i="19" s="1"/>
  <c r="K157" i="19"/>
  <c r="K156" i="19"/>
  <c r="K155" i="19"/>
  <c r="K154" i="19"/>
  <c r="K153" i="19"/>
  <c r="K152" i="19"/>
  <c r="K151" i="19"/>
  <c r="K150" i="19"/>
  <c r="K149" i="19"/>
  <c r="K148" i="19"/>
  <c r="K147" i="19"/>
  <c r="K146" i="19"/>
  <c r="K145" i="19"/>
  <c r="K144" i="19"/>
  <c r="K143" i="19"/>
  <c r="K142" i="19"/>
  <c r="K141" i="19"/>
  <c r="K140" i="19"/>
  <c r="K139" i="19"/>
  <c r="K138" i="19"/>
  <c r="K137" i="19"/>
  <c r="K136" i="19"/>
  <c r="K135" i="19"/>
  <c r="K134" i="19"/>
  <c r="O134" i="19" s="1"/>
  <c r="K133" i="19"/>
  <c r="K132" i="19"/>
  <c r="K131" i="19"/>
  <c r="K130" i="19"/>
  <c r="K129" i="19"/>
  <c r="K128" i="19"/>
  <c r="K127" i="19"/>
  <c r="K126" i="19"/>
  <c r="K125" i="19"/>
  <c r="K124" i="19"/>
  <c r="K123" i="19"/>
  <c r="K122" i="19"/>
  <c r="O122" i="19" s="1"/>
  <c r="K121" i="19"/>
  <c r="K120" i="19"/>
  <c r="K119" i="19"/>
  <c r="K118" i="19"/>
  <c r="O118" i="19" s="1"/>
  <c r="K117" i="19"/>
  <c r="K116" i="19"/>
  <c r="K115" i="19"/>
  <c r="K114" i="19"/>
  <c r="K113" i="19"/>
  <c r="K112" i="19"/>
  <c r="K111" i="19"/>
  <c r="K110" i="19"/>
  <c r="K109" i="19"/>
  <c r="K108" i="19"/>
  <c r="K107" i="19"/>
  <c r="K106" i="19"/>
  <c r="K105" i="19"/>
  <c r="K104" i="19"/>
  <c r="K103" i="19"/>
  <c r="K102" i="19"/>
  <c r="K101" i="19"/>
  <c r="K100" i="19"/>
  <c r="K99" i="19"/>
  <c r="K98" i="19"/>
  <c r="K97" i="19"/>
  <c r="K96" i="19"/>
  <c r="K95" i="19"/>
  <c r="K94" i="19"/>
  <c r="K93" i="19"/>
  <c r="K92" i="19"/>
  <c r="K91" i="19"/>
  <c r="Z91" i="19" s="1"/>
  <c r="K90" i="19"/>
  <c r="Z90" i="19" s="1"/>
  <c r="K89" i="19"/>
  <c r="Z89" i="19" s="1"/>
  <c r="K88" i="19"/>
  <c r="Z88" i="19" s="1"/>
  <c r="K87" i="19"/>
  <c r="Z87" i="19" s="1"/>
  <c r="K86" i="19"/>
  <c r="Z86" i="19" s="1"/>
  <c r="K85" i="19"/>
  <c r="Z85" i="19" s="1"/>
  <c r="K84" i="19"/>
  <c r="Z84" i="19" s="1"/>
  <c r="K83" i="19"/>
  <c r="Z83" i="19" s="1"/>
  <c r="K82" i="19"/>
  <c r="Z82" i="19" s="1"/>
  <c r="K81" i="19"/>
  <c r="Z81" i="19" s="1"/>
  <c r="K80" i="19"/>
  <c r="Z80" i="19" s="1"/>
  <c r="K79" i="19"/>
  <c r="O79" i="19" s="1"/>
  <c r="K78" i="19"/>
  <c r="Z78" i="19" s="1"/>
  <c r="K77" i="19"/>
  <c r="Z77" i="19" s="1"/>
  <c r="K76" i="19"/>
  <c r="Z76" i="19" s="1"/>
  <c r="K75" i="19"/>
  <c r="Z75" i="19" s="1"/>
  <c r="K74" i="19"/>
  <c r="Z74" i="19" s="1"/>
  <c r="K73" i="19"/>
  <c r="Z73" i="19" s="1"/>
  <c r="K72" i="19"/>
  <c r="Z72" i="19" s="1"/>
  <c r="K71" i="19"/>
  <c r="Z71" i="19" s="1"/>
  <c r="K70" i="19"/>
  <c r="Z70" i="19" s="1"/>
  <c r="K69" i="19"/>
  <c r="Z69" i="19" s="1"/>
  <c r="K68" i="19"/>
  <c r="Z68" i="19" s="1"/>
  <c r="K67" i="19"/>
  <c r="O67" i="19" s="1"/>
  <c r="K66" i="19"/>
  <c r="Z66" i="19" s="1"/>
  <c r="K65" i="19"/>
  <c r="Z65" i="19" s="1"/>
  <c r="K64" i="19"/>
  <c r="Z64" i="19" s="1"/>
  <c r="K63" i="19"/>
  <c r="Z63" i="19" s="1"/>
  <c r="K62" i="19"/>
  <c r="Z62" i="19" s="1"/>
  <c r="K61" i="19"/>
  <c r="Z61" i="19" s="1"/>
  <c r="K60" i="19"/>
  <c r="Z60" i="19" s="1"/>
  <c r="K59" i="19"/>
  <c r="Z59" i="19" s="1"/>
  <c r="K58" i="19"/>
  <c r="Z58" i="19" s="1"/>
  <c r="K57" i="19"/>
  <c r="Z57" i="19" s="1"/>
  <c r="K56" i="19"/>
  <c r="Z56" i="19" s="1"/>
  <c r="K55" i="19"/>
  <c r="O55" i="19" s="1"/>
  <c r="K54" i="19"/>
  <c r="Z54" i="19" s="1"/>
  <c r="K53" i="19"/>
  <c r="Z53" i="19" s="1"/>
  <c r="K52" i="19"/>
  <c r="Z52" i="19" s="1"/>
  <c r="K51" i="19"/>
  <c r="Z51" i="19" s="1"/>
  <c r="K50" i="19"/>
  <c r="Z50" i="19" s="1"/>
  <c r="K49" i="19"/>
  <c r="Z49" i="19" s="1"/>
  <c r="K48" i="19"/>
  <c r="Z48" i="19" s="1"/>
  <c r="K47" i="19"/>
  <c r="Z47" i="19" s="1"/>
  <c r="K46" i="19"/>
  <c r="Z46" i="19" s="1"/>
  <c r="K45" i="19"/>
  <c r="Z45" i="19" s="1"/>
  <c r="K44" i="19"/>
  <c r="Z44" i="19" s="1"/>
  <c r="K43" i="19"/>
  <c r="Z43" i="19" s="1"/>
  <c r="K42" i="19"/>
  <c r="Z42" i="19" s="1"/>
  <c r="K41" i="19"/>
  <c r="Z41" i="19" s="1"/>
  <c r="K40" i="19"/>
  <c r="Z40" i="19" s="1"/>
  <c r="K39" i="19"/>
  <c r="Z39" i="19" s="1"/>
  <c r="K38" i="19"/>
  <c r="Z38" i="19" s="1"/>
  <c r="K37" i="19"/>
  <c r="Z37" i="19" s="1"/>
  <c r="K36" i="19"/>
  <c r="Z36" i="19" s="1"/>
  <c r="K35" i="19"/>
  <c r="Z35" i="19" s="1"/>
  <c r="K34" i="19"/>
  <c r="Z34" i="19" s="1"/>
  <c r="K33" i="19"/>
  <c r="Z33" i="19" s="1"/>
  <c r="K32" i="19"/>
  <c r="Z32" i="19" s="1"/>
  <c r="K31" i="19"/>
  <c r="Z31" i="19" s="1"/>
  <c r="K30" i="19"/>
  <c r="Z30" i="19" s="1"/>
  <c r="K29" i="19"/>
  <c r="Z29" i="19" s="1"/>
  <c r="K28" i="19"/>
  <c r="Z28" i="19" s="1"/>
  <c r="K27" i="19"/>
  <c r="Z27" i="19" s="1"/>
  <c r="K26" i="19"/>
  <c r="Z26" i="19" s="1"/>
  <c r="K25" i="19"/>
  <c r="Z25" i="19" s="1"/>
  <c r="K24" i="19"/>
  <c r="Z24" i="19" s="1"/>
  <c r="K23" i="19"/>
  <c r="Z23" i="19" s="1"/>
  <c r="K22" i="19"/>
  <c r="Z22" i="19" s="1"/>
  <c r="K21" i="19"/>
  <c r="Z21" i="19" s="1"/>
  <c r="K20" i="19"/>
  <c r="Z20" i="19" s="1"/>
  <c r="K19" i="19"/>
  <c r="Z19" i="19" s="1"/>
  <c r="K18" i="19"/>
  <c r="Z18" i="19" s="1"/>
  <c r="K17" i="19"/>
  <c r="Z17" i="19" s="1"/>
  <c r="K16" i="19"/>
  <c r="Z16" i="19" s="1"/>
  <c r="K15" i="19"/>
  <c r="Z15" i="19" s="1"/>
  <c r="K14" i="19"/>
  <c r="Z14" i="19" s="1"/>
  <c r="K13" i="19"/>
  <c r="Z13" i="19" s="1"/>
  <c r="K12" i="19"/>
  <c r="Z12" i="19" s="1"/>
  <c r="K11" i="19"/>
  <c r="Z11" i="19" s="1"/>
  <c r="K10" i="19"/>
  <c r="Z10" i="19" s="1"/>
  <c r="K9" i="19"/>
  <c r="Z9" i="19" s="1"/>
  <c r="K8" i="19"/>
  <c r="Z8" i="19" s="1"/>
  <c r="K7" i="19"/>
  <c r="Z7" i="19" s="1"/>
  <c r="K6" i="19"/>
  <c r="Z6" i="19" s="1"/>
  <c r="K5" i="19"/>
  <c r="Z5" i="19" s="1"/>
  <c r="K4" i="19"/>
  <c r="Z4" i="19" s="1"/>
  <c r="K3" i="19"/>
  <c r="O3" i="19" s="1"/>
  <c r="K2" i="19"/>
  <c r="Z2" i="19" s="1"/>
  <c r="V325" i="20" l="1"/>
  <c r="M21" i="19"/>
  <c r="M49" i="19"/>
  <c r="M78" i="19"/>
  <c r="M25" i="19"/>
  <c r="M54" i="19"/>
  <c r="M82" i="19"/>
  <c r="M30" i="19"/>
  <c r="M58" i="19"/>
  <c r="M86" i="19"/>
  <c r="M2" i="19"/>
  <c r="M33" i="19"/>
  <c r="M61" i="19"/>
  <c r="M90" i="19"/>
  <c r="M9" i="19"/>
  <c r="M37" i="19"/>
  <c r="M66" i="19"/>
  <c r="Z55" i="19"/>
  <c r="M10" i="19"/>
  <c r="M38" i="19"/>
  <c r="M69" i="19"/>
  <c r="M6" i="19"/>
  <c r="M13" i="19"/>
  <c r="M42" i="19"/>
  <c r="M70" i="19"/>
  <c r="M14" i="19"/>
  <c r="M45" i="19"/>
  <c r="M73" i="19"/>
  <c r="M18" i="19"/>
  <c r="M46" i="19"/>
  <c r="M74" i="19"/>
  <c r="Z161" i="19"/>
  <c r="O161" i="19"/>
  <c r="N161" i="19"/>
  <c r="M161" i="19"/>
  <c r="Z257" i="19"/>
  <c r="O257" i="19"/>
  <c r="N257" i="19"/>
  <c r="M257" i="19"/>
  <c r="Z305" i="19"/>
  <c r="O305" i="19"/>
  <c r="N305" i="19"/>
  <c r="M305" i="19"/>
  <c r="M41" i="19"/>
  <c r="M65" i="19"/>
  <c r="M102" i="19"/>
  <c r="Z102" i="19"/>
  <c r="N102" i="19"/>
  <c r="M114" i="19"/>
  <c r="Z114" i="19"/>
  <c r="N114" i="19"/>
  <c r="M126" i="19"/>
  <c r="Z126" i="19"/>
  <c r="N126" i="19"/>
  <c r="M138" i="19"/>
  <c r="Z138" i="19"/>
  <c r="N138" i="19"/>
  <c r="M150" i="19"/>
  <c r="Z150" i="19"/>
  <c r="N150" i="19"/>
  <c r="M162" i="19"/>
  <c r="Z162" i="19"/>
  <c r="N162" i="19"/>
  <c r="M174" i="19"/>
  <c r="Z174" i="19"/>
  <c r="N174" i="19"/>
  <c r="M186" i="19"/>
  <c r="Z186" i="19"/>
  <c r="N186" i="19"/>
  <c r="M198" i="19"/>
  <c r="Z198" i="19"/>
  <c r="N198" i="19"/>
  <c r="M210" i="19"/>
  <c r="Z210" i="19"/>
  <c r="N210" i="19"/>
  <c r="M222" i="19"/>
  <c r="Z222" i="19"/>
  <c r="N222" i="19"/>
  <c r="M234" i="19"/>
  <c r="Z234" i="19"/>
  <c r="N234" i="19"/>
  <c r="M246" i="19"/>
  <c r="Z246" i="19"/>
  <c r="N246" i="19"/>
  <c r="M258" i="19"/>
  <c r="Z258" i="19"/>
  <c r="N258" i="19"/>
  <c r="M270" i="19"/>
  <c r="Z270" i="19"/>
  <c r="N270" i="19"/>
  <c r="M282" i="19"/>
  <c r="Z282" i="19"/>
  <c r="N282" i="19"/>
  <c r="M294" i="19"/>
  <c r="Z294" i="19"/>
  <c r="N294" i="19"/>
  <c r="M306" i="19"/>
  <c r="Z306" i="19"/>
  <c r="N306" i="19"/>
  <c r="M318" i="19"/>
  <c r="Z318" i="19"/>
  <c r="N318" i="19"/>
  <c r="N5" i="19"/>
  <c r="N9" i="19"/>
  <c r="N13" i="19"/>
  <c r="N17" i="19"/>
  <c r="N21" i="19"/>
  <c r="N25" i="19"/>
  <c r="N29" i="19"/>
  <c r="N33" i="19"/>
  <c r="N37" i="19"/>
  <c r="N41" i="19"/>
  <c r="N45" i="19"/>
  <c r="N49" i="19"/>
  <c r="N53" i="19"/>
  <c r="N57" i="19"/>
  <c r="N61" i="19"/>
  <c r="N65" i="19"/>
  <c r="N69" i="19"/>
  <c r="N73" i="19"/>
  <c r="N77" i="19"/>
  <c r="N81" i="19"/>
  <c r="N85" i="19"/>
  <c r="N89" i="19"/>
  <c r="O114" i="19"/>
  <c r="O162" i="19"/>
  <c r="O210" i="19"/>
  <c r="O258" i="19"/>
  <c r="O306" i="19"/>
  <c r="Z67" i="19"/>
  <c r="Z101" i="19"/>
  <c r="O101" i="19"/>
  <c r="N101" i="19"/>
  <c r="M101" i="19"/>
  <c r="Z173" i="19"/>
  <c r="O173" i="19"/>
  <c r="N173" i="19"/>
  <c r="M173" i="19"/>
  <c r="Z245" i="19"/>
  <c r="O245" i="19"/>
  <c r="N245" i="19"/>
  <c r="M245" i="19"/>
  <c r="Z281" i="19"/>
  <c r="O281" i="19"/>
  <c r="N281" i="19"/>
  <c r="M281" i="19"/>
  <c r="M29" i="19"/>
  <c r="M53" i="19"/>
  <c r="M77" i="19"/>
  <c r="M89" i="19"/>
  <c r="O91" i="19"/>
  <c r="N91" i="19"/>
  <c r="O103" i="19"/>
  <c r="N103" i="19"/>
  <c r="M103" i="19"/>
  <c r="O115" i="19"/>
  <c r="N115" i="19"/>
  <c r="M115" i="19"/>
  <c r="O127" i="19"/>
  <c r="N127" i="19"/>
  <c r="M127" i="19"/>
  <c r="O139" i="19"/>
  <c r="N139" i="19"/>
  <c r="M139" i="19"/>
  <c r="O151" i="19"/>
  <c r="N151" i="19"/>
  <c r="M151" i="19"/>
  <c r="O163" i="19"/>
  <c r="N163" i="19"/>
  <c r="M163" i="19"/>
  <c r="O175" i="19"/>
  <c r="N175" i="19"/>
  <c r="M175" i="19"/>
  <c r="O187" i="19"/>
  <c r="N187" i="19"/>
  <c r="M187" i="19"/>
  <c r="O199" i="19"/>
  <c r="N199" i="19"/>
  <c r="M199" i="19"/>
  <c r="O211" i="19"/>
  <c r="N211" i="19"/>
  <c r="M211" i="19"/>
  <c r="O223" i="19"/>
  <c r="N223" i="19"/>
  <c r="M223" i="19"/>
  <c r="O235" i="19"/>
  <c r="N235" i="19"/>
  <c r="M235" i="19"/>
  <c r="O247" i="19"/>
  <c r="N247" i="19"/>
  <c r="M247" i="19"/>
  <c r="O259" i="19"/>
  <c r="N259" i="19"/>
  <c r="M259" i="19"/>
  <c r="O271" i="19"/>
  <c r="N271" i="19"/>
  <c r="M271" i="19"/>
  <c r="O283" i="19"/>
  <c r="N283" i="19"/>
  <c r="M283" i="19"/>
  <c r="O295" i="19"/>
  <c r="N295" i="19"/>
  <c r="M295" i="19"/>
  <c r="O307" i="19"/>
  <c r="N307" i="19"/>
  <c r="M307" i="19"/>
  <c r="O319" i="19"/>
  <c r="N319" i="19"/>
  <c r="M319" i="19"/>
  <c r="O5" i="19"/>
  <c r="O9" i="19"/>
  <c r="O13" i="19"/>
  <c r="O17" i="19"/>
  <c r="O21" i="19"/>
  <c r="O25" i="19"/>
  <c r="O29" i="19"/>
  <c r="O33" i="19"/>
  <c r="O37" i="19"/>
  <c r="O41" i="19"/>
  <c r="O45" i="19"/>
  <c r="O49" i="19"/>
  <c r="O53" i="19"/>
  <c r="O57" i="19"/>
  <c r="O61" i="19"/>
  <c r="O65" i="19"/>
  <c r="O69" i="19"/>
  <c r="O73" i="19"/>
  <c r="O77" i="19"/>
  <c r="O81" i="19"/>
  <c r="O85" i="19"/>
  <c r="O89" i="19"/>
  <c r="Z79" i="19"/>
  <c r="Z223" i="19"/>
  <c r="Z125" i="19"/>
  <c r="O125" i="19"/>
  <c r="N125" i="19"/>
  <c r="M125" i="19"/>
  <c r="Z221" i="19"/>
  <c r="O221" i="19"/>
  <c r="N221" i="19"/>
  <c r="M221" i="19"/>
  <c r="M5" i="19"/>
  <c r="O128" i="19"/>
  <c r="N128" i="19"/>
  <c r="M128" i="19"/>
  <c r="Z128" i="19"/>
  <c r="O200" i="19"/>
  <c r="N200" i="19"/>
  <c r="M200" i="19"/>
  <c r="Z200" i="19"/>
  <c r="O260" i="19"/>
  <c r="N260" i="19"/>
  <c r="M260" i="19"/>
  <c r="Z260" i="19"/>
  <c r="O93" i="19"/>
  <c r="N93" i="19"/>
  <c r="Z93" i="19"/>
  <c r="O105" i="19"/>
  <c r="N105" i="19"/>
  <c r="M105" i="19"/>
  <c r="Z105" i="19"/>
  <c r="O117" i="19"/>
  <c r="N117" i="19"/>
  <c r="M117" i="19"/>
  <c r="Z117" i="19"/>
  <c r="O129" i="19"/>
  <c r="N129" i="19"/>
  <c r="M129" i="19"/>
  <c r="Z129" i="19"/>
  <c r="O141" i="19"/>
  <c r="N141" i="19"/>
  <c r="M141" i="19"/>
  <c r="Z141" i="19"/>
  <c r="O153" i="19"/>
  <c r="N153" i="19"/>
  <c r="M153" i="19"/>
  <c r="Z153" i="19"/>
  <c r="O165" i="19"/>
  <c r="N165" i="19"/>
  <c r="M165" i="19"/>
  <c r="Z165" i="19"/>
  <c r="O177" i="19"/>
  <c r="N177" i="19"/>
  <c r="M177" i="19"/>
  <c r="Z177" i="19"/>
  <c r="O189" i="19"/>
  <c r="N189" i="19"/>
  <c r="M189" i="19"/>
  <c r="Z189" i="19"/>
  <c r="O201" i="19"/>
  <c r="N201" i="19"/>
  <c r="M201" i="19"/>
  <c r="Z201" i="19"/>
  <c r="O213" i="19"/>
  <c r="N213" i="19"/>
  <c r="M213" i="19"/>
  <c r="Z213" i="19"/>
  <c r="O225" i="19"/>
  <c r="N225" i="19"/>
  <c r="M225" i="19"/>
  <c r="Z225" i="19"/>
  <c r="O237" i="19"/>
  <c r="N237" i="19"/>
  <c r="M237" i="19"/>
  <c r="Z237" i="19"/>
  <c r="O249" i="19"/>
  <c r="N249" i="19"/>
  <c r="M249" i="19"/>
  <c r="Z249" i="19"/>
  <c r="O261" i="19"/>
  <c r="N261" i="19"/>
  <c r="M261" i="19"/>
  <c r="Z261" i="19"/>
  <c r="O273" i="19"/>
  <c r="N273" i="19"/>
  <c r="M273" i="19"/>
  <c r="Z273" i="19"/>
  <c r="O285" i="19"/>
  <c r="N285" i="19"/>
  <c r="M285" i="19"/>
  <c r="Z285" i="19"/>
  <c r="O297" i="19"/>
  <c r="N297" i="19"/>
  <c r="M297" i="19"/>
  <c r="Z297" i="19"/>
  <c r="O309" i="19"/>
  <c r="N309" i="19"/>
  <c r="M309" i="19"/>
  <c r="Z309" i="19"/>
  <c r="N2" i="19"/>
  <c r="N6" i="19"/>
  <c r="N10" i="19"/>
  <c r="N14" i="19"/>
  <c r="N18" i="19"/>
  <c r="N22" i="19"/>
  <c r="N26" i="19"/>
  <c r="N30" i="19"/>
  <c r="N34" i="19"/>
  <c r="N38" i="19"/>
  <c r="N42" i="19"/>
  <c r="N46" i="19"/>
  <c r="N50" i="19"/>
  <c r="N54" i="19"/>
  <c r="N58" i="19"/>
  <c r="N62" i="19"/>
  <c r="N66" i="19"/>
  <c r="N70" i="19"/>
  <c r="N74" i="19"/>
  <c r="N78" i="19"/>
  <c r="N82" i="19"/>
  <c r="N86" i="19"/>
  <c r="N90" i="19"/>
  <c r="O126" i="19"/>
  <c r="O174" i="19"/>
  <c r="O222" i="19"/>
  <c r="O270" i="19"/>
  <c r="O318" i="19"/>
  <c r="Z103" i="19"/>
  <c r="Z247" i="19"/>
  <c r="Z197" i="19"/>
  <c r="O197" i="19"/>
  <c r="N197" i="19"/>
  <c r="M197" i="19"/>
  <c r="O116" i="19"/>
  <c r="N116" i="19"/>
  <c r="M116" i="19"/>
  <c r="Z116" i="19"/>
  <c r="O164" i="19"/>
  <c r="N164" i="19"/>
  <c r="M164" i="19"/>
  <c r="Z164" i="19"/>
  <c r="O224" i="19"/>
  <c r="N224" i="19"/>
  <c r="M224" i="19"/>
  <c r="Z224" i="19"/>
  <c r="O284" i="19"/>
  <c r="N284" i="19"/>
  <c r="M284" i="19"/>
  <c r="Z284" i="19"/>
  <c r="M94" i="19"/>
  <c r="Z94" i="19"/>
  <c r="N94" i="19"/>
  <c r="M106" i="19"/>
  <c r="Z106" i="19"/>
  <c r="N106" i="19"/>
  <c r="M118" i="19"/>
  <c r="Z118" i="19"/>
  <c r="N118" i="19"/>
  <c r="M130" i="19"/>
  <c r="Z130" i="19"/>
  <c r="N130" i="19"/>
  <c r="M142" i="19"/>
  <c r="Z142" i="19"/>
  <c r="N142" i="19"/>
  <c r="M154" i="19"/>
  <c r="Z154" i="19"/>
  <c r="N154" i="19"/>
  <c r="M166" i="19"/>
  <c r="Z166" i="19"/>
  <c r="N166" i="19"/>
  <c r="M178" i="19"/>
  <c r="Z178" i="19"/>
  <c r="N178" i="19"/>
  <c r="M190" i="19"/>
  <c r="Z190" i="19"/>
  <c r="N190" i="19"/>
  <c r="M202" i="19"/>
  <c r="Z202" i="19"/>
  <c r="N202" i="19"/>
  <c r="M214" i="19"/>
  <c r="Z214" i="19"/>
  <c r="N214" i="19"/>
  <c r="M226" i="19"/>
  <c r="Z226" i="19"/>
  <c r="N226" i="19"/>
  <c r="M238" i="19"/>
  <c r="Z238" i="19"/>
  <c r="N238" i="19"/>
  <c r="M250" i="19"/>
  <c r="Z250" i="19"/>
  <c r="N250" i="19"/>
  <c r="M262" i="19"/>
  <c r="Z262" i="19"/>
  <c r="N262" i="19"/>
  <c r="M274" i="19"/>
  <c r="Z274" i="19"/>
  <c r="N274" i="19"/>
  <c r="M286" i="19"/>
  <c r="Z286" i="19"/>
  <c r="N286" i="19"/>
  <c r="M298" i="19"/>
  <c r="Z298" i="19"/>
  <c r="N298" i="19"/>
  <c r="M310" i="19"/>
  <c r="Z310" i="19"/>
  <c r="N310" i="19"/>
  <c r="O2" i="19"/>
  <c r="O6" i="19"/>
  <c r="O10" i="19"/>
  <c r="O14" i="19"/>
  <c r="O18" i="19"/>
  <c r="O22" i="19"/>
  <c r="O26" i="19"/>
  <c r="O30" i="19"/>
  <c r="O34" i="19"/>
  <c r="O38" i="19"/>
  <c r="O42" i="19"/>
  <c r="O46" i="19"/>
  <c r="O50" i="19"/>
  <c r="O54" i="19"/>
  <c r="O58" i="19"/>
  <c r="O62" i="19"/>
  <c r="O66" i="19"/>
  <c r="O70" i="19"/>
  <c r="O74" i="19"/>
  <c r="O78" i="19"/>
  <c r="O82" i="19"/>
  <c r="O86" i="19"/>
  <c r="O90" i="19"/>
  <c r="O130" i="19"/>
  <c r="O178" i="19"/>
  <c r="O226" i="19"/>
  <c r="O274" i="19"/>
  <c r="Z115" i="19"/>
  <c r="Z259" i="19"/>
  <c r="Z185" i="19"/>
  <c r="O185" i="19"/>
  <c r="N185" i="19"/>
  <c r="M185" i="19"/>
  <c r="M17" i="19"/>
  <c r="O92" i="19"/>
  <c r="N92" i="19"/>
  <c r="M92" i="19"/>
  <c r="Z92" i="19"/>
  <c r="O152" i="19"/>
  <c r="N152" i="19"/>
  <c r="M152" i="19"/>
  <c r="Z152" i="19"/>
  <c r="O236" i="19"/>
  <c r="N236" i="19"/>
  <c r="M236" i="19"/>
  <c r="Z236" i="19"/>
  <c r="O296" i="19"/>
  <c r="N296" i="19"/>
  <c r="M296" i="19"/>
  <c r="Z296" i="19"/>
  <c r="Z95" i="19"/>
  <c r="O95" i="19"/>
  <c r="N95" i="19"/>
  <c r="M95" i="19"/>
  <c r="Z107" i="19"/>
  <c r="O107" i="19"/>
  <c r="N107" i="19"/>
  <c r="M107" i="19"/>
  <c r="Z119" i="19"/>
  <c r="O119" i="19"/>
  <c r="N119" i="19"/>
  <c r="M119" i="19"/>
  <c r="Z131" i="19"/>
  <c r="O131" i="19"/>
  <c r="N131" i="19"/>
  <c r="M131" i="19"/>
  <c r="Z143" i="19"/>
  <c r="O143" i="19"/>
  <c r="N143" i="19"/>
  <c r="M143" i="19"/>
  <c r="Z155" i="19"/>
  <c r="O155" i="19"/>
  <c r="N155" i="19"/>
  <c r="M155" i="19"/>
  <c r="Z167" i="19"/>
  <c r="O167" i="19"/>
  <c r="N167" i="19"/>
  <c r="M167" i="19"/>
  <c r="Z179" i="19"/>
  <c r="O179" i="19"/>
  <c r="N179" i="19"/>
  <c r="M179" i="19"/>
  <c r="Z191" i="19"/>
  <c r="O191" i="19"/>
  <c r="N191" i="19"/>
  <c r="M191" i="19"/>
  <c r="Z203" i="19"/>
  <c r="O203" i="19"/>
  <c r="N203" i="19"/>
  <c r="M203" i="19"/>
  <c r="Z215" i="19"/>
  <c r="O215" i="19"/>
  <c r="N215" i="19"/>
  <c r="M215" i="19"/>
  <c r="Z227" i="19"/>
  <c r="O227" i="19"/>
  <c r="N227" i="19"/>
  <c r="M227" i="19"/>
  <c r="Z239" i="19"/>
  <c r="O239" i="19"/>
  <c r="N239" i="19"/>
  <c r="M239" i="19"/>
  <c r="Z251" i="19"/>
  <c r="O251" i="19"/>
  <c r="N251" i="19"/>
  <c r="M251" i="19"/>
  <c r="Z263" i="19"/>
  <c r="O263" i="19"/>
  <c r="N263" i="19"/>
  <c r="M263" i="19"/>
  <c r="Z275" i="19"/>
  <c r="O275" i="19"/>
  <c r="N275" i="19"/>
  <c r="M275" i="19"/>
  <c r="Z287" i="19"/>
  <c r="O287" i="19"/>
  <c r="N287" i="19"/>
  <c r="M287" i="19"/>
  <c r="Z299" i="19"/>
  <c r="O299" i="19"/>
  <c r="N299" i="19"/>
  <c r="M299" i="19"/>
  <c r="Z311" i="19"/>
  <c r="O311" i="19"/>
  <c r="N311" i="19"/>
  <c r="M311" i="19"/>
  <c r="M3" i="19"/>
  <c r="M7" i="19"/>
  <c r="M11" i="19"/>
  <c r="M15" i="19"/>
  <c r="M19" i="19"/>
  <c r="M23" i="19"/>
  <c r="M27" i="19"/>
  <c r="M31" i="19"/>
  <c r="M35" i="19"/>
  <c r="M39" i="19"/>
  <c r="M43" i="19"/>
  <c r="M47" i="19"/>
  <c r="M51" i="19"/>
  <c r="M55" i="19"/>
  <c r="M59" i="19"/>
  <c r="M63" i="19"/>
  <c r="M67" i="19"/>
  <c r="M71" i="19"/>
  <c r="M75" i="19"/>
  <c r="M79" i="19"/>
  <c r="M83" i="19"/>
  <c r="M87" i="19"/>
  <c r="M91" i="19"/>
  <c r="Z127" i="19"/>
  <c r="Z271" i="19"/>
  <c r="Z149" i="19"/>
  <c r="O149" i="19"/>
  <c r="N149" i="19"/>
  <c r="M149" i="19"/>
  <c r="Z269" i="19"/>
  <c r="O269" i="19"/>
  <c r="N269" i="19"/>
  <c r="M269" i="19"/>
  <c r="O104" i="19"/>
  <c r="N104" i="19"/>
  <c r="M104" i="19"/>
  <c r="Z104" i="19"/>
  <c r="O212" i="19"/>
  <c r="N212" i="19"/>
  <c r="M212" i="19"/>
  <c r="Z212" i="19"/>
  <c r="O308" i="19"/>
  <c r="N308" i="19"/>
  <c r="M308" i="19"/>
  <c r="Z308" i="19"/>
  <c r="O96" i="19"/>
  <c r="Z96" i="19"/>
  <c r="N96" i="19"/>
  <c r="M96" i="19"/>
  <c r="O108" i="19"/>
  <c r="Z108" i="19"/>
  <c r="N108" i="19"/>
  <c r="M108" i="19"/>
  <c r="O120" i="19"/>
  <c r="Z120" i="19"/>
  <c r="N120" i="19"/>
  <c r="M120" i="19"/>
  <c r="O132" i="19"/>
  <c r="Z132" i="19"/>
  <c r="N132" i="19"/>
  <c r="M132" i="19"/>
  <c r="O144" i="19"/>
  <c r="Z144" i="19"/>
  <c r="N144" i="19"/>
  <c r="M144" i="19"/>
  <c r="O156" i="19"/>
  <c r="Z156" i="19"/>
  <c r="N156" i="19"/>
  <c r="M156" i="19"/>
  <c r="O168" i="19"/>
  <c r="Z168" i="19"/>
  <c r="N168" i="19"/>
  <c r="M168" i="19"/>
  <c r="O180" i="19"/>
  <c r="Z180" i="19"/>
  <c r="N180" i="19"/>
  <c r="M180" i="19"/>
  <c r="O192" i="19"/>
  <c r="Z192" i="19"/>
  <c r="N192" i="19"/>
  <c r="M192" i="19"/>
  <c r="O204" i="19"/>
  <c r="Z204" i="19"/>
  <c r="N204" i="19"/>
  <c r="M204" i="19"/>
  <c r="O216" i="19"/>
  <c r="Z216" i="19"/>
  <c r="N216" i="19"/>
  <c r="M216" i="19"/>
  <c r="O228" i="19"/>
  <c r="Z228" i="19"/>
  <c r="N228" i="19"/>
  <c r="M228" i="19"/>
  <c r="O240" i="19"/>
  <c r="Z240" i="19"/>
  <c r="N240" i="19"/>
  <c r="M240" i="19"/>
  <c r="O252" i="19"/>
  <c r="Z252" i="19"/>
  <c r="N252" i="19"/>
  <c r="M252" i="19"/>
  <c r="O264" i="19"/>
  <c r="Z264" i="19"/>
  <c r="N264" i="19"/>
  <c r="M264" i="19"/>
  <c r="O276" i="19"/>
  <c r="Z276" i="19"/>
  <c r="N276" i="19"/>
  <c r="M276" i="19"/>
  <c r="O288" i="19"/>
  <c r="Z288" i="19"/>
  <c r="N288" i="19"/>
  <c r="M288" i="19"/>
  <c r="O300" i="19"/>
  <c r="Z300" i="19"/>
  <c r="N300" i="19"/>
  <c r="M300" i="19"/>
  <c r="O312" i="19"/>
  <c r="Z312" i="19"/>
  <c r="N312" i="19"/>
  <c r="M312" i="19"/>
  <c r="N3" i="19"/>
  <c r="N7" i="19"/>
  <c r="N11" i="19"/>
  <c r="N15" i="19"/>
  <c r="N19" i="19"/>
  <c r="N23" i="19"/>
  <c r="N27" i="19"/>
  <c r="N31" i="19"/>
  <c r="N35" i="19"/>
  <c r="N39" i="19"/>
  <c r="N43" i="19"/>
  <c r="N47" i="19"/>
  <c r="N51" i="19"/>
  <c r="N55" i="19"/>
  <c r="N59" i="19"/>
  <c r="N63" i="19"/>
  <c r="N67" i="19"/>
  <c r="N71" i="19"/>
  <c r="N75" i="19"/>
  <c r="N79" i="19"/>
  <c r="N83" i="19"/>
  <c r="N87" i="19"/>
  <c r="M93" i="19"/>
  <c r="O138" i="19"/>
  <c r="O186" i="19"/>
  <c r="O234" i="19"/>
  <c r="O282" i="19"/>
  <c r="Z139" i="19"/>
  <c r="Z283" i="19"/>
  <c r="O97" i="19"/>
  <c r="N97" i="19"/>
  <c r="M97" i="19"/>
  <c r="Z97" i="19"/>
  <c r="O109" i="19"/>
  <c r="N109" i="19"/>
  <c r="M109" i="19"/>
  <c r="Z109" i="19"/>
  <c r="O121" i="19"/>
  <c r="N121" i="19"/>
  <c r="M121" i="19"/>
  <c r="Z121" i="19"/>
  <c r="O133" i="19"/>
  <c r="N133" i="19"/>
  <c r="M133" i="19"/>
  <c r="Z133" i="19"/>
  <c r="O145" i="19"/>
  <c r="N145" i="19"/>
  <c r="M145" i="19"/>
  <c r="Z145" i="19"/>
  <c r="O157" i="19"/>
  <c r="N157" i="19"/>
  <c r="M157" i="19"/>
  <c r="Z157" i="19"/>
  <c r="O169" i="19"/>
  <c r="N169" i="19"/>
  <c r="M169" i="19"/>
  <c r="Z169" i="19"/>
  <c r="O181" i="19"/>
  <c r="N181" i="19"/>
  <c r="M181" i="19"/>
  <c r="Z181" i="19"/>
  <c r="O193" i="19"/>
  <c r="N193" i="19"/>
  <c r="M193" i="19"/>
  <c r="Z193" i="19"/>
  <c r="O205" i="19"/>
  <c r="N205" i="19"/>
  <c r="M205" i="19"/>
  <c r="Z205" i="19"/>
  <c r="O217" i="19"/>
  <c r="N217" i="19"/>
  <c r="M217" i="19"/>
  <c r="Z217" i="19"/>
  <c r="O229" i="19"/>
  <c r="N229" i="19"/>
  <c r="M229" i="19"/>
  <c r="Z229" i="19"/>
  <c r="O241" i="19"/>
  <c r="N241" i="19"/>
  <c r="M241" i="19"/>
  <c r="Z241" i="19"/>
  <c r="O253" i="19"/>
  <c r="N253" i="19"/>
  <c r="M253" i="19"/>
  <c r="Z253" i="19"/>
  <c r="O265" i="19"/>
  <c r="N265" i="19"/>
  <c r="M265" i="19"/>
  <c r="Z265" i="19"/>
  <c r="O277" i="19"/>
  <c r="N277" i="19"/>
  <c r="M277" i="19"/>
  <c r="Z277" i="19"/>
  <c r="O289" i="19"/>
  <c r="N289" i="19"/>
  <c r="M289" i="19"/>
  <c r="Z289" i="19"/>
  <c r="O301" i="19"/>
  <c r="N301" i="19"/>
  <c r="M301" i="19"/>
  <c r="Z301" i="19"/>
  <c r="O313" i="19"/>
  <c r="N313" i="19"/>
  <c r="M313" i="19"/>
  <c r="Z313" i="19"/>
  <c r="O7" i="19"/>
  <c r="O11" i="19"/>
  <c r="O15" i="19"/>
  <c r="O19" i="19"/>
  <c r="O23" i="19"/>
  <c r="O27" i="19"/>
  <c r="O31" i="19"/>
  <c r="O35" i="19"/>
  <c r="O39" i="19"/>
  <c r="O43" i="19"/>
  <c r="O47" i="19"/>
  <c r="O51" i="19"/>
  <c r="O59" i="19"/>
  <c r="O63" i="19"/>
  <c r="O71" i="19"/>
  <c r="O75" i="19"/>
  <c r="O83" i="19"/>
  <c r="O87" i="19"/>
  <c r="O94" i="19"/>
  <c r="O142" i="19"/>
  <c r="O190" i="19"/>
  <c r="O238" i="19"/>
  <c r="O286" i="19"/>
  <c r="Z151" i="19"/>
  <c r="Z295" i="19"/>
  <c r="Z137" i="19"/>
  <c r="O137" i="19"/>
  <c r="N137" i="19"/>
  <c r="M137" i="19"/>
  <c r="Z233" i="19"/>
  <c r="O233" i="19"/>
  <c r="N233" i="19"/>
  <c r="M233" i="19"/>
  <c r="Z293" i="19"/>
  <c r="O293" i="19"/>
  <c r="N293" i="19"/>
  <c r="M293" i="19"/>
  <c r="O140" i="19"/>
  <c r="N140" i="19"/>
  <c r="M140" i="19"/>
  <c r="Z140" i="19"/>
  <c r="O188" i="19"/>
  <c r="N188" i="19"/>
  <c r="M188" i="19"/>
  <c r="Z188" i="19"/>
  <c r="O248" i="19"/>
  <c r="N248" i="19"/>
  <c r="M248" i="19"/>
  <c r="Z248" i="19"/>
  <c r="M98" i="19"/>
  <c r="Z98" i="19"/>
  <c r="N98" i="19"/>
  <c r="M110" i="19"/>
  <c r="Z110" i="19"/>
  <c r="N110" i="19"/>
  <c r="M122" i="19"/>
  <c r="Z122" i="19"/>
  <c r="N122" i="19"/>
  <c r="M134" i="19"/>
  <c r="Z134" i="19"/>
  <c r="N134" i="19"/>
  <c r="M146" i="19"/>
  <c r="Z146" i="19"/>
  <c r="N146" i="19"/>
  <c r="M158" i="19"/>
  <c r="Z158" i="19"/>
  <c r="N158" i="19"/>
  <c r="M170" i="19"/>
  <c r="Z170" i="19"/>
  <c r="N170" i="19"/>
  <c r="M182" i="19"/>
  <c r="Z182" i="19"/>
  <c r="N182" i="19"/>
  <c r="M194" i="19"/>
  <c r="Z194" i="19"/>
  <c r="N194" i="19"/>
  <c r="M206" i="19"/>
  <c r="Z206" i="19"/>
  <c r="N206" i="19"/>
  <c r="M218" i="19"/>
  <c r="Z218" i="19"/>
  <c r="N218" i="19"/>
  <c r="M230" i="19"/>
  <c r="Z230" i="19"/>
  <c r="N230" i="19"/>
  <c r="M242" i="19"/>
  <c r="Z242" i="19"/>
  <c r="N242" i="19"/>
  <c r="M254" i="19"/>
  <c r="Z254" i="19"/>
  <c r="N254" i="19"/>
  <c r="M266" i="19"/>
  <c r="Z266" i="19"/>
  <c r="N266" i="19"/>
  <c r="M278" i="19"/>
  <c r="Z278" i="19"/>
  <c r="N278" i="19"/>
  <c r="M290" i="19"/>
  <c r="Z290" i="19"/>
  <c r="N290" i="19"/>
  <c r="M302" i="19"/>
  <c r="Z302" i="19"/>
  <c r="N302" i="19"/>
  <c r="M314" i="19"/>
  <c r="Z314" i="19"/>
  <c r="N314" i="19"/>
  <c r="M4" i="19"/>
  <c r="M8" i="19"/>
  <c r="M12" i="19"/>
  <c r="M16" i="19"/>
  <c r="M20" i="19"/>
  <c r="M24" i="19"/>
  <c r="M28" i="19"/>
  <c r="M32" i="19"/>
  <c r="M36" i="19"/>
  <c r="M40" i="19"/>
  <c r="M44" i="19"/>
  <c r="M48" i="19"/>
  <c r="M52" i="19"/>
  <c r="M56" i="19"/>
  <c r="M60" i="19"/>
  <c r="M64" i="19"/>
  <c r="M68" i="19"/>
  <c r="M72" i="19"/>
  <c r="M76" i="19"/>
  <c r="M80" i="19"/>
  <c r="M84" i="19"/>
  <c r="M88" i="19"/>
  <c r="O98" i="19"/>
  <c r="O146" i="19"/>
  <c r="O194" i="19"/>
  <c r="O242" i="19"/>
  <c r="O290" i="19"/>
  <c r="Z163" i="19"/>
  <c r="Z307" i="19"/>
  <c r="Z3" i="19"/>
  <c r="K321" i="19"/>
  <c r="Z99" i="19"/>
  <c r="O99" i="19"/>
  <c r="N99" i="19"/>
  <c r="M99" i="19"/>
  <c r="Z111" i="19"/>
  <c r="O111" i="19"/>
  <c r="N111" i="19"/>
  <c r="M111" i="19"/>
  <c r="Z123" i="19"/>
  <c r="O123" i="19"/>
  <c r="N123" i="19"/>
  <c r="M123" i="19"/>
  <c r="Z135" i="19"/>
  <c r="O135" i="19"/>
  <c r="N135" i="19"/>
  <c r="M135" i="19"/>
  <c r="Z147" i="19"/>
  <c r="O147" i="19"/>
  <c r="N147" i="19"/>
  <c r="M147" i="19"/>
  <c r="Z159" i="19"/>
  <c r="O159" i="19"/>
  <c r="N159" i="19"/>
  <c r="M159" i="19"/>
  <c r="Z171" i="19"/>
  <c r="O171" i="19"/>
  <c r="N171" i="19"/>
  <c r="M171" i="19"/>
  <c r="Z183" i="19"/>
  <c r="O183" i="19"/>
  <c r="N183" i="19"/>
  <c r="M183" i="19"/>
  <c r="Z195" i="19"/>
  <c r="O195" i="19"/>
  <c r="N195" i="19"/>
  <c r="M195" i="19"/>
  <c r="Z207" i="19"/>
  <c r="O207" i="19"/>
  <c r="N207" i="19"/>
  <c r="M207" i="19"/>
  <c r="Z219" i="19"/>
  <c r="O219" i="19"/>
  <c r="N219" i="19"/>
  <c r="M219" i="19"/>
  <c r="Z231" i="19"/>
  <c r="O231" i="19"/>
  <c r="N231" i="19"/>
  <c r="M231" i="19"/>
  <c r="Z243" i="19"/>
  <c r="O243" i="19"/>
  <c r="N243" i="19"/>
  <c r="M243" i="19"/>
  <c r="Z255" i="19"/>
  <c r="O255" i="19"/>
  <c r="N255" i="19"/>
  <c r="M255" i="19"/>
  <c r="Z267" i="19"/>
  <c r="O267" i="19"/>
  <c r="N267" i="19"/>
  <c r="M267" i="19"/>
  <c r="Z279" i="19"/>
  <c r="O279" i="19"/>
  <c r="N279" i="19"/>
  <c r="M279" i="19"/>
  <c r="Z291" i="19"/>
  <c r="O291" i="19"/>
  <c r="N291" i="19"/>
  <c r="M291" i="19"/>
  <c r="Z303" i="19"/>
  <c r="O303" i="19"/>
  <c r="N303" i="19"/>
  <c r="M303" i="19"/>
  <c r="Z315" i="19"/>
  <c r="O315" i="19"/>
  <c r="N315" i="19"/>
  <c r="M315" i="19"/>
  <c r="N4" i="19"/>
  <c r="N8" i="19"/>
  <c r="N12" i="19"/>
  <c r="N16" i="19"/>
  <c r="N20" i="19"/>
  <c r="N24" i="19"/>
  <c r="N28" i="19"/>
  <c r="N32" i="19"/>
  <c r="N36" i="19"/>
  <c r="N40" i="19"/>
  <c r="N44" i="19"/>
  <c r="N48" i="19"/>
  <c r="N52" i="19"/>
  <c r="N56" i="19"/>
  <c r="N60" i="19"/>
  <c r="N64" i="19"/>
  <c r="N68" i="19"/>
  <c r="N72" i="19"/>
  <c r="N76" i="19"/>
  <c r="N80" i="19"/>
  <c r="N84" i="19"/>
  <c r="N88" i="19"/>
  <c r="O102" i="19"/>
  <c r="O150" i="19"/>
  <c r="O198" i="19"/>
  <c r="O246" i="19"/>
  <c r="O294" i="19"/>
  <c r="Z175" i="19"/>
  <c r="Z319" i="19"/>
  <c r="Z113" i="19"/>
  <c r="O113" i="19"/>
  <c r="N113" i="19"/>
  <c r="M113" i="19"/>
  <c r="Z209" i="19"/>
  <c r="O209" i="19"/>
  <c r="N209" i="19"/>
  <c r="M209" i="19"/>
  <c r="Z317" i="19"/>
  <c r="O317" i="19"/>
  <c r="N317" i="19"/>
  <c r="M317" i="19"/>
  <c r="O176" i="19"/>
  <c r="N176" i="19"/>
  <c r="M176" i="19"/>
  <c r="Z176" i="19"/>
  <c r="O272" i="19"/>
  <c r="N272" i="19"/>
  <c r="M272" i="19"/>
  <c r="Z272" i="19"/>
  <c r="Z100" i="19"/>
  <c r="O100" i="19"/>
  <c r="N100" i="19"/>
  <c r="M100" i="19"/>
  <c r="Z112" i="19"/>
  <c r="O112" i="19"/>
  <c r="N112" i="19"/>
  <c r="M112" i="19"/>
  <c r="Z124" i="19"/>
  <c r="O124" i="19"/>
  <c r="N124" i="19"/>
  <c r="M124" i="19"/>
  <c r="Z136" i="19"/>
  <c r="O136" i="19"/>
  <c r="N136" i="19"/>
  <c r="M136" i="19"/>
  <c r="Z148" i="19"/>
  <c r="O148" i="19"/>
  <c r="N148" i="19"/>
  <c r="M148" i="19"/>
  <c r="Z160" i="19"/>
  <c r="O160" i="19"/>
  <c r="N160" i="19"/>
  <c r="M160" i="19"/>
  <c r="Z172" i="19"/>
  <c r="O172" i="19"/>
  <c r="N172" i="19"/>
  <c r="M172" i="19"/>
  <c r="Z184" i="19"/>
  <c r="O184" i="19"/>
  <c r="N184" i="19"/>
  <c r="M184" i="19"/>
  <c r="Z196" i="19"/>
  <c r="O196" i="19"/>
  <c r="N196" i="19"/>
  <c r="M196" i="19"/>
  <c r="Z208" i="19"/>
  <c r="O208" i="19"/>
  <c r="N208" i="19"/>
  <c r="M208" i="19"/>
  <c r="Z220" i="19"/>
  <c r="O220" i="19"/>
  <c r="N220" i="19"/>
  <c r="M220" i="19"/>
  <c r="Z232" i="19"/>
  <c r="O232" i="19"/>
  <c r="N232" i="19"/>
  <c r="M232" i="19"/>
  <c r="Z244" i="19"/>
  <c r="O244" i="19"/>
  <c r="N244" i="19"/>
  <c r="M244" i="19"/>
  <c r="Z256" i="19"/>
  <c r="O256" i="19"/>
  <c r="N256" i="19"/>
  <c r="M256" i="19"/>
  <c r="Z268" i="19"/>
  <c r="O268" i="19"/>
  <c r="N268" i="19"/>
  <c r="M268" i="19"/>
  <c r="Z280" i="19"/>
  <c r="O280" i="19"/>
  <c r="N280" i="19"/>
  <c r="M280" i="19"/>
  <c r="Z292" i="19"/>
  <c r="O292" i="19"/>
  <c r="N292" i="19"/>
  <c r="M292" i="19"/>
  <c r="Z304" i="19"/>
  <c r="O304" i="19"/>
  <c r="N304" i="19"/>
  <c r="M304" i="19"/>
  <c r="Z316" i="19"/>
  <c r="O316" i="19"/>
  <c r="N316" i="19"/>
  <c r="M316" i="19"/>
  <c r="O4" i="19"/>
  <c r="O8" i="19"/>
  <c r="O12" i="19"/>
  <c r="O16" i="19"/>
  <c r="O20" i="19"/>
  <c r="O24" i="19"/>
  <c r="O28" i="19"/>
  <c r="O32" i="19"/>
  <c r="O36" i="19"/>
  <c r="O40" i="19"/>
  <c r="O44" i="19"/>
  <c r="O48" i="19"/>
  <c r="O52" i="19"/>
  <c r="O56" i="19"/>
  <c r="O60" i="19"/>
  <c r="O64" i="19"/>
  <c r="O68" i="19"/>
  <c r="O72" i="19"/>
  <c r="O76" i="19"/>
  <c r="O80" i="19"/>
  <c r="O84" i="19"/>
  <c r="O88" i="19"/>
  <c r="O106" i="19"/>
  <c r="O154" i="19"/>
  <c r="O202" i="19"/>
  <c r="O250" i="19"/>
  <c r="O298" i="19"/>
  <c r="Z187" i="19"/>
  <c r="S305" i="20"/>
  <c r="S325" i="20"/>
  <c r="X325" i="20" s="1"/>
  <c r="S245" i="20"/>
  <c r="X245" i="20" s="1"/>
  <c r="S327" i="20"/>
  <c r="X327" i="20" s="1"/>
  <c r="S241" i="20"/>
  <c r="X241" i="20" s="1"/>
  <c r="S41" i="20"/>
  <c r="X41" i="20" s="1"/>
  <c r="S212" i="20"/>
  <c r="X212" i="20" s="1"/>
  <c r="S235" i="20"/>
  <c r="X235" i="20" s="1"/>
  <c r="S24" i="20"/>
  <c r="X24" i="20" s="1"/>
  <c r="S29" i="20"/>
  <c r="X29" i="20" s="1"/>
  <c r="S45" i="20"/>
  <c r="X45" i="20" s="1"/>
  <c r="S314" i="20"/>
  <c r="X314" i="20" s="1"/>
  <c r="S332" i="20"/>
  <c r="X332" i="20" s="1"/>
  <c r="S8" i="20"/>
  <c r="X8" i="20" s="1"/>
  <c r="S82" i="20"/>
  <c r="X82" i="20" s="1"/>
  <c r="S91" i="20"/>
  <c r="X91" i="20" s="1"/>
  <c r="S166" i="20"/>
  <c r="X166" i="20" s="1"/>
  <c r="S175" i="20"/>
  <c r="X175" i="20" s="1"/>
  <c r="S182" i="20"/>
  <c r="X182" i="20" s="1"/>
  <c r="S42" i="20"/>
  <c r="X42" i="20" s="1"/>
  <c r="S51" i="20"/>
  <c r="X51" i="20" s="1"/>
  <c r="S107" i="20"/>
  <c r="X107" i="20" s="1"/>
  <c r="S150" i="20"/>
  <c r="X150" i="20" s="1"/>
  <c r="S120" i="20"/>
  <c r="X120" i="20" s="1"/>
  <c r="S126" i="20"/>
  <c r="X126" i="20" s="1"/>
  <c r="S192" i="20"/>
  <c r="X192" i="20" s="1"/>
  <c r="S3" i="20"/>
  <c r="X3" i="20" s="1"/>
  <c r="S264" i="20"/>
  <c r="X264" i="20" s="1"/>
  <c r="S270" i="20"/>
  <c r="X270" i="20" s="1"/>
  <c r="U3" i="20"/>
  <c r="S190" i="20"/>
  <c r="X190" i="20" s="1"/>
  <c r="S202" i="20"/>
  <c r="X202" i="20" s="1"/>
  <c r="S236" i="20"/>
  <c r="X236" i="20" s="1"/>
  <c r="S28" i="20"/>
  <c r="X28" i="20" s="1"/>
  <c r="U51" i="20"/>
  <c r="S67" i="20"/>
  <c r="X67" i="20" s="1"/>
  <c r="S73" i="20"/>
  <c r="X73" i="20" s="1"/>
  <c r="U332" i="20"/>
  <c r="S193" i="20"/>
  <c r="X193" i="20" s="1"/>
  <c r="S293" i="20"/>
  <c r="X293" i="20" s="1"/>
  <c r="S311" i="20"/>
  <c r="X311" i="20" s="1"/>
  <c r="U193" i="20"/>
  <c r="S198" i="20"/>
  <c r="X198" i="20" s="1"/>
  <c r="S224" i="20"/>
  <c r="X224" i="20" s="1"/>
  <c r="S230" i="20"/>
  <c r="X230" i="20" s="1"/>
  <c r="S234" i="20"/>
  <c r="X234" i="20" s="1"/>
  <c r="S304" i="20"/>
  <c r="X304" i="20" s="1"/>
  <c r="S177" i="20"/>
  <c r="X177" i="20" s="1"/>
  <c r="S174" i="20"/>
  <c r="X174" i="20" s="1"/>
  <c r="S127" i="20"/>
  <c r="T127" i="20" s="1"/>
  <c r="S102" i="20"/>
  <c r="X102" i="20" s="1"/>
  <c r="S142" i="20"/>
  <c r="X142" i="20" s="1"/>
  <c r="S195" i="20"/>
  <c r="X195" i="20" s="1"/>
  <c r="U24" i="20"/>
  <c r="S248" i="20"/>
  <c r="X248" i="20" s="1"/>
  <c r="U177" i="20"/>
  <c r="U45" i="20"/>
  <c r="U212" i="20"/>
  <c r="U241" i="20"/>
  <c r="S258" i="20"/>
  <c r="X258" i="20" s="1"/>
  <c r="S65" i="20"/>
  <c r="X65" i="20" s="1"/>
  <c r="S208" i="20"/>
  <c r="X208" i="20" s="1"/>
  <c r="S217" i="20"/>
  <c r="X217" i="20" s="1"/>
  <c r="S281" i="20"/>
  <c r="S23" i="20"/>
  <c r="X23" i="20" s="1"/>
  <c r="S57" i="20"/>
  <c r="X57" i="20" s="1"/>
  <c r="U126" i="20"/>
  <c r="S132" i="20"/>
  <c r="X132" i="20" s="1"/>
  <c r="S115" i="20"/>
  <c r="X115" i="20" s="1"/>
  <c r="S155" i="20"/>
  <c r="X155" i="20" s="1"/>
  <c r="S218" i="20"/>
  <c r="X218" i="20" s="1"/>
  <c r="S97" i="20"/>
  <c r="X97" i="20" s="1"/>
  <c r="U107" i="20"/>
  <c r="S149" i="20"/>
  <c r="X149" i="20" s="1"/>
  <c r="S160" i="20"/>
  <c r="X160" i="20" s="1"/>
  <c r="S191" i="20"/>
  <c r="X191" i="20" s="1"/>
  <c r="S207" i="20"/>
  <c r="X207" i="20" s="1"/>
  <c r="S214" i="20"/>
  <c r="S253" i="20"/>
  <c r="X253" i="20" s="1"/>
  <c r="S275" i="20"/>
  <c r="X275" i="20" s="1"/>
  <c r="S287" i="20"/>
  <c r="X287" i="20" s="1"/>
  <c r="U97" i="20"/>
  <c r="S140" i="20"/>
  <c r="X140" i="20" s="1"/>
  <c r="S144" i="20"/>
  <c r="X144" i="20" s="1"/>
  <c r="U160" i="20"/>
  <c r="S178" i="20"/>
  <c r="X178" i="20" s="1"/>
  <c r="S209" i="20"/>
  <c r="X209" i="20" s="1"/>
  <c r="S227" i="20"/>
  <c r="X227" i="20" s="1"/>
  <c r="W248" i="20"/>
  <c r="S257" i="20"/>
  <c r="X257" i="20" s="1"/>
  <c r="S259" i="20"/>
  <c r="U275" i="20"/>
  <c r="U287" i="20"/>
  <c r="S165" i="20"/>
  <c r="X165" i="20" s="1"/>
  <c r="S2" i="20"/>
  <c r="X2" i="20" s="1"/>
  <c r="U207" i="20"/>
  <c r="U209" i="20"/>
  <c r="S213" i="20"/>
  <c r="X213" i="20" s="1"/>
  <c r="U253" i="20"/>
  <c r="S263" i="20"/>
  <c r="X263" i="20" s="1"/>
  <c r="S292" i="20"/>
  <c r="X292" i="20" s="1"/>
  <c r="U29" i="20"/>
  <c r="S44" i="20"/>
  <c r="U73" i="20"/>
  <c r="U132" i="20"/>
  <c r="U175" i="20"/>
  <c r="S187" i="20"/>
  <c r="X187" i="20" s="1"/>
  <c r="S221" i="20"/>
  <c r="X221" i="20" s="1"/>
  <c r="S244" i="20"/>
  <c r="X244" i="20" s="1"/>
  <c r="U235" i="20"/>
  <c r="U270" i="20"/>
  <c r="S324" i="20"/>
  <c r="X324" i="20" s="1"/>
  <c r="U42" i="20"/>
  <c r="U57" i="20"/>
  <c r="U150" i="20"/>
  <c r="S136" i="20"/>
  <c r="X136" i="20" s="1"/>
  <c r="V127" i="20"/>
  <c r="V213" i="20"/>
  <c r="S223" i="20"/>
  <c r="X223" i="20" s="1"/>
  <c r="U230" i="20"/>
  <c r="S240" i="20"/>
  <c r="X240" i="20" s="1"/>
  <c r="U305" i="20"/>
  <c r="U82" i="20"/>
  <c r="U102" i="20"/>
  <c r="S106" i="20"/>
  <c r="X106" i="20" s="1"/>
  <c r="U120" i="20"/>
  <c r="S125" i="20"/>
  <c r="X125" i="20" s="1"/>
  <c r="S154" i="20"/>
  <c r="X154" i="20" s="1"/>
  <c r="U166" i="20"/>
  <c r="S331" i="20"/>
  <c r="X331" i="20" s="1"/>
  <c r="U202" i="20"/>
  <c r="S215" i="20"/>
  <c r="X215" i="20" s="1"/>
  <c r="S297" i="20"/>
  <c r="X297" i="20" s="1"/>
  <c r="S246" i="20"/>
  <c r="X246" i="20" s="1"/>
  <c r="S17" i="20"/>
  <c r="X17" i="20" s="1"/>
  <c r="S21" i="20"/>
  <c r="S50" i="20"/>
  <c r="X50" i="20" s="1"/>
  <c r="S137" i="20"/>
  <c r="X137" i="20" s="1"/>
  <c r="U182" i="20"/>
  <c r="S211" i="20"/>
  <c r="X211" i="20" s="1"/>
  <c r="S238" i="20"/>
  <c r="X238" i="20" s="1"/>
  <c r="U190" i="20"/>
  <c r="U192" i="20"/>
  <c r="V208" i="20"/>
  <c r="U238" i="20"/>
  <c r="U264" i="20"/>
  <c r="S266" i="20"/>
  <c r="X266" i="20" s="1"/>
  <c r="U281" i="20"/>
  <c r="S118" i="20"/>
  <c r="X118" i="20" s="1"/>
  <c r="U115" i="20"/>
  <c r="S206" i="20"/>
  <c r="X206" i="20" s="1"/>
  <c r="V236" i="20"/>
  <c r="V258" i="20"/>
  <c r="U297" i="20"/>
  <c r="S302" i="20"/>
  <c r="X302" i="20" s="1"/>
  <c r="U67" i="20"/>
  <c r="S72" i="20"/>
  <c r="X72" i="20" s="1"/>
  <c r="S76" i="20"/>
  <c r="X76" i="20" s="1"/>
  <c r="U91" i="20"/>
  <c r="U137" i="20"/>
  <c r="U224" i="20"/>
  <c r="U245" i="20"/>
  <c r="S260" i="20"/>
  <c r="X260" i="20" s="1"/>
  <c r="S269" i="20"/>
  <c r="X269" i="20" s="1"/>
  <c r="U293" i="20"/>
  <c r="U23" i="20"/>
  <c r="U41" i="20"/>
  <c r="T41" i="20"/>
  <c r="U63" i="20"/>
  <c r="S63" i="20"/>
  <c r="X63" i="20" s="1"/>
  <c r="U124" i="20"/>
  <c r="S124" i="20"/>
  <c r="X124" i="20" s="1"/>
  <c r="U111" i="20"/>
  <c r="S111" i="20"/>
  <c r="X111" i="20" s="1"/>
  <c r="S14" i="20"/>
  <c r="X14" i="20" s="1"/>
  <c r="S7" i="20"/>
  <c r="X7" i="20" s="1"/>
  <c r="S16" i="20"/>
  <c r="X16" i="20" s="1"/>
  <c r="U31" i="20"/>
  <c r="S31" i="20"/>
  <c r="X31" i="20" s="1"/>
  <c r="S315" i="20"/>
  <c r="X315" i="20" s="1"/>
  <c r="U80" i="20"/>
  <c r="S80" i="20"/>
  <c r="X80" i="20" s="1"/>
  <c r="S131" i="20"/>
  <c r="X131" i="20" s="1"/>
  <c r="U113" i="20"/>
  <c r="S113" i="20"/>
  <c r="X113" i="20" s="1"/>
  <c r="W263" i="20"/>
  <c r="S13" i="20"/>
  <c r="X13" i="20" s="1"/>
  <c r="S6" i="20"/>
  <c r="X6" i="20" s="1"/>
  <c r="S15" i="20"/>
  <c r="X15" i="20" s="1"/>
  <c r="S90" i="20"/>
  <c r="X90" i="20" s="1"/>
  <c r="U95" i="20"/>
  <c r="S95" i="20"/>
  <c r="X95" i="20" s="1"/>
  <c r="U27" i="20"/>
  <c r="S27" i="20"/>
  <c r="X27" i="20" s="1"/>
  <c r="U71" i="20"/>
  <c r="S71" i="20"/>
  <c r="X71" i="20" s="1"/>
  <c r="U141" i="20"/>
  <c r="S141" i="20"/>
  <c r="X141" i="20" s="1"/>
  <c r="X305" i="20"/>
  <c r="T305" i="20"/>
  <c r="S12" i="20"/>
  <c r="X12" i="20" s="1"/>
  <c r="W14" i="20"/>
  <c r="S5" i="20"/>
  <c r="X5" i="20" s="1"/>
  <c r="W7" i="20"/>
  <c r="S11" i="20"/>
  <c r="X11" i="20" s="1"/>
  <c r="U32" i="20"/>
  <c r="U49" i="20"/>
  <c r="S49" i="20"/>
  <c r="X49" i="20" s="1"/>
  <c r="S316" i="20"/>
  <c r="X316" i="20" s="1"/>
  <c r="U105" i="20"/>
  <c r="S105" i="20"/>
  <c r="X105" i="20" s="1"/>
  <c r="S143" i="20"/>
  <c r="X143" i="20" s="1"/>
  <c r="S18" i="20"/>
  <c r="X18" i="20" s="1"/>
  <c r="U56" i="20"/>
  <c r="S64" i="20"/>
  <c r="X64" i="20" s="1"/>
  <c r="U86" i="20"/>
  <c r="S86" i="20"/>
  <c r="X86" i="20" s="1"/>
  <c r="U130" i="20"/>
  <c r="S130" i="20"/>
  <c r="X130" i="20" s="1"/>
  <c r="U148" i="20"/>
  <c r="S148" i="20"/>
  <c r="X148" i="20" s="1"/>
  <c r="S4" i="20"/>
  <c r="X4" i="20" s="1"/>
  <c r="S10" i="20"/>
  <c r="X10" i="20" s="1"/>
  <c r="U22" i="20"/>
  <c r="S22" i="20"/>
  <c r="X22" i="20" s="1"/>
  <c r="U40" i="20"/>
  <c r="S40" i="20"/>
  <c r="X40" i="20" s="1"/>
  <c r="U135" i="20"/>
  <c r="S135" i="20"/>
  <c r="X135" i="20" s="1"/>
  <c r="U322" i="20"/>
  <c r="S322" i="20"/>
  <c r="X322" i="20" s="1"/>
  <c r="W286" i="20"/>
  <c r="S286" i="20"/>
  <c r="X286" i="20" s="1"/>
  <c r="U28" i="20"/>
  <c r="S32" i="20"/>
  <c r="X32" i="20" s="1"/>
  <c r="S81" i="20"/>
  <c r="X81" i="20" s="1"/>
  <c r="U89" i="20"/>
  <c r="S89" i="20"/>
  <c r="X89" i="20" s="1"/>
  <c r="S114" i="20"/>
  <c r="X114" i="20" s="1"/>
  <c r="S9" i="20"/>
  <c r="X9" i="20" s="1"/>
  <c r="U50" i="20"/>
  <c r="S56" i="20"/>
  <c r="X56" i="20" s="1"/>
  <c r="U61" i="20"/>
  <c r="S61" i="20"/>
  <c r="X61" i="20" s="1"/>
  <c r="U327" i="20"/>
  <c r="T327" i="20"/>
  <c r="U55" i="20"/>
  <c r="S55" i="20"/>
  <c r="X55" i="20" s="1"/>
  <c r="S33" i="20"/>
  <c r="X33" i="20" s="1"/>
  <c r="U37" i="20"/>
  <c r="S37" i="20"/>
  <c r="X37" i="20" s="1"/>
  <c r="S96" i="20"/>
  <c r="X96" i="20" s="1"/>
  <c r="U101" i="20"/>
  <c r="S101" i="20"/>
  <c r="X101" i="20" s="1"/>
  <c r="U119" i="20"/>
  <c r="S119" i="20"/>
  <c r="X119" i="20" s="1"/>
  <c r="W229" i="20"/>
  <c r="S229" i="20"/>
  <c r="X229" i="20" s="1"/>
  <c r="U158" i="20"/>
  <c r="S158" i="20"/>
  <c r="X158" i="20" s="1"/>
  <c r="U170" i="20"/>
  <c r="S170" i="20"/>
  <c r="X170" i="20" s="1"/>
  <c r="U268" i="20"/>
  <c r="S268" i="20"/>
  <c r="X268" i="20" s="1"/>
  <c r="W65" i="20"/>
  <c r="W144" i="20"/>
  <c r="W324" i="20"/>
  <c r="T324" i="20"/>
  <c r="U303" i="20"/>
  <c r="S303" i="20"/>
  <c r="X303" i="20" s="1"/>
  <c r="U181" i="20"/>
  <c r="S181" i="20"/>
  <c r="X181" i="20" s="1"/>
  <c r="S189" i="20"/>
  <c r="X189" i="20" s="1"/>
  <c r="S201" i="20"/>
  <c r="X201" i="20" s="1"/>
  <c r="U196" i="20"/>
  <c r="S196" i="20"/>
  <c r="X196" i="20" s="1"/>
  <c r="U301" i="20"/>
  <c r="S301" i="20"/>
  <c r="X301" i="20" s="1"/>
  <c r="S26" i="20"/>
  <c r="X26" i="20" s="1"/>
  <c r="S39" i="20"/>
  <c r="X39" i="20" s="1"/>
  <c r="S36" i="20"/>
  <c r="X36" i="20" s="1"/>
  <c r="S48" i="20"/>
  <c r="X48" i="20" s="1"/>
  <c r="S313" i="20"/>
  <c r="X313" i="20" s="1"/>
  <c r="S54" i="20"/>
  <c r="X54" i="20" s="1"/>
  <c r="S60" i="20"/>
  <c r="X60" i="20" s="1"/>
  <c r="S70" i="20"/>
  <c r="X70" i="20" s="1"/>
  <c r="S62" i="20"/>
  <c r="X62" i="20" s="1"/>
  <c r="S85" i="20"/>
  <c r="X85" i="20" s="1"/>
  <c r="S79" i="20"/>
  <c r="X79" i="20" s="1"/>
  <c r="S88" i="20"/>
  <c r="X88" i="20" s="1"/>
  <c r="S94" i="20"/>
  <c r="X94" i="20" s="1"/>
  <c r="S100" i="20"/>
  <c r="X100" i="20" s="1"/>
  <c r="S317" i="20"/>
  <c r="X317" i="20" s="1"/>
  <c r="S110" i="20"/>
  <c r="X110" i="20" s="1"/>
  <c r="S329" i="20"/>
  <c r="X329" i="20" s="1"/>
  <c r="S123" i="20"/>
  <c r="X123" i="20" s="1"/>
  <c r="S129" i="20"/>
  <c r="X129" i="20" s="1"/>
  <c r="S112" i="20"/>
  <c r="X112" i="20" s="1"/>
  <c r="S147" i="20"/>
  <c r="X147" i="20" s="1"/>
  <c r="U239" i="20"/>
  <c r="S239" i="20"/>
  <c r="X239" i="20" s="1"/>
  <c r="U256" i="20"/>
  <c r="S256" i="20"/>
  <c r="X256" i="20" s="1"/>
  <c r="W280" i="20"/>
  <c r="U291" i="20"/>
  <c r="S291" i="20"/>
  <c r="X291" i="20" s="1"/>
  <c r="S252" i="20"/>
  <c r="X252" i="20" s="1"/>
  <c r="U262" i="20"/>
  <c r="S262" i="20"/>
  <c r="X262" i="20" s="1"/>
  <c r="S280" i="20"/>
  <c r="X280" i="20" s="1"/>
  <c r="S20" i="20"/>
  <c r="X20" i="20" s="1"/>
  <c r="S312" i="20"/>
  <c r="X312" i="20" s="1"/>
  <c r="S38" i="20"/>
  <c r="X38" i="20" s="1"/>
  <c r="S35" i="20"/>
  <c r="X35" i="20" s="1"/>
  <c r="S47" i="20"/>
  <c r="X47" i="20" s="1"/>
  <c r="S53" i="20"/>
  <c r="X53" i="20" s="1"/>
  <c r="S59" i="20"/>
  <c r="X59" i="20" s="1"/>
  <c r="S69" i="20"/>
  <c r="X69" i="20" s="1"/>
  <c r="S75" i="20"/>
  <c r="X75" i="20" s="1"/>
  <c r="S84" i="20"/>
  <c r="X84" i="20" s="1"/>
  <c r="S78" i="20"/>
  <c r="X78" i="20" s="1"/>
  <c r="S87" i="20"/>
  <c r="X87" i="20" s="1"/>
  <c r="S93" i="20"/>
  <c r="X93" i="20" s="1"/>
  <c r="S99" i="20"/>
  <c r="X99" i="20" s="1"/>
  <c r="S104" i="20"/>
  <c r="X104" i="20" s="1"/>
  <c r="S109" i="20"/>
  <c r="X109" i="20" s="1"/>
  <c r="S328" i="20"/>
  <c r="X328" i="20" s="1"/>
  <c r="S139" i="20"/>
  <c r="X139" i="20" s="1"/>
  <c r="S122" i="20"/>
  <c r="X122" i="20" s="1"/>
  <c r="S128" i="20"/>
  <c r="X128" i="20" s="1"/>
  <c r="S134" i="20"/>
  <c r="X134" i="20" s="1"/>
  <c r="S117" i="20"/>
  <c r="X117" i="20" s="1"/>
  <c r="S146" i="20"/>
  <c r="X146" i="20" s="1"/>
  <c r="U153" i="20"/>
  <c r="S153" i="20"/>
  <c r="X153" i="20" s="1"/>
  <c r="U321" i="20"/>
  <c r="S321" i="20"/>
  <c r="X321" i="20" s="1"/>
  <c r="U228" i="20"/>
  <c r="S228" i="20"/>
  <c r="X228" i="20" s="1"/>
  <c r="U285" i="20"/>
  <c r="S285" i="20"/>
  <c r="X285" i="20" s="1"/>
  <c r="U164" i="20"/>
  <c r="S164" i="20"/>
  <c r="X164" i="20" s="1"/>
  <c r="U188" i="20"/>
  <c r="S188" i="20"/>
  <c r="X188" i="20" s="1"/>
  <c r="U200" i="20"/>
  <c r="S200" i="20"/>
  <c r="X200" i="20" s="1"/>
  <c r="U216" i="20"/>
  <c r="S216" i="20"/>
  <c r="X216" i="20" s="1"/>
  <c r="U222" i="20"/>
  <c r="S222" i="20"/>
  <c r="X222" i="20" s="1"/>
  <c r="W269" i="20"/>
  <c r="S19" i="20"/>
  <c r="S25" i="20"/>
  <c r="S30" i="20"/>
  <c r="S34" i="20"/>
  <c r="S46" i="20"/>
  <c r="S43" i="20"/>
  <c r="S52" i="20"/>
  <c r="S58" i="20"/>
  <c r="S68" i="20"/>
  <c r="S74" i="20"/>
  <c r="S66" i="20"/>
  <c r="S77" i="20"/>
  <c r="S83" i="20"/>
  <c r="S92" i="20"/>
  <c r="S98" i="20"/>
  <c r="S103" i="20"/>
  <c r="S108" i="20"/>
  <c r="S318" i="20"/>
  <c r="S138" i="20"/>
  <c r="S121" i="20"/>
  <c r="S133" i="20"/>
  <c r="S116" i="20"/>
  <c r="S145" i="20"/>
  <c r="S159" i="20"/>
  <c r="X159" i="20" s="1"/>
  <c r="S171" i="20"/>
  <c r="X171" i="20" s="1"/>
  <c r="U249" i="20"/>
  <c r="S249" i="20"/>
  <c r="X249" i="20" s="1"/>
  <c r="U274" i="20"/>
  <c r="S274" i="20"/>
  <c r="X274" i="20" s="1"/>
  <c r="W304" i="20"/>
  <c r="U173" i="20"/>
  <c r="S173" i="20"/>
  <c r="X173" i="20" s="1"/>
  <c r="U186" i="20"/>
  <c r="S186" i="20"/>
  <c r="X186" i="20" s="1"/>
  <c r="U205" i="20"/>
  <c r="S205" i="20"/>
  <c r="X205" i="20" s="1"/>
  <c r="W302" i="20"/>
  <c r="W151" i="20"/>
  <c r="S151" i="20"/>
  <c r="X151" i="20" s="1"/>
  <c r="S320" i="20"/>
  <c r="X320" i="20" s="1"/>
  <c r="S197" i="20"/>
  <c r="X197" i="20" s="1"/>
  <c r="U251" i="20"/>
  <c r="S251" i="20"/>
  <c r="X251" i="20" s="1"/>
  <c r="W257" i="20"/>
  <c r="U279" i="20"/>
  <c r="S279" i="20"/>
  <c r="X279" i="20" s="1"/>
  <c r="W292" i="20"/>
  <c r="S152" i="20"/>
  <c r="X152" i="20" s="1"/>
  <c r="S330" i="20"/>
  <c r="X330" i="20" s="1"/>
  <c r="S163" i="20"/>
  <c r="X163" i="20" s="1"/>
  <c r="S169" i="20"/>
  <c r="X169" i="20" s="1"/>
  <c r="S172" i="20"/>
  <c r="X172" i="20" s="1"/>
  <c r="S180" i="20"/>
  <c r="X180" i="20" s="1"/>
  <c r="S185" i="20"/>
  <c r="X185" i="20" s="1"/>
  <c r="S204" i="20"/>
  <c r="X204" i="20" s="1"/>
  <c r="S210" i="20"/>
  <c r="X210" i="20" s="1"/>
  <c r="S233" i="20"/>
  <c r="X233" i="20" s="1"/>
  <c r="S250" i="20"/>
  <c r="X250" i="20" s="1"/>
  <c r="S323" i="20"/>
  <c r="X323" i="20" s="1"/>
  <c r="S261" i="20"/>
  <c r="X261" i="20" s="1"/>
  <c r="S267" i="20"/>
  <c r="X267" i="20" s="1"/>
  <c r="S273" i="20"/>
  <c r="X273" i="20" s="1"/>
  <c r="S300" i="20"/>
  <c r="X300" i="20" s="1"/>
  <c r="S278" i="20"/>
  <c r="X278" i="20" s="1"/>
  <c r="S284" i="20"/>
  <c r="X284" i="20" s="1"/>
  <c r="S290" i="20"/>
  <c r="X290" i="20" s="1"/>
  <c r="S296" i="20"/>
  <c r="X296" i="20" s="1"/>
  <c r="S308" i="20"/>
  <c r="X308" i="20" s="1"/>
  <c r="S157" i="20"/>
  <c r="X157" i="20" s="1"/>
  <c r="S162" i="20"/>
  <c r="X162" i="20" s="1"/>
  <c r="S168" i="20"/>
  <c r="X168" i="20" s="1"/>
  <c r="S319" i="20"/>
  <c r="X319" i="20" s="1"/>
  <c r="S179" i="20"/>
  <c r="X179" i="20" s="1"/>
  <c r="S184" i="20"/>
  <c r="X184" i="20" s="1"/>
  <c r="S334" i="20"/>
  <c r="X334" i="20" s="1"/>
  <c r="S194" i="20"/>
  <c r="X194" i="20" s="1"/>
  <c r="S203" i="20"/>
  <c r="X203" i="20" s="1"/>
  <c r="S220" i="20"/>
  <c r="X220" i="20" s="1"/>
  <c r="S226" i="20"/>
  <c r="X226" i="20" s="1"/>
  <c r="S232" i="20"/>
  <c r="X232" i="20" s="1"/>
  <c r="S247" i="20"/>
  <c r="X247" i="20" s="1"/>
  <c r="S237" i="20"/>
  <c r="X237" i="20" s="1"/>
  <c r="S243" i="20"/>
  <c r="X243" i="20" s="1"/>
  <c r="S255" i="20"/>
  <c r="X255" i="20" s="1"/>
  <c r="S272" i="20"/>
  <c r="X272" i="20" s="1"/>
  <c r="S299" i="20"/>
  <c r="X299" i="20" s="1"/>
  <c r="S277" i="20"/>
  <c r="X277" i="20" s="1"/>
  <c r="S283" i="20"/>
  <c r="X283" i="20" s="1"/>
  <c r="S289" i="20"/>
  <c r="X289" i="20" s="1"/>
  <c r="S295" i="20"/>
  <c r="X295" i="20" s="1"/>
  <c r="S307" i="20"/>
  <c r="X307" i="20" s="1"/>
  <c r="S156" i="20"/>
  <c r="X156" i="20" s="1"/>
  <c r="S161" i="20"/>
  <c r="X161" i="20" s="1"/>
  <c r="S167" i="20"/>
  <c r="X167" i="20" s="1"/>
  <c r="S176" i="20"/>
  <c r="X176" i="20" s="1"/>
  <c r="S183" i="20"/>
  <c r="X183" i="20" s="1"/>
  <c r="S333" i="20"/>
  <c r="X333" i="20" s="1"/>
  <c r="S335" i="20"/>
  <c r="X335" i="20" s="1"/>
  <c r="S199" i="20"/>
  <c r="X199" i="20" s="1"/>
  <c r="S219" i="20"/>
  <c r="X219" i="20" s="1"/>
  <c r="S225" i="20"/>
  <c r="X225" i="20" s="1"/>
  <c r="S231" i="20"/>
  <c r="X231" i="20" s="1"/>
  <c r="S242" i="20"/>
  <c r="X242" i="20" s="1"/>
  <c r="S254" i="20"/>
  <c r="X254" i="20" s="1"/>
  <c r="S265" i="20"/>
  <c r="X265" i="20" s="1"/>
  <c r="S271" i="20"/>
  <c r="X271" i="20" s="1"/>
  <c r="S298" i="20"/>
  <c r="X298" i="20" s="1"/>
  <c r="S276" i="20"/>
  <c r="X276" i="20" s="1"/>
  <c r="S282" i="20"/>
  <c r="X282" i="20" s="1"/>
  <c r="S288" i="20"/>
  <c r="X288" i="20" s="1"/>
  <c r="S294" i="20"/>
  <c r="X294" i="20" s="1"/>
  <c r="S306" i="20"/>
  <c r="X306" i="20" s="1"/>
  <c r="T266" i="20" l="1"/>
  <c r="T118" i="20"/>
  <c r="T212" i="20"/>
  <c r="T246" i="20"/>
  <c r="Z321" i="19"/>
  <c r="M321" i="19"/>
  <c r="N321" i="19"/>
  <c r="O321" i="19"/>
  <c r="T292" i="20"/>
  <c r="T241" i="20"/>
  <c r="T245" i="20"/>
  <c r="T275" i="20"/>
  <c r="T235" i="20"/>
  <c r="T140" i="20"/>
  <c r="T24" i="20"/>
  <c r="T325" i="20"/>
  <c r="T304" i="20"/>
  <c r="T297" i="20"/>
  <c r="T240" i="20"/>
  <c r="T73" i="20"/>
  <c r="T174" i="20"/>
  <c r="T165" i="20"/>
  <c r="T215" i="20"/>
  <c r="T218" i="20"/>
  <c r="T45" i="20"/>
  <c r="T126" i="20"/>
  <c r="T28" i="20"/>
  <c r="T120" i="20"/>
  <c r="T67" i="20"/>
  <c r="T177" i="20"/>
  <c r="T29" i="20"/>
  <c r="T155" i="20"/>
  <c r="T287" i="20"/>
  <c r="T314" i="20"/>
  <c r="T234" i="20"/>
  <c r="T97" i="20"/>
  <c r="T149" i="20"/>
  <c r="T332" i="20"/>
  <c r="T258" i="20"/>
  <c r="T192" i="20"/>
  <c r="T193" i="20"/>
  <c r="T269" i="20"/>
  <c r="T217" i="20"/>
  <c r="T150" i="20"/>
  <c r="T208" i="20"/>
  <c r="X127" i="20"/>
  <c r="T144" i="20"/>
  <c r="T91" i="20"/>
  <c r="T293" i="20"/>
  <c r="T154" i="20"/>
  <c r="T82" i="20"/>
  <c r="T142" i="20"/>
  <c r="T102" i="20"/>
  <c r="T136" i="20"/>
  <c r="T3" i="20"/>
  <c r="T264" i="20"/>
  <c r="T315" i="20"/>
  <c r="T160" i="20"/>
  <c r="T329" i="20"/>
  <c r="T65" i="20"/>
  <c r="T81" i="20"/>
  <c r="T143" i="20"/>
  <c r="T166" i="20"/>
  <c r="T229" i="20"/>
  <c r="T206" i="20"/>
  <c r="T313" i="20"/>
  <c r="T42" i="20"/>
  <c r="T202" i="20"/>
  <c r="T8" i="20"/>
  <c r="T69" i="20"/>
  <c r="T182" i="20"/>
  <c r="T175" i="20"/>
  <c r="T5" i="20"/>
  <c r="T252" i="20"/>
  <c r="T85" i="20"/>
  <c r="T191" i="20"/>
  <c r="T187" i="20"/>
  <c r="T57" i="20"/>
  <c r="T190" i="20"/>
  <c r="T211" i="20"/>
  <c r="T131" i="20"/>
  <c r="T125" i="20"/>
  <c r="T230" i="20"/>
  <c r="T115" i="20"/>
  <c r="T236" i="20"/>
  <c r="T331" i="20"/>
  <c r="T221" i="20"/>
  <c r="T132" i="20"/>
  <c r="T107" i="20"/>
  <c r="T199" i="20"/>
  <c r="T228" i="20"/>
  <c r="T122" i="20"/>
  <c r="T244" i="20"/>
  <c r="T51" i="20"/>
  <c r="T223" i="20"/>
  <c r="T257" i="20"/>
  <c r="T224" i="20"/>
  <c r="T263" i="20"/>
  <c r="T226" i="20"/>
  <c r="T159" i="20"/>
  <c r="T70" i="20"/>
  <c r="T163" i="20"/>
  <c r="T36" i="20"/>
  <c r="T109" i="20"/>
  <c r="T307" i="20"/>
  <c r="T225" i="20"/>
  <c r="T180" i="20"/>
  <c r="T23" i="20"/>
  <c r="T272" i="20"/>
  <c r="T328" i="20"/>
  <c r="T104" i="20"/>
  <c r="T179" i="20"/>
  <c r="T153" i="20"/>
  <c r="T6" i="20"/>
  <c r="T238" i="20"/>
  <c r="T162" i="20"/>
  <c r="T284" i="20"/>
  <c r="T35" i="20"/>
  <c r="T273" i="20"/>
  <c r="T270" i="20"/>
  <c r="T254" i="20"/>
  <c r="T55" i="20"/>
  <c r="T209" i="20"/>
  <c r="T294" i="20"/>
  <c r="T86" i="20"/>
  <c r="T157" i="20"/>
  <c r="T171" i="20"/>
  <c r="T312" i="20"/>
  <c r="T135" i="20"/>
  <c r="T183" i="20"/>
  <c r="T299" i="20"/>
  <c r="T151" i="20"/>
  <c r="T330" i="20"/>
  <c r="T90" i="20"/>
  <c r="T198" i="20"/>
  <c r="X281" i="20"/>
  <c r="T281" i="20"/>
  <c r="T13" i="20"/>
  <c r="T267" i="20"/>
  <c r="T76" i="20"/>
  <c r="T168" i="20"/>
  <c r="T311" i="20"/>
  <c r="T243" i="20"/>
  <c r="T261" i="20"/>
  <c r="T147" i="20"/>
  <c r="T158" i="20"/>
  <c r="T72" i="20"/>
  <c r="T61" i="20"/>
  <c r="T2" i="20"/>
  <c r="T178" i="20"/>
  <c r="T276" i="20"/>
  <c r="T247" i="20"/>
  <c r="T248" i="20"/>
  <c r="T232" i="20"/>
  <c r="T279" i="20"/>
  <c r="T216" i="20"/>
  <c r="T256" i="20"/>
  <c r="T152" i="20"/>
  <c r="T22" i="20"/>
  <c r="T95" i="20"/>
  <c r="T62" i="20"/>
  <c r="T184" i="20"/>
  <c r="T195" i="20"/>
  <c r="T189" i="20"/>
  <c r="T317" i="20"/>
  <c r="T322" i="20"/>
  <c r="T253" i="20"/>
  <c r="T200" i="20"/>
  <c r="T64" i="20"/>
  <c r="T21" i="20"/>
  <c r="X21" i="20"/>
  <c r="T237" i="20"/>
  <c r="T134" i="20"/>
  <c r="T79" i="20"/>
  <c r="T16" i="20"/>
  <c r="T271" i="20"/>
  <c r="T89" i="20"/>
  <c r="T194" i="20"/>
  <c r="T250" i="20"/>
  <c r="T319" i="20"/>
  <c r="T113" i="20"/>
  <c r="T167" i="20"/>
  <c r="T78" i="20"/>
  <c r="T207" i="20"/>
  <c r="T298" i="20"/>
  <c r="T161" i="20"/>
  <c r="T283" i="20"/>
  <c r="T227" i="20"/>
  <c r="T302" i="20"/>
  <c r="T84" i="20"/>
  <c r="T12" i="20"/>
  <c r="T44" i="20"/>
  <c r="X44" i="20"/>
  <c r="T173" i="20"/>
  <c r="T214" i="20"/>
  <c r="X214" i="20"/>
  <c r="T137" i="20"/>
  <c r="T231" i="20"/>
  <c r="T156" i="20"/>
  <c r="T277" i="20"/>
  <c r="T75" i="20"/>
  <c r="T112" i="20"/>
  <c r="T291" i="20"/>
  <c r="T37" i="20"/>
  <c r="T32" i="20"/>
  <c r="T17" i="20"/>
  <c r="T301" i="20"/>
  <c r="T50" i="20"/>
  <c r="T260" i="20"/>
  <c r="T285" i="20"/>
  <c r="T204" i="20"/>
  <c r="T205" i="20"/>
  <c r="T181" i="20"/>
  <c r="T170" i="20"/>
  <c r="T4" i="20"/>
  <c r="T40" i="20"/>
  <c r="T239" i="20"/>
  <c r="T213" i="20"/>
  <c r="T296" i="20"/>
  <c r="T38" i="20"/>
  <c r="T106" i="20"/>
  <c r="T18" i="20"/>
  <c r="T33" i="20"/>
  <c r="T176" i="20"/>
  <c r="T219" i="20"/>
  <c r="T306" i="20"/>
  <c r="T290" i="20"/>
  <c r="T146" i="20"/>
  <c r="T88" i="20"/>
  <c r="T316" i="20"/>
  <c r="T15" i="20"/>
  <c r="T259" i="20"/>
  <c r="X259" i="20"/>
  <c r="T288" i="20"/>
  <c r="T289" i="20"/>
  <c r="T220" i="20"/>
  <c r="T278" i="20"/>
  <c r="T210" i="20"/>
  <c r="T121" i="20"/>
  <c r="X121" i="20"/>
  <c r="T58" i="20"/>
  <c r="X58" i="20"/>
  <c r="T280" i="20"/>
  <c r="T268" i="20"/>
  <c r="T114" i="20"/>
  <c r="T49" i="20"/>
  <c r="T31" i="20"/>
  <c r="T63" i="20"/>
  <c r="T251" i="20"/>
  <c r="T282" i="20"/>
  <c r="T203" i="20"/>
  <c r="T300" i="20"/>
  <c r="T249" i="20"/>
  <c r="T138" i="20"/>
  <c r="X138" i="20"/>
  <c r="X52" i="20"/>
  <c r="T52" i="20"/>
  <c r="T164" i="20"/>
  <c r="T93" i="20"/>
  <c r="T20" i="20"/>
  <c r="T334" i="20"/>
  <c r="T129" i="20"/>
  <c r="T101" i="20"/>
  <c r="T141" i="20"/>
  <c r="T68" i="20"/>
  <c r="X68" i="20"/>
  <c r="T321" i="20"/>
  <c r="T318" i="20"/>
  <c r="X318" i="20"/>
  <c r="X43" i="20"/>
  <c r="T43" i="20"/>
  <c r="T87" i="20"/>
  <c r="T123" i="20"/>
  <c r="T60" i="20"/>
  <c r="T286" i="20"/>
  <c r="T108" i="20"/>
  <c r="X108" i="20"/>
  <c r="X46" i="20"/>
  <c r="T46" i="20"/>
  <c r="T54" i="20"/>
  <c r="T116" i="20"/>
  <c r="X116" i="20"/>
  <c r="T295" i="20"/>
  <c r="T103" i="20"/>
  <c r="X103" i="20"/>
  <c r="X34" i="20"/>
  <c r="T34" i="20"/>
  <c r="T71" i="20"/>
  <c r="T222" i="20"/>
  <c r="T265" i="20"/>
  <c r="T323" i="20"/>
  <c r="T185" i="20"/>
  <c r="T197" i="20"/>
  <c r="T98" i="20"/>
  <c r="X98" i="20"/>
  <c r="X30" i="20"/>
  <c r="T30" i="20"/>
  <c r="T117" i="20"/>
  <c r="T110" i="20"/>
  <c r="T48" i="20"/>
  <c r="T303" i="20"/>
  <c r="T99" i="20"/>
  <c r="T74" i="20"/>
  <c r="X74" i="20"/>
  <c r="T335" i="20"/>
  <c r="T255" i="20"/>
  <c r="T201" i="20"/>
  <c r="T92" i="20"/>
  <c r="X92" i="20"/>
  <c r="X25" i="20"/>
  <c r="T25" i="20"/>
  <c r="T56" i="20"/>
  <c r="T111" i="20"/>
  <c r="T14" i="20"/>
  <c r="T333" i="20"/>
  <c r="T242" i="20"/>
  <c r="T172" i="20"/>
  <c r="T83" i="20"/>
  <c r="X83" i="20"/>
  <c r="X19" i="20"/>
  <c r="T19" i="20"/>
  <c r="T128" i="20"/>
  <c r="T59" i="20"/>
  <c r="T262" i="20"/>
  <c r="T100" i="20"/>
  <c r="T39" i="20"/>
  <c r="T148" i="20"/>
  <c r="T105" i="20"/>
  <c r="T27" i="20"/>
  <c r="T80" i="20"/>
  <c r="T186" i="20"/>
  <c r="T130" i="20"/>
  <c r="T308" i="20"/>
  <c r="T233" i="20"/>
  <c r="T169" i="20"/>
  <c r="T77" i="20"/>
  <c r="X77" i="20"/>
  <c r="T53" i="20"/>
  <c r="T94" i="20"/>
  <c r="T26" i="20"/>
  <c r="T96" i="20"/>
  <c r="T10" i="20"/>
  <c r="T7" i="20"/>
  <c r="T133" i="20"/>
  <c r="X133" i="20"/>
  <c r="T320" i="20"/>
  <c r="T274" i="20"/>
  <c r="T145" i="20"/>
  <c r="X145" i="20"/>
  <c r="T66" i="20"/>
  <c r="X66" i="20"/>
  <c r="T188" i="20"/>
  <c r="T139" i="20"/>
  <c r="T47" i="20"/>
  <c r="T196" i="20"/>
  <c r="T119" i="20"/>
  <c r="T11" i="20"/>
  <c r="T124" i="20"/>
  <c r="T9" i="20"/>
</calcChain>
</file>

<file path=xl/sharedStrings.xml><?xml version="1.0" encoding="utf-8"?>
<sst xmlns="http://schemas.openxmlformats.org/spreadsheetml/2006/main" count="1921" uniqueCount="371">
  <si>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1/18</t>
    </r>
  </si>
  <si>
    <r>
      <rPr>
        <b/>
        <sz val="7"/>
        <rFont val="Arial"/>
        <family val="2"/>
      </rPr>
      <t>Bil</t>
    </r>
  </si>
  <si>
    <r>
      <rPr>
        <b/>
        <sz val="7"/>
        <rFont val="Arial"/>
        <family val="2"/>
      </rPr>
      <t>No. Kod Daerah Mengundi</t>
    </r>
  </si>
  <si>
    <r>
      <rPr>
        <b/>
        <sz val="7"/>
        <rFont val="Arial"/>
        <family val="2"/>
      </rPr>
      <t>Nama Pusat Mengundi</t>
    </r>
  </si>
  <si>
    <r>
      <rPr>
        <b/>
        <sz val="7"/>
        <rFont val="Arial"/>
        <family val="2"/>
      </rPr>
      <t>Nombor Tempat Mengundi (saluran)</t>
    </r>
  </si>
  <si>
    <r>
      <rPr>
        <b/>
        <sz val="7"/>
        <rFont val="Arial"/>
        <family val="2"/>
      </rPr>
      <t xml:space="preserve">Jumlah kertas undi yang patut berada di dalam peti undi
</t>
    </r>
    <r>
      <rPr>
        <b/>
        <sz val="7"/>
        <rFont val="Arial"/>
        <family val="2"/>
      </rPr>
      <t>(A)</t>
    </r>
  </si>
  <si>
    <r>
      <rPr>
        <b/>
        <sz val="7"/>
        <rFont val="Arial"/>
        <family val="2"/>
      </rPr>
      <t xml:space="preserve">Bilangan undian oleh pemilih bagi setiap orang calon yang bertanding
</t>
    </r>
    <r>
      <rPr>
        <b/>
        <sz val="7"/>
        <rFont val="Arial"/>
        <family val="2"/>
      </rPr>
      <t>(B)</t>
    </r>
  </si>
  <si>
    <r>
      <rPr>
        <b/>
        <sz val="7"/>
        <rFont val="Arial"/>
        <family val="2"/>
      </rPr>
      <t xml:space="preserve">Bilangan kertas undi yang ditolak
</t>
    </r>
    <r>
      <rPr>
        <b/>
        <sz val="7"/>
        <rFont val="Arial"/>
        <family val="2"/>
      </rPr>
      <t>(C)</t>
    </r>
  </si>
  <si>
    <r>
      <rPr>
        <b/>
        <sz val="7"/>
        <rFont val="Arial"/>
        <family val="2"/>
      </rPr>
      <t xml:space="preserve">Jumlah kertas undi yang dikeluarkan kepada pengundi tetapi tidak dimasukkan ke dalam peti undi
</t>
    </r>
    <r>
      <rPr>
        <b/>
        <sz val="7"/>
        <rFont val="Arial"/>
        <family val="2"/>
      </rPr>
      <t>(D)</t>
    </r>
  </si>
  <si>
    <r>
      <rPr>
        <sz val="6"/>
        <rFont val="Arial"/>
        <family val="2"/>
      </rPr>
      <t>NG KIAN NAM</t>
    </r>
  </si>
  <si>
    <r>
      <rPr>
        <sz val="6"/>
        <rFont val="Arial"/>
        <family val="2"/>
      </rPr>
      <t>DAVID CHOONG</t>
    </r>
  </si>
  <si>
    <r>
      <rPr>
        <sz val="6"/>
        <rFont val="Arial"/>
        <family val="2"/>
      </rPr>
      <t>CHA KEE CHIN</t>
    </r>
  </si>
  <si>
    <r>
      <rPr>
        <b/>
        <sz val="7"/>
        <rFont val="Arial"/>
        <family val="2"/>
      </rPr>
      <t>Jumlah undian oleh pemilih</t>
    </r>
  </si>
  <si>
    <r>
      <rPr>
        <sz val="8"/>
        <rFont val="Arial"/>
        <family val="2"/>
      </rPr>
      <t>UNDI POS</t>
    </r>
  </si>
  <si>
    <r>
      <rPr>
        <sz val="12"/>
        <rFont val="Arial"/>
        <family val="2"/>
      </rPr>
      <t>UNDI AWAL</t>
    </r>
  </si>
  <si>
    <r>
      <rPr>
        <sz val="8"/>
        <rFont val="Arial"/>
        <family val="2"/>
      </rPr>
      <t>UNDI AWAL 130/20/00</t>
    </r>
  </si>
  <si>
    <r>
      <rPr>
        <sz val="8"/>
        <rFont val="Arial"/>
        <family val="2"/>
      </rPr>
      <t>RUANG A, DEWAN ACACIA IPD SEREMBAN (DUN LABU)</t>
    </r>
  </si>
  <si>
    <r>
      <rPr>
        <sz val="8"/>
        <rFont val="Arial"/>
        <family val="2"/>
      </rPr>
      <t>UNDI AWAL 130/21/00</t>
    </r>
  </si>
  <si>
    <r>
      <rPr>
        <sz val="8"/>
        <rFont val="Arial"/>
        <family val="2"/>
      </rPr>
      <t>RUANG B, DEWAN ACACIA IPD SEREMBAN (DUN BUKIT KEPAYANG)</t>
    </r>
  </si>
  <si>
    <r>
      <rPr>
        <sz val="8"/>
        <rFont val="Arial"/>
        <family val="2"/>
      </rPr>
      <t>UNDI AWAL 130/22/00</t>
    </r>
  </si>
  <si>
    <r>
      <rPr>
        <sz val="8"/>
        <rFont val="Arial"/>
        <family val="2"/>
      </rPr>
      <t>RUANG C, DEWAN ACACIA IPD SEREMBAN (DUN RAHANG)</t>
    </r>
  </si>
  <si>
    <r>
      <rPr>
        <sz val="8"/>
        <rFont val="Arial"/>
        <family val="2"/>
      </rPr>
      <t>GARAJ MT KEM 1 BRIGED RASAH (DUN RAHANG)</t>
    </r>
  </si>
  <si>
    <r>
      <rPr>
        <sz val="8"/>
        <rFont val="Arial"/>
        <family val="2"/>
      </rPr>
      <t>UNDI AWAL 130/23/00</t>
    </r>
  </si>
  <si>
    <r>
      <rPr>
        <sz val="8"/>
        <rFont val="Arial"/>
        <family val="2"/>
      </rPr>
      <t>RUANG D, DEWAN ACACIA IPD SEREMBAN (DUN MAMBAU)</t>
    </r>
  </si>
  <si>
    <r>
      <rPr>
        <sz val="12"/>
        <rFont val="Arial"/>
        <family val="2"/>
      </rPr>
      <t>UNDI BIASA</t>
    </r>
  </si>
  <si>
    <r>
      <rPr>
        <sz val="8"/>
        <rFont val="Arial"/>
        <family val="2"/>
      </rPr>
      <t>JIJAN 130/20/01</t>
    </r>
  </si>
  <si>
    <r>
      <rPr>
        <sz val="8"/>
        <rFont val="Arial"/>
        <family val="2"/>
      </rPr>
      <t>SEKOLAH JENIS KEBANGSAAN (TAMIL) LADANG KUBANG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</si>
  <si>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2/18</t>
    </r>
  </si>
  <si>
    <r>
      <rPr>
        <sz val="8"/>
        <rFont val="Arial"/>
        <family val="2"/>
      </rPr>
      <t>SEKOLAH KEBANGSAAN DESA CEMPAKA</t>
    </r>
  </si>
  <si>
    <r>
      <rPr>
        <sz val="8"/>
        <rFont val="Arial"/>
        <family val="2"/>
      </rPr>
      <t>SEKOLAH JENIS KEBANGSAAN (TAMIL) DESA CEMPAKA</t>
    </r>
  </si>
  <si>
    <r>
      <rPr>
        <sz val="8"/>
        <rFont val="Arial"/>
        <family val="2"/>
      </rPr>
      <t>SEKOLAH KEBANGSAAN KOMPLEKS KLIA</t>
    </r>
  </si>
  <si>
    <r>
      <rPr>
        <sz val="8"/>
        <rFont val="Arial"/>
        <family val="2"/>
      </rPr>
      <t>SEKOLAH MENENGAH KEBANGSAAN BANDAR ENSTEK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</si>
  <si>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3/18</t>
    </r>
  </si>
  <si>
    <r>
      <rPr>
        <sz val="8"/>
        <rFont val="Arial"/>
        <family val="2"/>
      </rPr>
      <t>KAMPONG KONDOK 130/20/02</t>
    </r>
  </si>
  <si>
    <r>
      <rPr>
        <sz val="8"/>
        <rFont val="Arial"/>
        <family val="2"/>
      </rPr>
      <t>SEKOLAH KEBANGSAAN DATO' SHAH BANDAR ABU BAKAR LABU HILIR</t>
    </r>
  </si>
  <si>
    <r>
      <rPr>
        <sz val="8"/>
        <rFont val="Arial"/>
        <family val="2"/>
      </rPr>
      <t>TIROI 130/20/03</t>
    </r>
  </si>
  <si>
    <r>
      <rPr>
        <sz val="8"/>
        <rFont val="Arial"/>
        <family val="2"/>
      </rPr>
      <t>SEKOLAH KEBANGSAAN LABU ULU</t>
    </r>
  </si>
  <si>
    <r>
      <rPr>
        <sz val="8"/>
        <rFont val="Arial"/>
        <family val="2"/>
      </rPr>
      <t>SEKOLAH JENIS KEBANGSAAN (CINA) KG. BARU BATU 8</t>
    </r>
  </si>
  <si>
    <r>
      <rPr>
        <sz val="8"/>
        <rFont val="Arial"/>
        <family val="2"/>
      </rPr>
      <t>LABU 130/20/04</t>
    </r>
  </si>
  <si>
    <r>
      <rPr>
        <sz val="8"/>
        <rFont val="Arial"/>
        <family val="2"/>
      </rPr>
      <t>SEKOLAH KEBANGSAAN LABU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</si>
  <si>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4/18</t>
    </r>
  </si>
  <si>
    <r>
      <rPr>
        <sz val="8"/>
        <rFont val="Arial"/>
        <family val="2"/>
      </rPr>
      <t>SEKOLAH JENIS KEBANGSAAN (CINA) MIN SHING</t>
    </r>
  </si>
  <si>
    <r>
      <rPr>
        <sz val="8"/>
        <rFont val="Arial"/>
        <family val="2"/>
      </rPr>
      <t>LABU JAYA 130/20/05</t>
    </r>
  </si>
  <si>
    <r>
      <rPr>
        <sz val="8"/>
        <rFont val="Arial"/>
        <family val="2"/>
      </rPr>
      <t>SEKOLAH KEBANGSAAN L B JOHNSON</t>
    </r>
  </si>
  <si>
    <r>
      <rPr>
        <sz val="8"/>
        <rFont val="Arial"/>
        <family val="2"/>
      </rPr>
      <t xml:space="preserve">KAMPUNG GADONG JAYA
</t>
    </r>
    <r>
      <rPr>
        <sz val="8"/>
        <rFont val="Arial"/>
        <family val="2"/>
      </rPr>
      <t>130/20/06</t>
    </r>
  </si>
  <si>
    <r>
      <rPr>
        <sz val="8"/>
        <rFont val="Arial"/>
        <family val="2"/>
      </rPr>
      <t>SEKOLAH KEBANGSAAN GADONG JAYA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</si>
  <si>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5/18</t>
    </r>
  </si>
  <si>
    <r>
      <rPr>
        <sz val="8"/>
        <rFont val="Arial"/>
        <family val="2"/>
      </rPr>
      <t>BUKIT KEPAYANG 130/21/01</t>
    </r>
  </si>
  <si>
    <r>
      <rPr>
        <sz val="8"/>
        <rFont val="Arial"/>
        <family val="2"/>
      </rPr>
      <t>SEKOLAH MENENGAH KEBANGSAAN CHAN WA II</t>
    </r>
  </si>
  <si>
    <r>
      <rPr>
        <sz val="8"/>
        <rFont val="Arial"/>
        <family val="2"/>
      </rPr>
      <t>SEKOLAH JENIS KEBANGSAAN (CINA) HILLSIDE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</si>
  <si>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6/18</t>
    </r>
  </si>
  <si>
    <r>
      <rPr>
        <sz val="8"/>
        <rFont val="Arial"/>
        <family val="2"/>
      </rPr>
      <t>TAMAN PERMAI 130/21/02</t>
    </r>
  </si>
  <si>
    <r>
      <rPr>
        <sz val="8"/>
        <rFont val="Arial"/>
        <family val="2"/>
      </rPr>
      <t>SEKOLAH KEBANGSAAN PUTERI</t>
    </r>
  </si>
  <si>
    <r>
      <rPr>
        <sz val="8"/>
        <rFont val="Arial"/>
        <family val="2"/>
      </rPr>
      <t>KOMPLEKS JABATAN KEBUDAYAAN DAN KESENIAN NEGARA, NEGERI SEMBILAN</t>
    </r>
  </si>
  <si>
    <r>
      <rPr>
        <sz val="8"/>
        <rFont val="Arial"/>
        <family val="2"/>
      </rPr>
      <t>SEKOLAH MENENGAH KEBANGSAAN PUTERI</t>
    </r>
  </si>
  <si>
    <r>
      <rPr>
        <sz val="8"/>
        <rFont val="Arial"/>
        <family val="2"/>
      </rPr>
      <t>JALAN KONG SANG 130/21/03</t>
    </r>
  </si>
  <si>
    <r>
      <rPr>
        <sz val="8"/>
        <rFont val="Arial"/>
        <family val="2"/>
      </rPr>
      <t>SEKOLAH JENIS KEBANGSAAN (CINA) SAN MIN</t>
    </r>
  </si>
  <si>
    <r>
      <rPr>
        <sz val="8"/>
        <rFont val="Arial"/>
        <family val="2"/>
      </rPr>
      <t>JALAN DATO BANDAR TUNGGAL 130/21/04</t>
    </r>
  </si>
  <si>
    <r>
      <rPr>
        <sz val="8"/>
        <rFont val="Arial"/>
        <family val="2"/>
      </rPr>
      <t>SEKOLAH MENENGAH KEBANGSAAN METHODIST ACS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</si>
  <si>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7/18</t>
    </r>
  </si>
  <si>
    <r>
      <rPr>
        <sz val="8"/>
        <rFont val="Arial"/>
        <family val="2"/>
      </rPr>
      <t>JALAN YAM TUAN 130/21/05</t>
    </r>
  </si>
  <si>
    <r>
      <rPr>
        <sz val="8"/>
        <rFont val="Arial"/>
        <family val="2"/>
      </rPr>
      <t>SEKOLAH JENIS KEBANGSAAN (TAMIL) LORONG JAVA</t>
    </r>
  </si>
  <si>
    <r>
      <rPr>
        <sz val="8"/>
        <rFont val="Arial"/>
        <family val="2"/>
      </rPr>
      <t>JALAN LEE SAM 130/21/06</t>
    </r>
  </si>
  <si>
    <r>
      <rPr>
        <sz val="8"/>
        <rFont val="Arial"/>
        <family val="2"/>
      </rPr>
      <t>WISMA CELOYNESE NEGERI SEMBILAN</t>
    </r>
  </si>
  <si>
    <r>
      <rPr>
        <sz val="8"/>
        <rFont val="Arial"/>
        <family val="2"/>
      </rPr>
      <t>JALAN TUANKU MUNAWIR 130/21/07</t>
    </r>
  </si>
  <si>
    <r>
      <rPr>
        <sz val="8"/>
        <rFont val="Arial"/>
        <family val="2"/>
      </rPr>
      <t>SEKOLAH JENIS KEBANGSAAN (CINA) SINO ENGLISH</t>
    </r>
  </si>
  <si>
    <r>
      <rPr>
        <sz val="8"/>
        <rFont val="Arial"/>
        <family val="2"/>
      </rPr>
      <t>BUKIT TEMBOK 130/21/08</t>
    </r>
  </si>
  <si>
    <r>
      <rPr>
        <sz val="8"/>
        <rFont val="Arial"/>
        <family val="2"/>
      </rPr>
      <t>SEKOLAH METHODIST WESLEY SEREMBAN</t>
    </r>
  </si>
  <si>
    <r>
      <rPr>
        <sz val="8"/>
        <rFont val="Arial"/>
        <family val="2"/>
      </rPr>
      <t>TAMAN BUKIT KAYA 130/21/09</t>
    </r>
  </si>
  <si>
    <r>
      <rPr>
        <sz val="8"/>
        <rFont val="Arial"/>
        <family val="2"/>
      </rPr>
      <t>SEKOLAH KEBANGSAAN ST. PAUL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</si>
  <si>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8/18</t>
    </r>
  </si>
  <si>
    <r>
      <rPr>
        <sz val="8"/>
        <rFont val="Arial"/>
        <family val="2"/>
      </rPr>
      <t>SEREMBAN 2 130/21/10</t>
    </r>
  </si>
  <si>
    <r>
      <rPr>
        <sz val="8"/>
        <rFont val="Arial"/>
        <family val="2"/>
      </rPr>
      <t>SEKOLAH KEBANGSAAN WAWASAN</t>
    </r>
  </si>
  <si>
    <r>
      <rPr>
        <sz val="8"/>
        <rFont val="Arial"/>
        <family val="2"/>
      </rPr>
      <t>SEKOLAH KEBANGSAAN SEREMBAN 2A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</si>
  <si>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  MUKASURAT: 9/18</t>
    </r>
  </si>
  <si>
    <r>
      <rPr>
        <sz val="8"/>
        <rFont val="Arial"/>
        <family val="2"/>
      </rPr>
      <t>SEKOLAH KEBANGSAAN SEREMBAN 2B</t>
    </r>
  </si>
  <si>
    <r>
      <rPr>
        <sz val="8"/>
        <rFont val="Arial"/>
        <family val="2"/>
      </rPr>
      <t>SEKOLAH JENIS KEBANGSAAN (CINA) TUNG HUA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</si>
  <si>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10/18</t>
    </r>
  </si>
  <si>
    <r>
      <rPr>
        <sz val="8"/>
        <rFont val="Arial"/>
        <family val="2"/>
      </rPr>
      <t>SEKOLAH MENENGAH KEBANGSAAN BUKIT KEPAYANG</t>
    </r>
  </si>
  <si>
    <r>
      <rPr>
        <sz val="8"/>
        <rFont val="Arial"/>
        <family val="2"/>
      </rPr>
      <t>DEWAN KOMUNITI MANTAU</t>
    </r>
  </si>
  <si>
    <r>
      <rPr>
        <sz val="8"/>
        <rFont val="Arial"/>
        <family val="2"/>
      </rPr>
      <t>RAHANG 130/22/01</t>
    </r>
  </si>
  <si>
    <r>
      <rPr>
        <sz val="8"/>
        <rFont val="Arial"/>
        <family val="2"/>
      </rPr>
      <t>PEJABAT RISDA DAERAH ( RAHANG )</t>
    </r>
  </si>
  <si>
    <r>
      <rPr>
        <sz val="8"/>
        <rFont val="Arial"/>
        <family val="2"/>
      </rPr>
      <t>RAHANG TIMOR 130/22/02</t>
    </r>
  </si>
  <si>
    <r>
      <rPr>
        <sz val="8"/>
        <rFont val="Arial"/>
        <family val="2"/>
      </rPr>
      <t>SEKOLAH KEBANGSAAN RAHANG</t>
    </r>
  </si>
  <si>
    <r>
      <rPr>
        <sz val="8"/>
        <rFont val="Arial"/>
        <family val="2"/>
      </rPr>
      <t>PEKAN RAHANG 130/22/03</t>
    </r>
  </si>
  <si>
    <r>
      <rPr>
        <sz val="8"/>
        <rFont val="Arial"/>
        <family val="2"/>
      </rPr>
      <t>BALAI RAYA KG. SEMARAK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</si>
  <si>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11/18</t>
    </r>
  </si>
  <si>
    <r>
      <rPr>
        <sz val="8"/>
        <rFont val="Arial"/>
        <family val="2"/>
      </rPr>
      <t>PEKAN RASAH 130/22/04</t>
    </r>
  </si>
  <si>
    <r>
      <rPr>
        <sz val="8"/>
        <rFont val="Arial"/>
        <family val="2"/>
      </rPr>
      <t>SEKOLAH MENENGAH KEBANGSAAN KING GEORGE V</t>
    </r>
  </si>
  <si>
    <r>
      <rPr>
        <sz val="8"/>
        <rFont val="Arial"/>
        <family val="2"/>
      </rPr>
      <t>KAMPONG BAHRU RASAH 130/22/05</t>
    </r>
  </si>
  <si>
    <r>
      <rPr>
        <sz val="8"/>
        <rFont val="Arial"/>
        <family val="2"/>
      </rPr>
      <t>SEKOLAH JENIS KEBANGSAAN (CINA) MA HWA</t>
    </r>
  </si>
  <si>
    <r>
      <rPr>
        <sz val="8"/>
        <rFont val="Arial"/>
        <family val="2"/>
      </rPr>
      <t>TAMAN BUKIT CHEDANG 130/22/06</t>
    </r>
  </si>
  <si>
    <r>
      <rPr>
        <sz val="8"/>
        <rFont val="Arial"/>
        <family val="2"/>
      </rPr>
      <t>PUSAT KOMUNITI TAMAN BUKIT CHEDANG</t>
    </r>
  </si>
  <si>
    <r>
      <rPr>
        <sz val="8"/>
        <rFont val="Arial"/>
        <family val="2"/>
      </rPr>
      <t>BALAI RAYA TAMAN BUKIT CHEDANG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</si>
  <si>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12/18</t>
    </r>
  </si>
  <si>
    <r>
      <rPr>
        <sz val="8"/>
        <rFont val="Arial"/>
        <family val="2"/>
      </rPr>
      <t>KAMPONG PONDOK 130/22/07</t>
    </r>
  </si>
  <si>
    <r>
      <rPr>
        <sz val="8"/>
        <rFont val="Arial"/>
        <family val="2"/>
      </rPr>
      <t>BALAI RAYA KG. BARU RASAH</t>
    </r>
  </si>
  <si>
    <r>
      <rPr>
        <sz val="8"/>
        <rFont val="Arial"/>
        <family val="2"/>
      </rPr>
      <t>JALAN TOK UNGKU 130/22/08</t>
    </r>
  </si>
  <si>
    <r>
      <rPr>
        <sz val="8"/>
        <rFont val="Arial"/>
        <family val="2"/>
      </rPr>
      <t>SEKOLAH MENENGAH KEBANGSAAN BUKIT MEWAH</t>
    </r>
  </si>
  <si>
    <r>
      <rPr>
        <sz val="8"/>
        <rFont val="Arial"/>
        <family val="2"/>
      </rPr>
      <t>KAMPONG DATOK MANSOR 130/22/09</t>
    </r>
  </si>
  <si>
    <r>
      <rPr>
        <sz val="8"/>
        <rFont val="Arial"/>
        <family val="2"/>
      </rPr>
      <t>SEKOLAH KEBANGSAAN DATO' BANDAR RASAH</t>
    </r>
  </si>
  <si>
    <r>
      <rPr>
        <sz val="8"/>
        <rFont val="Arial"/>
        <family val="2"/>
      </rPr>
      <t>DESA SRI MAMBAU 130/23/01</t>
    </r>
  </si>
  <si>
    <r>
      <rPr>
        <sz val="8"/>
        <rFont val="Arial"/>
        <family val="2"/>
      </rPr>
      <t>SEKOLAH JENIS KEBANGSAAN (CINA) KG. BARU MAMBAU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</si>
  <si>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13/18</t>
    </r>
  </si>
  <si>
    <r>
      <rPr>
        <sz val="8"/>
        <rFont val="Arial"/>
        <family val="2"/>
      </rPr>
      <t>BALAI RAYA KG BATU 3, MAMBAU</t>
    </r>
  </si>
  <si>
    <r>
      <rPr>
        <sz val="8"/>
        <rFont val="Arial"/>
        <family val="2"/>
      </rPr>
      <t>TAMAN SUNGAI UJONG 130/23/02</t>
    </r>
  </si>
  <si>
    <r>
      <rPr>
        <sz val="8"/>
        <rFont val="Arial"/>
        <family val="2"/>
      </rPr>
      <t>SEKOLAH MENENGAH KEBANGSAAN SEREMBAN 3</t>
    </r>
  </si>
  <si>
    <r>
      <rPr>
        <sz val="8"/>
        <rFont val="Arial"/>
        <family val="2"/>
      </rPr>
      <t>PEKAN MAMBAU 130/23/03</t>
    </r>
  </si>
  <si>
    <r>
      <rPr>
        <sz val="8"/>
        <rFont val="Arial"/>
        <family val="2"/>
      </rPr>
      <t>BALAI RAYA KG. SRI MANTAU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</si>
  <si>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14/18</t>
    </r>
  </si>
  <si>
    <r>
      <rPr>
        <sz val="8"/>
        <rFont val="Arial"/>
        <family val="2"/>
      </rPr>
      <t>RASAH JAYA 130/23/04</t>
    </r>
  </si>
  <si>
    <r>
      <rPr>
        <sz val="8"/>
        <rFont val="Arial"/>
        <family val="2"/>
      </rPr>
      <t>SEKOLAH KEBANGSAAN TAMAN RASAH JAYA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</si>
  <si>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15/18</t>
    </r>
  </si>
  <si>
    <r>
      <rPr>
        <sz val="8"/>
        <rFont val="Arial"/>
        <family val="2"/>
      </rPr>
      <t>UITM CAWANGAN NEGERI SEMBILAN, KAMPUS SEREMBAN</t>
    </r>
  </si>
  <si>
    <r>
      <rPr>
        <sz val="8"/>
        <rFont val="Arial"/>
        <family val="2"/>
      </rPr>
      <t>BUKIT BLOSSOM 130/23/05</t>
    </r>
  </si>
  <si>
    <r>
      <rPr>
        <sz val="8"/>
        <rFont val="Arial"/>
        <family val="2"/>
      </rPr>
      <t>SEKOLAH JENIS KEBANGSAAN (CINA) SIN HUA</t>
    </r>
  </si>
  <si>
    <r>
      <rPr>
        <sz val="8"/>
        <rFont val="Arial"/>
        <family val="2"/>
      </rPr>
      <t>SEKOLAH JENIS KEBANGSAAN (CINA) KELPIN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</si>
  <si>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16/18</t>
    </r>
  </si>
  <si>
    <r>
      <rPr>
        <sz val="8"/>
        <rFont val="Arial"/>
        <family val="2"/>
      </rPr>
      <t>TAMAN RAHANG 130/24/01</t>
    </r>
  </si>
  <si>
    <r>
      <rPr>
        <sz val="8"/>
        <rFont val="Arial"/>
        <family val="2"/>
      </rPr>
      <t>SEKOLAH MENENGAH KEBANGSAAN FOREST HEIGHTS</t>
    </r>
  </si>
  <si>
    <r>
      <rPr>
        <sz val="8"/>
        <rFont val="Arial"/>
        <family val="2"/>
      </rPr>
      <t>TAMAN SEREMBAN 130/24/02</t>
    </r>
  </si>
  <si>
    <r>
      <rPr>
        <sz val="8"/>
        <rFont val="Arial"/>
        <family val="2"/>
      </rPr>
      <t>SEKOLAH JENIS KEBANGSAAN (CINA) FOREST HEIGHTS</t>
    </r>
  </si>
  <si>
    <r>
      <rPr>
        <sz val="8"/>
        <rFont val="Arial"/>
        <family val="2"/>
      </rPr>
      <t>KAMPONG BAHRU RAHANG 130/24/03</t>
    </r>
  </si>
  <si>
    <r>
      <rPr>
        <sz val="8"/>
        <rFont val="Arial"/>
        <family val="2"/>
      </rPr>
      <t>SEKOLAH JENIS KEBANGSAAN (CINA) KG BARU RAHANG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</si>
  <si>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17/18</t>
    </r>
  </si>
  <si>
    <r>
      <rPr>
        <sz val="8"/>
        <rFont val="Arial"/>
        <family val="2"/>
      </rPr>
      <t>SENAWANG 130/24/04</t>
    </r>
  </si>
  <si>
    <r>
      <rPr>
        <sz val="8"/>
        <rFont val="Arial"/>
        <family val="2"/>
      </rPr>
      <t>SEKOLAH KEBANGSAAN TAMAN SRI MAWAR</t>
    </r>
  </si>
  <si>
    <r>
      <rPr>
        <sz val="8"/>
        <rFont val="Arial"/>
        <family val="2"/>
      </rPr>
      <t xml:space="preserve">TAMAN SEREMBAN JAYA
</t>
    </r>
    <r>
      <rPr>
        <sz val="8"/>
        <rFont val="Arial"/>
        <family val="2"/>
      </rPr>
      <t>130/24/05</t>
    </r>
  </si>
  <si>
    <r>
      <rPr>
        <sz val="8"/>
        <rFont val="Arial"/>
        <family val="2"/>
      </rPr>
      <t>SEKOLAH KEBANGSAAN SEREMBAN JAYA &amp; SEKOLAH MENENGAH KEBANGSAAN SEREMBAN JAYA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</si>
  <si>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P.130 RASAH
</t>
    </r>
    <r>
      <rPr>
        <b/>
        <sz val="10"/>
        <rFont val="Arial"/>
        <family val="2"/>
      </rPr>
      <t>JUMLAH PEMILIH: 155,896                                                                                                                                                                                           MUKASURAT: 18/18</t>
    </r>
  </si>
  <si>
    <r>
      <rPr>
        <sz val="8"/>
        <rFont val="Arial"/>
        <family val="2"/>
      </rPr>
      <t>SEKOLAH JENIS KEBANGSAAN (CINA) SUNGAI SALAK</t>
    </r>
  </si>
  <si>
    <r>
      <rPr>
        <sz val="8"/>
        <rFont val="Arial"/>
        <family val="2"/>
      </rPr>
      <t>SEKOLAH KEBANGSAAN SEREMBAN JAYA 2</t>
    </r>
  </si>
  <si>
    <r>
      <rPr>
        <b/>
        <sz val="12"/>
        <rFont val="Arial"/>
        <family val="2"/>
      </rPr>
      <t>JUMLAH</t>
    </r>
  </si>
  <si>
    <t>BN</t>
  </si>
  <si>
    <t>PN</t>
  </si>
  <si>
    <t>PH</t>
  </si>
  <si>
    <t>Bil</t>
  </si>
  <si>
    <t>Nama Pusat Mengundi</t>
  </si>
  <si>
    <t>Jumlah undian oleh pemilih</t>
  </si>
  <si>
    <t>UNDI POS</t>
  </si>
  <si>
    <t>UNDI AWAL 130/20/00</t>
  </si>
  <si>
    <t>RUANG A, DEWAN ACACIA IPD SEREMBAN (DUN LABU)</t>
  </si>
  <si>
    <t>UNDI AWAL 130/21/00</t>
  </si>
  <si>
    <t>RUANG B, DEWAN ACACIA IPD SEREMBAN (DUN BUKIT KEPAYANG)</t>
  </si>
  <si>
    <t>UNDI AWAL 130/22/00</t>
  </si>
  <si>
    <t>RUANG C, DEWAN ACACIA IPD SEREMBAN (DUN RAHANG)</t>
  </si>
  <si>
    <t>GARAJ MT KEM 1 BRIGED RASAH (DUN RAHANG)</t>
  </si>
  <si>
    <t>UNDI AWAL 130/23/00</t>
  </si>
  <si>
    <t>RUANG D, DEWAN ACACIA IPD SEREMBAN (DUN MAMBAU)</t>
  </si>
  <si>
    <t>JIJAN 130/20/01</t>
  </si>
  <si>
    <t>SEKOLAH JENIS KEBANGSAAN (TAMIL) LADANG KUBANG</t>
  </si>
  <si>
    <t>Bilangan kertas undi yang ditolak (C)</t>
  </si>
  <si>
    <t>Undi Tidak Dimasukkan</t>
  </si>
  <si>
    <t>Nama &amp; Kod DM</t>
  </si>
  <si>
    <t>Saluran</t>
  </si>
  <si>
    <t>Jumlah kertas undi dikeluarkan</t>
  </si>
  <si>
    <t>SEKOLAH KEBANGSAAN DESA CEMPAKA</t>
  </si>
  <si>
    <t>SEKOLAH JENIS KEBANGSAAN (TAMIL) DESA CEMPAKA</t>
  </si>
  <si>
    <t>SEKOLAH KEBANGSAAN KOMPLEKS KLIA</t>
  </si>
  <si>
    <t>SEKOLAH MENENGAH KEBANGSAAN BANDAR ENSTEK</t>
  </si>
  <si>
    <t>KAMPONG KONDOK 130/20/02</t>
  </si>
  <si>
    <t>SEKOLAH KEBANGSAAN DATO' SHAH BANDAR ABU BAKAR LABU HILIR</t>
  </si>
  <si>
    <t>TIROI 130/20/03</t>
  </si>
  <si>
    <t>SEKOLAH KEBANGSAAN LABU ULU</t>
  </si>
  <si>
    <t>SEKOLAH JENIS KEBANGSAAN (CINA) KG. BARU BATU 8</t>
  </si>
  <si>
    <t>LABU 130/20/04</t>
  </si>
  <si>
    <t>SEKOLAH KEBANGSAAN LABU</t>
  </si>
  <si>
    <t>SEKOLAH JENIS KEBANGSAAN (CINA) MIN SHING</t>
  </si>
  <si>
    <t>LABU JAYA 130/20/05</t>
  </si>
  <si>
    <t>SEKOLAH KEBANGSAAN L B JOHNSON</t>
  </si>
  <si>
    <t>KAMPUNG GADONG JAYA
130/20/06</t>
  </si>
  <si>
    <t>SEKOLAH KEBANGSAAN GADONG JAYA</t>
  </si>
  <si>
    <t>BUKIT KEPAYANG 130/21/01</t>
  </si>
  <si>
    <t>SEKOLAH MENENGAH KEBANGSAAN CHAN WA II</t>
  </si>
  <si>
    <t>SEKOLAH JENIS KEBANGSAAN (CINA) HILLSIDE</t>
  </si>
  <si>
    <t>TAMAN PERMAI 130/21/02</t>
  </si>
  <si>
    <t>SEKOLAH KEBANGSAAN PUTERI</t>
  </si>
  <si>
    <t>KOMPLEKS JABATAN KEBUDAYAAN DAN KESENIAN NEGARA, NEGERI SEMBILAN</t>
  </si>
  <si>
    <t>SEKOLAH MENENGAH KEBANGSAAN PUTERI</t>
  </si>
  <si>
    <t>JALAN KONG SANG 130/21/03</t>
  </si>
  <si>
    <t>SEKOLAH JENIS KEBANGSAAN (CINA) SAN MIN</t>
  </si>
  <si>
    <t>JALAN DATO BANDAR TUNGGAL 130/21/04</t>
  </si>
  <si>
    <t>SEKOLAH MENENGAH KEBANGSAAN METHODIST ACS</t>
  </si>
  <si>
    <t>JALAN YAM TUAN 130/21/05</t>
  </si>
  <si>
    <t>SEKOLAH JENIS KEBANGSAAN (TAMIL) LORONG JAVA</t>
  </si>
  <si>
    <t>JALAN LEE SAM 130/21/06</t>
  </si>
  <si>
    <t>WISMA CELOYNESE NEGERI SEMBILAN</t>
  </si>
  <si>
    <t>JALAN TUANKU MUNAWIR 130/21/07</t>
  </si>
  <si>
    <t>SEKOLAH JENIS KEBANGSAAN (CINA) SINO ENGLISH</t>
  </si>
  <si>
    <t>BUKIT TEMBOK 130/21/08</t>
  </si>
  <si>
    <t>SEKOLAH METHODIST WESLEY SEREMBAN</t>
  </si>
  <si>
    <t>TAMAN BUKIT KAYA 130/21/09</t>
  </si>
  <si>
    <t>SEKOLAH KEBANGSAAN ST. PAUL</t>
  </si>
  <si>
    <t>SEREMBAN 2 130/21/10</t>
  </si>
  <si>
    <t>SEKOLAH KEBANGSAAN WAWASAN</t>
  </si>
  <si>
    <t>SEKOLAH KEBANGSAAN SEREMBAN 2A</t>
  </si>
  <si>
    <t>SEKOLAH KEBANGSAAN SEREMBAN 2B</t>
  </si>
  <si>
    <t>SEKOLAH JENIS KEBANGSAAN (CINA) TUNG HUA</t>
  </si>
  <si>
    <t>SEKOLAH MENENGAH KEBANGSAAN BUKIT KEPAYANG</t>
  </si>
  <si>
    <t>DEWAN KOMUNITI MANTAU</t>
  </si>
  <si>
    <t>RAHANG 130/22/01</t>
  </si>
  <si>
    <t>PEJABAT RISDA DAERAH ( RAHANG )</t>
  </si>
  <si>
    <t>RAHANG TIMOR 130/22/02</t>
  </si>
  <si>
    <t>SEKOLAH KEBANGSAAN RAHANG</t>
  </si>
  <si>
    <t>PEKAN RAHANG 130/22/03</t>
  </si>
  <si>
    <t>BALAI RAYA KG. SEMARAK</t>
  </si>
  <si>
    <t>PEKAN RASAH 130/22/04</t>
  </si>
  <si>
    <t>SEKOLAH MENENGAH KEBANGSAAN KING GEORGE V</t>
  </si>
  <si>
    <t>KAMPONG BAHRU RASAH 130/22/05</t>
  </si>
  <si>
    <t>SEKOLAH JENIS KEBANGSAAN (CINA) MA HWA</t>
  </si>
  <si>
    <t>TAMAN BUKIT CHEDANG 130/22/06</t>
  </si>
  <si>
    <t>PUSAT KOMUNITI TAMAN BUKIT CHEDANG</t>
  </si>
  <si>
    <t>BALAI RAYA TAMAN BUKIT CHEDANG</t>
  </si>
  <si>
    <t>KAMPONG PONDOK 130/22/07</t>
  </si>
  <si>
    <t>BALAI RAYA KG. BARU RASAH</t>
  </si>
  <si>
    <t>JALAN TOK UNGKU 130/22/08</t>
  </si>
  <si>
    <t>SEKOLAH MENENGAH KEBANGSAAN BUKIT MEWAH</t>
  </si>
  <si>
    <t>KAMPONG DATOK MANSOR 130/22/09</t>
  </si>
  <si>
    <t>SEKOLAH KEBANGSAAN DATO' BANDAR RASAH</t>
  </si>
  <si>
    <t>DESA SRI MAMBAU 130/23/01</t>
  </si>
  <si>
    <t>SEKOLAH JENIS KEBANGSAAN (CINA) KG. BARU MAMBAU</t>
  </si>
  <si>
    <t>BALAI RAYA KG BATU 3, MAMBAU</t>
  </si>
  <si>
    <t>TAMAN SUNGAI UJONG 130/23/02</t>
  </si>
  <si>
    <t>SEKOLAH MENENGAH KEBANGSAAN SEREMBAN 3</t>
  </si>
  <si>
    <t>PEKAN MAMBAU 130/23/03</t>
  </si>
  <si>
    <t>BALAI RAYA KG. SRI MANTAU</t>
  </si>
  <si>
    <t>RASAH JAYA 130/23/04</t>
  </si>
  <si>
    <t>SEKOLAH KEBANGSAAN TAMAN RASAH JAYA</t>
  </si>
  <si>
    <t>UITM CAWANGAN NEGERI SEMBILAN, KAMPUS SEREMBAN</t>
  </si>
  <si>
    <t>BUKIT BLOSSOM 130/23/05</t>
  </si>
  <si>
    <t>SEKOLAH JENIS KEBANGSAAN (CINA) SIN HUA</t>
  </si>
  <si>
    <t>SEKOLAH JENIS KEBANGSAAN (CINA) KELPIN</t>
  </si>
  <si>
    <t>TAMAN RAHANG 130/24/01</t>
  </si>
  <si>
    <t>SEKOLAH MENENGAH KEBANGSAAN FOREST HEIGHTS</t>
  </si>
  <si>
    <t>TAMAN SEREMBAN 130/24/02</t>
  </si>
  <si>
    <t>SEKOLAH JENIS KEBANGSAAN (CINA) FOREST HEIGHTS</t>
  </si>
  <si>
    <t>KAMPONG BAHRU RAHANG 130/24/03</t>
  </si>
  <si>
    <t>SEKOLAH JENIS KEBANGSAAN (CINA) KG BARU RAHANG</t>
  </si>
  <si>
    <t>SENAWANG 130/24/04</t>
  </si>
  <si>
    <t>SEKOLAH KEBANGSAAN TAMAN SRI MAWAR</t>
  </si>
  <si>
    <t>TAMAN SEREMBAN JAYA
130/24/05</t>
  </si>
  <si>
    <t>SEKOLAH KEBANGSAAN SEREMBAN JAYA &amp; SEKOLAH MENENGAH KEBANGSAAN SEREMBAN JAYA</t>
  </si>
  <si>
    <t>SEKOLAH JENIS KEBANGSAAN (CINA) SUNGAI SALAK</t>
  </si>
  <si>
    <t>SEKOLAH KEBANGSAAN SEREMBAN JAYA 2</t>
  </si>
  <si>
    <t>JUMLAH</t>
  </si>
  <si>
    <t>Jumlah Undi</t>
  </si>
  <si>
    <t>PH%</t>
  </si>
  <si>
    <t>PN%</t>
  </si>
  <si>
    <t>BN%</t>
  </si>
  <si>
    <t>koddm</t>
  </si>
  <si>
    <t>namadm</t>
  </si>
  <si>
    <t>namapusatmengundi</t>
  </si>
  <si>
    <t>nosaluran</t>
  </si>
  <si>
    <t>bumiputra</t>
  </si>
  <si>
    <t>bumiputra_sabah</t>
  </si>
  <si>
    <t>bumiputra_sarawak</t>
  </si>
  <si>
    <t>cina</t>
  </si>
  <si>
    <t>india</t>
  </si>
  <si>
    <t>lain_lain</t>
  </si>
  <si>
    <t>melayu</t>
  </si>
  <si>
    <t>orang_asli</t>
  </si>
  <si>
    <t>filename</t>
  </si>
  <si>
    <t>avg_age</t>
  </si>
  <si>
    <t>parliament_name</t>
  </si>
  <si>
    <t>1302001</t>
  </si>
  <si>
    <t>JIJAN</t>
  </si>
  <si>
    <t>POS</t>
  </si>
  <si>
    <t>130_RASAH</t>
  </si>
  <si>
    <t>1302002</t>
  </si>
  <si>
    <t>KAMPONG KONDOK</t>
  </si>
  <si>
    <t>SEKOLAH KEBANGSAAN  DATO' SHAH BANDAR ABU BAKAR LABU HILIR</t>
  </si>
  <si>
    <t>1302003</t>
  </si>
  <si>
    <t>TIROI</t>
  </si>
  <si>
    <t>1302004</t>
  </si>
  <si>
    <t>LABU</t>
  </si>
  <si>
    <t>1302005</t>
  </si>
  <si>
    <t>LABU JAYA</t>
  </si>
  <si>
    <t>1302006</t>
  </si>
  <si>
    <t>KAMPUNG GADONG JAYA</t>
  </si>
  <si>
    <t>1302101</t>
  </si>
  <si>
    <t>BUKIT KEPAYANG</t>
  </si>
  <si>
    <t>1302102</t>
  </si>
  <si>
    <t>TAMAN PERMAI</t>
  </si>
  <si>
    <t>1302103</t>
  </si>
  <si>
    <t>JALAN KONG SANG</t>
  </si>
  <si>
    <t>1302104</t>
  </si>
  <si>
    <t>JALAN DATO BANDAR TUNGGAL</t>
  </si>
  <si>
    <t>1302105</t>
  </si>
  <si>
    <t>JALAN YAM TUAN</t>
  </si>
  <si>
    <t>1302106</t>
  </si>
  <si>
    <t>JALAN LEE SAM</t>
  </si>
  <si>
    <t>1302107</t>
  </si>
  <si>
    <t>JALAN TUANKU MUNAWIR</t>
  </si>
  <si>
    <t>1302108</t>
  </si>
  <si>
    <t>BUKIT TEMBOK</t>
  </si>
  <si>
    <t>1302109</t>
  </si>
  <si>
    <t>TAMAN BUKIT KAYA</t>
  </si>
  <si>
    <t>1302110</t>
  </si>
  <si>
    <t>SEREMBAN 2</t>
  </si>
  <si>
    <t>1302201</t>
  </si>
  <si>
    <t>RAHANG</t>
  </si>
  <si>
    <t>1302202</t>
  </si>
  <si>
    <t>RAHANG TIMOR</t>
  </si>
  <si>
    <t>1302203</t>
  </si>
  <si>
    <t>PEKAN RAHANG</t>
  </si>
  <si>
    <t>1302204</t>
  </si>
  <si>
    <t>PEKAN RASAH</t>
  </si>
  <si>
    <t>1302205</t>
  </si>
  <si>
    <t>KAMPONG BAHRU RASAH</t>
  </si>
  <si>
    <t>1302206</t>
  </si>
  <si>
    <t>TAMAN BUKIT CHEDANG</t>
  </si>
  <si>
    <t>1302207</t>
  </si>
  <si>
    <t>KAMPONG PONDOK</t>
  </si>
  <si>
    <t>1302208</t>
  </si>
  <si>
    <t>JALAN TOK UNGKU</t>
  </si>
  <si>
    <t>1302209</t>
  </si>
  <si>
    <t>KAMPONG DATOK MANSOR</t>
  </si>
  <si>
    <t>1302301</t>
  </si>
  <si>
    <t>DESA SRI MAMBAU</t>
  </si>
  <si>
    <t>1302302</t>
  </si>
  <si>
    <t>TAMAN SUNGAI UJONG</t>
  </si>
  <si>
    <t>1302303</t>
  </si>
  <si>
    <t>PEKAN MAMBAU</t>
  </si>
  <si>
    <t>1302304</t>
  </si>
  <si>
    <t>RASAH JAYA</t>
  </si>
  <si>
    <t>1302305</t>
  </si>
  <si>
    <t>BUKIT BLOSSOM</t>
  </si>
  <si>
    <t>1302401</t>
  </si>
  <si>
    <t>TAMAN RAHANG</t>
  </si>
  <si>
    <t>1302402</t>
  </si>
  <si>
    <t>TAMAN SEREMBAN</t>
  </si>
  <si>
    <t>1302403</t>
  </si>
  <si>
    <t>KAMPONG BAHRU RAHANG</t>
  </si>
  <si>
    <t>1302404</t>
  </si>
  <si>
    <t>SENAWANG</t>
  </si>
  <si>
    <t>1302405</t>
  </si>
  <si>
    <t>TAMAN SEREMBAN JAYA</t>
  </si>
  <si>
    <t>M</t>
  </si>
  <si>
    <t>C</t>
  </si>
  <si>
    <t>I</t>
  </si>
  <si>
    <t>O</t>
  </si>
  <si>
    <t>#</t>
  </si>
  <si>
    <t>M%</t>
  </si>
  <si>
    <t>C%</t>
  </si>
  <si>
    <t>I%</t>
  </si>
  <si>
    <t>O%</t>
  </si>
  <si>
    <t>Avg Age</t>
  </si>
  <si>
    <t>JUMLAH POS</t>
  </si>
  <si>
    <t>PH Malay</t>
  </si>
  <si>
    <t>PN Malay</t>
  </si>
  <si>
    <t>BN Malay</t>
  </si>
  <si>
    <t>PH Chinese</t>
  </si>
  <si>
    <t>PH Indian</t>
  </si>
  <si>
    <t>Turnout%</t>
  </si>
  <si>
    <t>UNDI AWAL</t>
  </si>
  <si>
    <t>N20</t>
  </si>
  <si>
    <t>Labu</t>
  </si>
  <si>
    <t>N21</t>
  </si>
  <si>
    <t>Bukit Kepayang</t>
  </si>
  <si>
    <t>N22</t>
  </si>
  <si>
    <t>Rahang</t>
  </si>
  <si>
    <t>N23</t>
  </si>
  <si>
    <t>Mambau</t>
  </si>
  <si>
    <t>N24</t>
  </si>
  <si>
    <t>Seremban Jaya</t>
  </si>
  <si>
    <t>Turnout Malay%</t>
  </si>
  <si>
    <t>Turnout Chinese%</t>
  </si>
  <si>
    <t>Turnout Indian%</t>
  </si>
  <si>
    <t>PH Malay%</t>
  </si>
  <si>
    <t>PH Chinese%</t>
  </si>
  <si>
    <t>PH Indian%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</si>
</sst>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1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center" vertical="center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lef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left" vertical="top" indent="2" shrinkToFit="1"/>
    </xf>
    <xf numFmtId="0" fontId="0" fillId="0" borderId="8" xfId="0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0" fillId="0" borderId="8" xfId="0" applyBorder="1"/>
    <xf numFmtId="165" fontId="0" fillId="0" borderId="8" xfId="0" applyNumberFormat="1" applyBorder="1"/>
    <xf numFmtId="165" fontId="0" fillId="0" borderId="0" xfId="0" applyNumberFormat="1" applyAlignment="1">
      <alignment horizontal="left" vertical="top"/>
    </xf>
    <xf numFmtId="164" fontId="0" fillId="0" borderId="8" xfId="1" applyNumberFormat="1" applyFont="1" applyBorder="1"/>
    <xf numFmtId="165" fontId="0" fillId="0" borderId="8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164" fontId="0" fillId="4" borderId="8" xfId="1" applyNumberFormat="1" applyFont="1" applyFill="1" applyBorder="1" applyAlignment="1">
      <alignment horizontal="left" vertical="top"/>
    </xf>
    <xf numFmtId="0" fontId="0" fillId="4" borderId="8" xfId="0" applyFill="1" applyBorder="1"/>
    <xf numFmtId="164" fontId="0" fillId="4" borderId="8" xfId="1" applyNumberFormat="1" applyFont="1" applyFill="1" applyBorder="1"/>
    <xf numFmtId="0" fontId="0" fillId="4" borderId="0" xfId="0" applyFill="1" applyAlignment="1">
      <alignment horizontal="left" vertical="top"/>
    </xf>
    <xf numFmtId="165" fontId="0" fillId="4" borderId="9" xfId="0" applyNumberFormat="1" applyFill="1" applyBorder="1"/>
    <xf numFmtId="165" fontId="0" fillId="0" borderId="9" xfId="0" applyNumberFormat="1" applyBorder="1"/>
    <xf numFmtId="0" fontId="11" fillId="0" borderId="8" xfId="0" applyFont="1" applyBorder="1"/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 indent="12"/>
    </xf>
    <xf numFmtId="0" fontId="6" fillId="2" borderId="3" xfId="0" applyFont="1" applyFill="1" applyBorder="1" applyAlignment="1">
      <alignment horizontal="left" vertical="top" wrapText="1" indent="12"/>
    </xf>
    <xf numFmtId="0" fontId="6" fillId="2" borderId="4" xfId="0" applyFont="1" applyFill="1" applyBorder="1" applyAlignment="1">
      <alignment horizontal="left" vertical="top" wrapText="1" indent="12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3"/>
    </xf>
    <xf numFmtId="0" fontId="4" fillId="0" borderId="6" xfId="0" applyFont="1" applyBorder="1" applyAlignment="1">
      <alignment horizontal="left" vertical="center" wrapText="1" indent="3"/>
    </xf>
    <xf numFmtId="0" fontId="4" fillId="0" borderId="7" xfId="0" applyFont="1" applyBorder="1" applyAlignment="1">
      <alignment horizontal="left" vertical="center" wrapText="1" indent="3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3"/>
    </xf>
    <xf numFmtId="0" fontId="4" fillId="0" borderId="7" xfId="0" applyFont="1" applyBorder="1" applyAlignment="1">
      <alignment horizontal="left" vertical="top" wrapText="1" indent="3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3" borderId="8" xfId="0" applyFill="1" applyBorder="1" applyAlignment="1">
      <alignment horizontal="left" vertical="top"/>
    </xf>
    <xf numFmtId="164" fontId="0" fillId="3" borderId="8" xfId="1" applyNumberFormat="1" applyFont="1" applyFill="1" applyBorder="1" applyAlignment="1">
      <alignment horizontal="left" vertical="top"/>
    </xf>
    <xf numFmtId="0" fontId="0" fillId="3" borderId="8" xfId="0" applyFill="1" applyBorder="1"/>
    <xf numFmtId="164" fontId="0" fillId="3" borderId="8" xfId="1" applyNumberFormat="1" applyFont="1" applyFill="1" applyBorder="1"/>
    <xf numFmtId="165" fontId="0" fillId="3" borderId="9" xfId="0" applyNumberFormat="1" applyFill="1" applyBorder="1"/>
    <xf numFmtId="0" fontId="0" fillId="5" borderId="8" xfId="0" applyFill="1" applyBorder="1" applyAlignment="1">
      <alignment horizontal="left" vertical="top"/>
    </xf>
    <xf numFmtId="164" fontId="0" fillId="5" borderId="8" xfId="1" applyNumberFormat="1" applyFont="1" applyFill="1" applyBorder="1" applyAlignment="1">
      <alignment horizontal="left" vertical="top"/>
    </xf>
    <xf numFmtId="0" fontId="0" fillId="5" borderId="8" xfId="0" applyFill="1" applyBorder="1"/>
    <xf numFmtId="164" fontId="0" fillId="5" borderId="8" xfId="1" applyNumberFormat="1" applyFont="1" applyFill="1" applyBorder="1"/>
    <xf numFmtId="165" fontId="0" fillId="5" borderId="9" xfId="0" applyNumberFormat="1" applyFill="1" applyBorder="1"/>
    <xf numFmtId="0" fontId="0" fillId="6" borderId="8" xfId="0" applyFill="1" applyBorder="1" applyAlignment="1">
      <alignment horizontal="left" vertical="top"/>
    </xf>
    <xf numFmtId="164" fontId="0" fillId="6" borderId="8" xfId="1" applyNumberFormat="1" applyFont="1" applyFill="1" applyBorder="1" applyAlignment="1">
      <alignment horizontal="left" vertical="top"/>
    </xf>
    <xf numFmtId="0" fontId="0" fillId="6" borderId="8" xfId="0" applyFill="1" applyBorder="1"/>
    <xf numFmtId="164" fontId="0" fillId="6" borderId="8" xfId="1" applyNumberFormat="1" applyFont="1" applyFill="1" applyBorder="1"/>
    <xf numFmtId="165" fontId="0" fillId="6" borderId="9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P130 Rasah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751202974628172"/>
                  <c:y val="-0.45746609798775151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RaceWorksheet!$I$2:$I$308</c:f>
              <c:numCache>
                <c:formatCode>0.0%</c:formatCode>
                <c:ptCount val="307"/>
                <c:pt idx="0">
                  <c:v>0.96</c:v>
                </c:pt>
                <c:pt idx="1">
                  <c:v>0.91460055096418735</c:v>
                </c:pt>
                <c:pt idx="2">
                  <c:v>0.97796143250688705</c:v>
                </c:pt>
                <c:pt idx="3">
                  <c:v>0.98</c:v>
                </c:pt>
                <c:pt idx="4">
                  <c:v>0.98353909465020573</c:v>
                </c:pt>
                <c:pt idx="5">
                  <c:v>0.99382716049382713</c:v>
                </c:pt>
                <c:pt idx="6">
                  <c:v>0.38378378378378381</c:v>
                </c:pt>
                <c:pt idx="7">
                  <c:v>0.57027027027027022</c:v>
                </c:pt>
                <c:pt idx="8">
                  <c:v>0.56216216216216219</c:v>
                </c:pt>
                <c:pt idx="9">
                  <c:v>0.45479452054794522</c:v>
                </c:pt>
                <c:pt idx="10">
                  <c:v>0.55813953488372092</c:v>
                </c:pt>
                <c:pt idx="11">
                  <c:v>0.67305061559507529</c:v>
                </c:pt>
                <c:pt idx="12">
                  <c:v>0.69220246238030092</c:v>
                </c:pt>
                <c:pt idx="13">
                  <c:v>0.8</c:v>
                </c:pt>
                <c:pt idx="14">
                  <c:v>0.8405405405405405</c:v>
                </c:pt>
                <c:pt idx="15">
                  <c:v>0.92992700729927003</c:v>
                </c:pt>
                <c:pt idx="16">
                  <c:v>0.93731778425655976</c:v>
                </c:pt>
                <c:pt idx="17">
                  <c:v>0.9708454810495627</c:v>
                </c:pt>
                <c:pt idx="18">
                  <c:v>0.98542274052478129</c:v>
                </c:pt>
                <c:pt idx="19">
                  <c:v>0.9513513513513514</c:v>
                </c:pt>
                <c:pt idx="20">
                  <c:v>0.9513513513513514</c:v>
                </c:pt>
                <c:pt idx="21">
                  <c:v>0.956661316211878</c:v>
                </c:pt>
                <c:pt idx="22">
                  <c:v>0.9839486356340289</c:v>
                </c:pt>
                <c:pt idx="23">
                  <c:v>0.9791332263242376</c:v>
                </c:pt>
                <c:pt idx="24">
                  <c:v>0.7944444444444444</c:v>
                </c:pt>
                <c:pt idx="25">
                  <c:v>0.82222222222222219</c:v>
                </c:pt>
                <c:pt idx="26">
                  <c:v>0.88423153692614775</c:v>
                </c:pt>
                <c:pt idx="27">
                  <c:v>0.9021956087824351</c:v>
                </c:pt>
                <c:pt idx="28">
                  <c:v>0.95209580838323349</c:v>
                </c:pt>
                <c:pt idx="29">
                  <c:v>0.68571428571428572</c:v>
                </c:pt>
                <c:pt idx="30">
                  <c:v>0.86445012787723785</c:v>
                </c:pt>
                <c:pt idx="31">
                  <c:v>0.45833333333333331</c:v>
                </c:pt>
                <c:pt idx="32">
                  <c:v>0.53333333333333333</c:v>
                </c:pt>
                <c:pt idx="33">
                  <c:v>0.51666666666666672</c:v>
                </c:pt>
                <c:pt idx="34">
                  <c:v>0.50927487352445189</c:v>
                </c:pt>
                <c:pt idx="35">
                  <c:v>0.55817875210792578</c:v>
                </c:pt>
                <c:pt idx="36">
                  <c:v>0.55649241146711637</c:v>
                </c:pt>
                <c:pt idx="37">
                  <c:v>0.58178752107925802</c:v>
                </c:pt>
                <c:pt idx="38">
                  <c:v>0.82162162162162167</c:v>
                </c:pt>
                <c:pt idx="39">
                  <c:v>0.76216216216216215</c:v>
                </c:pt>
                <c:pt idx="40">
                  <c:v>0.69787234042553192</c:v>
                </c:pt>
                <c:pt idx="41">
                  <c:v>0.84042553191489366</c:v>
                </c:pt>
                <c:pt idx="42">
                  <c:v>0.28055555555555556</c:v>
                </c:pt>
                <c:pt idx="43">
                  <c:v>0.40555555555555556</c:v>
                </c:pt>
                <c:pt idx="44">
                  <c:v>0.44819277108433736</c:v>
                </c:pt>
                <c:pt idx="45">
                  <c:v>0.49038461538461536</c:v>
                </c:pt>
                <c:pt idx="46">
                  <c:v>0.66346153846153844</c:v>
                </c:pt>
                <c:pt idx="47">
                  <c:v>0.74722222222222223</c:v>
                </c:pt>
                <c:pt idx="48">
                  <c:v>0.71111111111111114</c:v>
                </c:pt>
                <c:pt idx="49">
                  <c:v>0.82948490230905858</c:v>
                </c:pt>
                <c:pt idx="50">
                  <c:v>0.81349911190053281</c:v>
                </c:pt>
                <c:pt idx="51">
                  <c:v>0.77442273534635875</c:v>
                </c:pt>
                <c:pt idx="52">
                  <c:v>0.8579040852575488</c:v>
                </c:pt>
                <c:pt idx="53">
                  <c:v>0.91843971631205679</c:v>
                </c:pt>
                <c:pt idx="54">
                  <c:v>0.63055555555555554</c:v>
                </c:pt>
                <c:pt idx="55">
                  <c:v>0.8</c:v>
                </c:pt>
                <c:pt idx="56">
                  <c:v>0.83500717360114773</c:v>
                </c:pt>
                <c:pt idx="57">
                  <c:v>0.71162123385939746</c:v>
                </c:pt>
                <c:pt idx="58">
                  <c:v>0.86389684813753587</c:v>
                </c:pt>
                <c:pt idx="59">
                  <c:v>0.89828080229226359</c:v>
                </c:pt>
                <c:pt idx="60">
                  <c:v>0.14054054054054055</c:v>
                </c:pt>
                <c:pt idx="61">
                  <c:v>0.22972972972972974</c:v>
                </c:pt>
                <c:pt idx="62">
                  <c:v>0.16756756756756758</c:v>
                </c:pt>
                <c:pt idx="63">
                  <c:v>0.16248153618906944</c:v>
                </c:pt>
                <c:pt idx="64">
                  <c:v>0.22895125553914328</c:v>
                </c:pt>
                <c:pt idx="65">
                  <c:v>0.30576070901033975</c:v>
                </c:pt>
                <c:pt idx="66">
                  <c:v>0.30280649926144754</c:v>
                </c:pt>
                <c:pt idx="67">
                  <c:v>0.3087149187592319</c:v>
                </c:pt>
                <c:pt idx="68">
                  <c:v>0.32791728212703103</c:v>
                </c:pt>
                <c:pt idx="69">
                  <c:v>0.14736842105263157</c:v>
                </c:pt>
                <c:pt idx="70">
                  <c:v>0.21203438395415472</c:v>
                </c:pt>
                <c:pt idx="71">
                  <c:v>0.23065902578796563</c:v>
                </c:pt>
                <c:pt idx="72">
                  <c:v>0.20630372492836677</c:v>
                </c:pt>
                <c:pt idx="73">
                  <c:v>0.27650429799426934</c:v>
                </c:pt>
                <c:pt idx="74">
                  <c:v>0.24210526315789474</c:v>
                </c:pt>
                <c:pt idx="75">
                  <c:v>0.34111310592459604</c:v>
                </c:pt>
                <c:pt idx="76">
                  <c:v>0.28494623655913981</c:v>
                </c:pt>
                <c:pt idx="77">
                  <c:v>8.6842105263157901E-2</c:v>
                </c:pt>
                <c:pt idx="78">
                  <c:v>0.19473684210526315</c:v>
                </c:pt>
                <c:pt idx="79">
                  <c:v>9.2105263157894732E-2</c:v>
                </c:pt>
                <c:pt idx="80">
                  <c:v>8.1277213352685049E-2</c:v>
                </c:pt>
                <c:pt idx="81">
                  <c:v>0.13062409288824384</c:v>
                </c:pt>
                <c:pt idx="82">
                  <c:v>0.17826086956521739</c:v>
                </c:pt>
                <c:pt idx="83">
                  <c:v>0.19565217391304349</c:v>
                </c:pt>
                <c:pt idx="84">
                  <c:v>0.18840579710144928</c:v>
                </c:pt>
                <c:pt idx="85">
                  <c:v>1.6216216216216217E-2</c:v>
                </c:pt>
                <c:pt idx="86">
                  <c:v>2.1621621621621623E-2</c:v>
                </c:pt>
                <c:pt idx="87">
                  <c:v>3.6585365853658534E-2</c:v>
                </c:pt>
                <c:pt idx="88">
                  <c:v>5.4794520547945202E-2</c:v>
                </c:pt>
                <c:pt idx="89">
                  <c:v>5.3231939163498096E-2</c:v>
                </c:pt>
                <c:pt idx="90">
                  <c:v>3.3333333333333335E-3</c:v>
                </c:pt>
                <c:pt idx="91">
                  <c:v>1.5625E-2</c:v>
                </c:pt>
                <c:pt idx="92">
                  <c:v>1.1594202898550725E-2</c:v>
                </c:pt>
                <c:pt idx="93">
                  <c:v>1.3333333333333334E-2</c:v>
                </c:pt>
                <c:pt idx="94">
                  <c:v>2.8169014084507044E-3</c:v>
                </c:pt>
                <c:pt idx="95">
                  <c:v>2.5352112676056339E-2</c:v>
                </c:pt>
                <c:pt idx="96">
                  <c:v>0.04</c:v>
                </c:pt>
                <c:pt idx="97">
                  <c:v>2.3809523809523808E-2</c:v>
                </c:pt>
                <c:pt idx="98">
                  <c:v>3.0456852791878174E-2</c:v>
                </c:pt>
                <c:pt idx="99">
                  <c:v>0.10152284263959391</c:v>
                </c:pt>
                <c:pt idx="100">
                  <c:v>4.6875E-2</c:v>
                </c:pt>
                <c:pt idx="101">
                  <c:v>6.5625000000000003E-2</c:v>
                </c:pt>
                <c:pt idx="102">
                  <c:v>0.21377672209026127</c:v>
                </c:pt>
                <c:pt idx="103">
                  <c:v>1.3888888888888888E-2</c:v>
                </c:pt>
                <c:pt idx="104">
                  <c:v>4.7222222222222221E-2</c:v>
                </c:pt>
                <c:pt idx="105">
                  <c:v>3.888888888888889E-2</c:v>
                </c:pt>
                <c:pt idx="106">
                  <c:v>2.9310344827586206E-2</c:v>
                </c:pt>
                <c:pt idx="107">
                  <c:v>4.4750430292598967E-2</c:v>
                </c:pt>
                <c:pt idx="108">
                  <c:v>6.1962134251290879E-2</c:v>
                </c:pt>
                <c:pt idx="109">
                  <c:v>0.153184165232358</c:v>
                </c:pt>
                <c:pt idx="110">
                  <c:v>0.87142857142857144</c:v>
                </c:pt>
                <c:pt idx="111">
                  <c:v>0.9434389140271493</c:v>
                </c:pt>
                <c:pt idx="112">
                  <c:v>0.3</c:v>
                </c:pt>
                <c:pt idx="113">
                  <c:v>0.25526315789473686</c:v>
                </c:pt>
                <c:pt idx="114">
                  <c:v>0.31578947368421051</c:v>
                </c:pt>
                <c:pt idx="115">
                  <c:v>0.35468749999999999</c:v>
                </c:pt>
                <c:pt idx="116">
                  <c:v>0.4375</c:v>
                </c:pt>
                <c:pt idx="117">
                  <c:v>0.40405616224648988</c:v>
                </c:pt>
                <c:pt idx="118">
                  <c:v>0.46645865834633388</c:v>
                </c:pt>
                <c:pt idx="119">
                  <c:v>0.44929797191887677</c:v>
                </c:pt>
                <c:pt idx="120">
                  <c:v>0.27837837837837837</c:v>
                </c:pt>
                <c:pt idx="121">
                  <c:v>0.36216216216216218</c:v>
                </c:pt>
                <c:pt idx="122">
                  <c:v>0.3108108108108108</c:v>
                </c:pt>
                <c:pt idx="123">
                  <c:v>0.30516431924882631</c:v>
                </c:pt>
                <c:pt idx="124">
                  <c:v>0.41718749999999999</c:v>
                </c:pt>
                <c:pt idx="125">
                  <c:v>0.4609375</c:v>
                </c:pt>
                <c:pt idx="126">
                  <c:v>0.46875</c:v>
                </c:pt>
                <c:pt idx="127">
                  <c:v>0.18157894736842106</c:v>
                </c:pt>
                <c:pt idx="128">
                  <c:v>0.2868421052631579</c:v>
                </c:pt>
                <c:pt idx="129">
                  <c:v>0.23684210526315788</c:v>
                </c:pt>
                <c:pt idx="130">
                  <c:v>0.24029850746268658</c:v>
                </c:pt>
                <c:pt idx="131">
                  <c:v>0.38059701492537312</c:v>
                </c:pt>
                <c:pt idx="132">
                  <c:v>0.375</c:v>
                </c:pt>
                <c:pt idx="133">
                  <c:v>0.35863095238095238</c:v>
                </c:pt>
                <c:pt idx="134">
                  <c:v>0.39136904761904762</c:v>
                </c:pt>
                <c:pt idx="135">
                  <c:v>0.24736842105263157</c:v>
                </c:pt>
                <c:pt idx="136">
                  <c:v>0.32894736842105265</c:v>
                </c:pt>
                <c:pt idx="137">
                  <c:v>0.4026315789473684</c:v>
                </c:pt>
                <c:pt idx="138">
                  <c:v>0.31451612903225806</c:v>
                </c:pt>
                <c:pt idx="139">
                  <c:v>0.38548387096774195</c:v>
                </c:pt>
                <c:pt idx="140">
                  <c:v>0.49516129032258066</c:v>
                </c:pt>
                <c:pt idx="141">
                  <c:v>0.53870967741935483</c:v>
                </c:pt>
                <c:pt idx="142">
                  <c:v>0.54677419354838708</c:v>
                </c:pt>
                <c:pt idx="143">
                  <c:v>0.4756756756756757</c:v>
                </c:pt>
                <c:pt idx="144">
                  <c:v>0.35405405405405405</c:v>
                </c:pt>
                <c:pt idx="145">
                  <c:v>0.34982332155477031</c:v>
                </c:pt>
                <c:pt idx="146">
                  <c:v>0.45406360424028269</c:v>
                </c:pt>
                <c:pt idx="147">
                  <c:v>0.4628975265017668</c:v>
                </c:pt>
                <c:pt idx="148">
                  <c:v>0.47703180212014135</c:v>
                </c:pt>
                <c:pt idx="149">
                  <c:v>4.1379310344827586E-2</c:v>
                </c:pt>
                <c:pt idx="150">
                  <c:v>0.13738019169329074</c:v>
                </c:pt>
                <c:pt idx="151">
                  <c:v>2.9729729729729731E-2</c:v>
                </c:pt>
                <c:pt idx="152">
                  <c:v>4.0540540540540543E-2</c:v>
                </c:pt>
                <c:pt idx="153">
                  <c:v>0.18548387096774194</c:v>
                </c:pt>
                <c:pt idx="154">
                  <c:v>3.5211267605633804E-2</c:v>
                </c:pt>
                <c:pt idx="155">
                  <c:v>0.13732394366197184</c:v>
                </c:pt>
                <c:pt idx="156">
                  <c:v>6.5789473684210523E-2</c:v>
                </c:pt>
                <c:pt idx="157">
                  <c:v>6.3157894736842107E-2</c:v>
                </c:pt>
                <c:pt idx="158">
                  <c:v>0.10263157894736842</c:v>
                </c:pt>
                <c:pt idx="159">
                  <c:v>0.11315789473684211</c:v>
                </c:pt>
                <c:pt idx="160">
                  <c:v>0.14760147601476015</c:v>
                </c:pt>
                <c:pt idx="161">
                  <c:v>0.18450184501845018</c:v>
                </c:pt>
                <c:pt idx="162">
                  <c:v>0.22693726937269373</c:v>
                </c:pt>
                <c:pt idx="163">
                  <c:v>7.8947368421052634E-3</c:v>
                </c:pt>
                <c:pt idx="164">
                  <c:v>5.263157894736842E-3</c:v>
                </c:pt>
                <c:pt idx="165">
                  <c:v>2.631578947368421E-3</c:v>
                </c:pt>
                <c:pt idx="166">
                  <c:v>2.1052631578947368E-2</c:v>
                </c:pt>
                <c:pt idx="167">
                  <c:v>7.7519379844961239E-3</c:v>
                </c:pt>
                <c:pt idx="168">
                  <c:v>1.8604651162790697E-2</c:v>
                </c:pt>
                <c:pt idx="169">
                  <c:v>6.6666666666666666E-2</c:v>
                </c:pt>
                <c:pt idx="170">
                  <c:v>0.54113924050632911</c:v>
                </c:pt>
                <c:pt idx="171">
                  <c:v>0.66561514195583593</c:v>
                </c:pt>
                <c:pt idx="172">
                  <c:v>0.72812500000000002</c:v>
                </c:pt>
                <c:pt idx="173">
                  <c:v>0.82187500000000002</c:v>
                </c:pt>
                <c:pt idx="174">
                  <c:v>0.76297577854671284</c:v>
                </c:pt>
                <c:pt idx="175">
                  <c:v>0.88927335640138405</c:v>
                </c:pt>
                <c:pt idx="176">
                  <c:v>0.82210708117443865</c:v>
                </c:pt>
                <c:pt idx="177">
                  <c:v>8.4375000000000006E-2</c:v>
                </c:pt>
                <c:pt idx="178">
                  <c:v>0.11874999999999999</c:v>
                </c:pt>
                <c:pt idx="179">
                  <c:v>0.17824074074074073</c:v>
                </c:pt>
                <c:pt idx="180">
                  <c:v>7.1052631578947367E-2</c:v>
                </c:pt>
                <c:pt idx="181">
                  <c:v>0.11052631578947368</c:v>
                </c:pt>
                <c:pt idx="182">
                  <c:v>0.10344827586206896</c:v>
                </c:pt>
                <c:pt idx="183">
                  <c:v>0.15137614678899083</c:v>
                </c:pt>
                <c:pt idx="184">
                  <c:v>0.28669724770642202</c:v>
                </c:pt>
                <c:pt idx="185">
                  <c:v>0.1736842105263158</c:v>
                </c:pt>
                <c:pt idx="186">
                  <c:v>0.20263157894736841</c:v>
                </c:pt>
                <c:pt idx="187">
                  <c:v>0.24210526315789474</c:v>
                </c:pt>
                <c:pt idx="188">
                  <c:v>0.46231155778894473</c:v>
                </c:pt>
                <c:pt idx="189">
                  <c:v>0.43718592964824121</c:v>
                </c:pt>
                <c:pt idx="190">
                  <c:v>0.44816053511705684</c:v>
                </c:pt>
                <c:pt idx="191">
                  <c:v>0.3511705685618729</c:v>
                </c:pt>
                <c:pt idx="192">
                  <c:v>0.51081081081081081</c:v>
                </c:pt>
                <c:pt idx="193">
                  <c:v>0.44289044289044288</c:v>
                </c:pt>
                <c:pt idx="194">
                  <c:v>0.82983682983682983</c:v>
                </c:pt>
                <c:pt idx="195">
                  <c:v>0.12105263157894737</c:v>
                </c:pt>
                <c:pt idx="196">
                  <c:v>0.12631578947368421</c:v>
                </c:pt>
                <c:pt idx="197">
                  <c:v>0.10526315789473684</c:v>
                </c:pt>
                <c:pt idx="198">
                  <c:v>8.387096774193549E-2</c:v>
                </c:pt>
                <c:pt idx="199">
                  <c:v>0.10466988727858294</c:v>
                </c:pt>
                <c:pt idx="200">
                  <c:v>0.1320450885668277</c:v>
                </c:pt>
                <c:pt idx="201">
                  <c:v>0.13421052631578947</c:v>
                </c:pt>
                <c:pt idx="202">
                  <c:v>0.1</c:v>
                </c:pt>
                <c:pt idx="203">
                  <c:v>0.10526315789473684</c:v>
                </c:pt>
                <c:pt idx="204">
                  <c:v>0.12542372881355932</c:v>
                </c:pt>
                <c:pt idx="205">
                  <c:v>0.13728813559322034</c:v>
                </c:pt>
                <c:pt idx="206">
                  <c:v>0.1440677966101695</c:v>
                </c:pt>
                <c:pt idx="207">
                  <c:v>8.2500000000000004E-2</c:v>
                </c:pt>
                <c:pt idx="208">
                  <c:v>0.24172185430463577</c:v>
                </c:pt>
                <c:pt idx="209">
                  <c:v>0.14594594594594595</c:v>
                </c:pt>
                <c:pt idx="210">
                  <c:v>0.13783783783783785</c:v>
                </c:pt>
                <c:pt idx="211">
                  <c:v>0.1864864864864865</c:v>
                </c:pt>
                <c:pt idx="212">
                  <c:v>0.22432432432432434</c:v>
                </c:pt>
                <c:pt idx="213">
                  <c:v>0.13243243243243244</c:v>
                </c:pt>
                <c:pt idx="214">
                  <c:v>0.15945945945945947</c:v>
                </c:pt>
                <c:pt idx="215">
                  <c:v>0.11081081081081082</c:v>
                </c:pt>
                <c:pt idx="216">
                  <c:v>9.9815157116451017E-2</c:v>
                </c:pt>
                <c:pt idx="217">
                  <c:v>0.11645101663585952</c:v>
                </c:pt>
                <c:pt idx="218">
                  <c:v>0.14048059149722736</c:v>
                </c:pt>
                <c:pt idx="219">
                  <c:v>0.18299445471349354</c:v>
                </c:pt>
                <c:pt idx="220">
                  <c:v>0.21996303142329021</c:v>
                </c:pt>
                <c:pt idx="221">
                  <c:v>0.22181146025878004</c:v>
                </c:pt>
                <c:pt idx="222">
                  <c:v>0.27171903881700554</c:v>
                </c:pt>
                <c:pt idx="223">
                  <c:v>0.30073800738007378</c:v>
                </c:pt>
                <c:pt idx="224">
                  <c:v>0.28782287822878228</c:v>
                </c:pt>
                <c:pt idx="225">
                  <c:v>0.26568265682656828</c:v>
                </c:pt>
                <c:pt idx="226">
                  <c:v>0.21771217712177121</c:v>
                </c:pt>
                <c:pt idx="227">
                  <c:v>0.22878228782287824</c:v>
                </c:pt>
                <c:pt idx="228">
                  <c:v>0.29520295202952029</c:v>
                </c:pt>
                <c:pt idx="229">
                  <c:v>0.13111111111111112</c:v>
                </c:pt>
                <c:pt idx="230">
                  <c:v>0.15901639344262294</c:v>
                </c:pt>
                <c:pt idx="231">
                  <c:v>0.24549918166939444</c:v>
                </c:pt>
                <c:pt idx="232">
                  <c:v>2.6315789473684209E-2</c:v>
                </c:pt>
                <c:pt idx="233">
                  <c:v>3.1578947368421054E-2</c:v>
                </c:pt>
                <c:pt idx="234">
                  <c:v>3.2208588957055216E-2</c:v>
                </c:pt>
                <c:pt idx="235">
                  <c:v>4.4478527607361963E-2</c:v>
                </c:pt>
                <c:pt idx="236">
                  <c:v>7.6687116564417179E-2</c:v>
                </c:pt>
                <c:pt idx="237">
                  <c:v>8.4355828220858894E-2</c:v>
                </c:pt>
                <c:pt idx="238">
                  <c:v>2.368421052631579E-2</c:v>
                </c:pt>
                <c:pt idx="239">
                  <c:v>2.1052631578947368E-2</c:v>
                </c:pt>
                <c:pt idx="240">
                  <c:v>2.6315789473684209E-2</c:v>
                </c:pt>
                <c:pt idx="241">
                  <c:v>7.2568940493468797E-3</c:v>
                </c:pt>
                <c:pt idx="242">
                  <c:v>2.0319303338171262E-2</c:v>
                </c:pt>
                <c:pt idx="243">
                  <c:v>3.6284470246734396E-2</c:v>
                </c:pt>
                <c:pt idx="244">
                  <c:v>4.2089985486211901E-2</c:v>
                </c:pt>
                <c:pt idx="245">
                  <c:v>3.483309143686502E-2</c:v>
                </c:pt>
                <c:pt idx="246">
                  <c:v>3.0478955007256895E-2</c:v>
                </c:pt>
                <c:pt idx="247">
                  <c:v>3.3381712626995644E-2</c:v>
                </c:pt>
                <c:pt idx="248">
                  <c:v>2.368421052631579E-2</c:v>
                </c:pt>
                <c:pt idx="249">
                  <c:v>2.368421052631579E-2</c:v>
                </c:pt>
                <c:pt idx="250">
                  <c:v>2.4916943521594685E-2</c:v>
                </c:pt>
                <c:pt idx="251">
                  <c:v>4.975124378109453E-2</c:v>
                </c:pt>
                <c:pt idx="252">
                  <c:v>5.6384742951907131E-2</c:v>
                </c:pt>
                <c:pt idx="253">
                  <c:v>5.9701492537313432E-2</c:v>
                </c:pt>
                <c:pt idx="254">
                  <c:v>7.8947368421052634E-3</c:v>
                </c:pt>
                <c:pt idx="255">
                  <c:v>2.1052631578947368E-2</c:v>
                </c:pt>
                <c:pt idx="256">
                  <c:v>2.8947368421052631E-2</c:v>
                </c:pt>
                <c:pt idx="257">
                  <c:v>5.306799336650083E-2</c:v>
                </c:pt>
                <c:pt idx="258">
                  <c:v>8.2781456953642391E-2</c:v>
                </c:pt>
                <c:pt idx="259">
                  <c:v>9.7682119205298013E-2</c:v>
                </c:pt>
                <c:pt idx="260">
                  <c:v>0.19205298013245034</c:v>
                </c:pt>
                <c:pt idx="261">
                  <c:v>0</c:v>
                </c:pt>
                <c:pt idx="262">
                  <c:v>5.263157894736842E-3</c:v>
                </c:pt>
                <c:pt idx="263">
                  <c:v>2.631578947368421E-3</c:v>
                </c:pt>
                <c:pt idx="264">
                  <c:v>5.6603773584905656E-3</c:v>
                </c:pt>
                <c:pt idx="265">
                  <c:v>5.6497175141242938E-3</c:v>
                </c:pt>
                <c:pt idx="266">
                  <c:v>3.7664783427495289E-2</c:v>
                </c:pt>
                <c:pt idx="267">
                  <c:v>0.44324324324324327</c:v>
                </c:pt>
                <c:pt idx="268">
                  <c:v>0.48378378378378378</c:v>
                </c:pt>
                <c:pt idx="269">
                  <c:v>0.37968750000000001</c:v>
                </c:pt>
                <c:pt idx="270">
                  <c:v>0.421875</c:v>
                </c:pt>
                <c:pt idx="271">
                  <c:v>0.52812499999999996</c:v>
                </c:pt>
                <c:pt idx="272">
                  <c:v>0.54602184087363492</c:v>
                </c:pt>
                <c:pt idx="273">
                  <c:v>8.6842105263157901E-2</c:v>
                </c:pt>
                <c:pt idx="274">
                  <c:v>5.7894736842105263E-2</c:v>
                </c:pt>
                <c:pt idx="275">
                  <c:v>7.6315789473684212E-2</c:v>
                </c:pt>
                <c:pt idx="276">
                  <c:v>0.11052631578947368</c:v>
                </c:pt>
                <c:pt idx="277">
                  <c:v>0.10238907849829351</c:v>
                </c:pt>
                <c:pt idx="278">
                  <c:v>0.11433447098976109</c:v>
                </c:pt>
                <c:pt idx="279">
                  <c:v>0.21621621621621623</c:v>
                </c:pt>
                <c:pt idx="280">
                  <c:v>0.3</c:v>
                </c:pt>
                <c:pt idx="281">
                  <c:v>0.42972972972972973</c:v>
                </c:pt>
                <c:pt idx="282">
                  <c:v>0.49459459459459459</c:v>
                </c:pt>
                <c:pt idx="283">
                  <c:v>0.41351351351351351</c:v>
                </c:pt>
                <c:pt idx="284">
                  <c:v>0.30163447251114411</c:v>
                </c:pt>
                <c:pt idx="285">
                  <c:v>0.23922734026745915</c:v>
                </c:pt>
                <c:pt idx="286">
                  <c:v>0.21693907875185736</c:v>
                </c:pt>
                <c:pt idx="287">
                  <c:v>0.21248142644873699</c:v>
                </c:pt>
                <c:pt idx="288">
                  <c:v>0.22288261515601784</c:v>
                </c:pt>
                <c:pt idx="289">
                  <c:v>0.30460624071322434</c:v>
                </c:pt>
                <c:pt idx="290">
                  <c:v>0.41158989598811291</c:v>
                </c:pt>
                <c:pt idx="291">
                  <c:v>0.43536404160475484</c:v>
                </c:pt>
                <c:pt idx="292">
                  <c:v>0.43982169390787518</c:v>
                </c:pt>
                <c:pt idx="293">
                  <c:v>0.43323442136498519</c:v>
                </c:pt>
                <c:pt idx="294">
                  <c:v>0.43916913946587538</c:v>
                </c:pt>
                <c:pt idx="295">
                  <c:v>0.43768545994065283</c:v>
                </c:pt>
                <c:pt idx="296">
                  <c:v>0.41988130563798221</c:v>
                </c:pt>
                <c:pt idx="297">
                  <c:v>0.43323442136498519</c:v>
                </c:pt>
                <c:pt idx="298">
                  <c:v>0.40504451038575667</c:v>
                </c:pt>
                <c:pt idx="299">
                  <c:v>0.3857566765578635</c:v>
                </c:pt>
                <c:pt idx="300">
                  <c:v>0.39169139465875369</c:v>
                </c:pt>
                <c:pt idx="301">
                  <c:v>0.33055555555555555</c:v>
                </c:pt>
                <c:pt idx="302">
                  <c:v>0.25</c:v>
                </c:pt>
                <c:pt idx="303">
                  <c:v>0.25555555555555554</c:v>
                </c:pt>
                <c:pt idx="304">
                  <c:v>0.24927536231884059</c:v>
                </c:pt>
                <c:pt idx="305">
                  <c:v>0.38260869565217392</c:v>
                </c:pt>
                <c:pt idx="306">
                  <c:v>0.38929088277858176</c:v>
                </c:pt>
              </c:numCache>
            </c:numRef>
          </c:xVal>
          <c:yVal>
            <c:numRef>
              <c:f>RaceWorksheet!$A$2:$A$308</c:f>
              <c:numCache>
                <c:formatCode>0.0%</c:formatCode>
                <c:ptCount val="307"/>
                <c:pt idx="0">
                  <c:v>0.11743772241992882</c:v>
                </c:pt>
                <c:pt idx="1">
                  <c:v>0.13010204081632654</c:v>
                </c:pt>
                <c:pt idx="2">
                  <c:v>0.17349397590361446</c:v>
                </c:pt>
                <c:pt idx="3">
                  <c:v>0.55434782608695654</c:v>
                </c:pt>
                <c:pt idx="4">
                  <c:v>0.46964856230031948</c:v>
                </c:pt>
                <c:pt idx="5">
                  <c:v>0.53020134228187921</c:v>
                </c:pt>
                <c:pt idx="6">
                  <c:v>0.61032028469750887</c:v>
                </c:pt>
                <c:pt idx="7">
                  <c:v>0.56981132075471697</c:v>
                </c:pt>
                <c:pt idx="8">
                  <c:v>0.5</c:v>
                </c:pt>
                <c:pt idx="9">
                  <c:v>0.44186046511627908</c:v>
                </c:pt>
                <c:pt idx="10">
                  <c:v>0.16603773584905659</c:v>
                </c:pt>
                <c:pt idx="11">
                  <c:v>0.18545454545454546</c:v>
                </c:pt>
                <c:pt idx="12">
                  <c:v>0.19155844155844157</c:v>
                </c:pt>
                <c:pt idx="13">
                  <c:v>0.32500000000000001</c:v>
                </c:pt>
                <c:pt idx="14">
                  <c:v>0.27597402597402598</c:v>
                </c:pt>
                <c:pt idx="15">
                  <c:v>0.24015009380863039</c:v>
                </c:pt>
                <c:pt idx="16">
                  <c:v>0.28764478764478763</c:v>
                </c:pt>
                <c:pt idx="17">
                  <c:v>0.39219330855018586</c:v>
                </c:pt>
                <c:pt idx="18">
                  <c:v>0.3634782608695652</c:v>
                </c:pt>
                <c:pt idx="19">
                  <c:v>0.26666666666666666</c:v>
                </c:pt>
                <c:pt idx="20">
                  <c:v>0.26332288401253917</c:v>
                </c:pt>
                <c:pt idx="21">
                  <c:v>0.32220039292730845</c:v>
                </c:pt>
                <c:pt idx="22">
                  <c:v>0.46730769230769231</c:v>
                </c:pt>
                <c:pt idx="23">
                  <c:v>0.3663551401869159</c:v>
                </c:pt>
                <c:pt idx="24">
                  <c:v>0.21478873239436619</c:v>
                </c:pt>
                <c:pt idx="25">
                  <c:v>0.30312499999999998</c:v>
                </c:pt>
                <c:pt idx="26">
                  <c:v>0.22081218274111675</c:v>
                </c:pt>
                <c:pt idx="27">
                  <c:v>0.21105527638190955</c:v>
                </c:pt>
                <c:pt idx="28">
                  <c:v>0.21728971962616822</c:v>
                </c:pt>
                <c:pt idx="29">
                  <c:v>0.47085201793721976</c:v>
                </c:pt>
                <c:pt idx="30">
                  <c:v>0.42753623188405798</c:v>
                </c:pt>
                <c:pt idx="31">
                  <c:v>0.40952380952380951</c:v>
                </c:pt>
                <c:pt idx="32">
                  <c:v>0.51587301587301593</c:v>
                </c:pt>
                <c:pt idx="33">
                  <c:v>0.48024948024948028</c:v>
                </c:pt>
                <c:pt idx="34">
                  <c:v>0.5010570824524313</c:v>
                </c:pt>
                <c:pt idx="35">
                  <c:v>0.50829875518672196</c:v>
                </c:pt>
                <c:pt idx="36">
                  <c:v>0.39763779527559057</c:v>
                </c:pt>
                <c:pt idx="37">
                  <c:v>0.2347560975609756</c:v>
                </c:pt>
                <c:pt idx="38">
                  <c:v>0.54201680672268904</c:v>
                </c:pt>
                <c:pt idx="39">
                  <c:v>0.53947368421052633</c:v>
                </c:pt>
                <c:pt idx="40">
                  <c:v>0.53254437869822491</c:v>
                </c:pt>
                <c:pt idx="41">
                  <c:v>0.59935897435897434</c:v>
                </c:pt>
                <c:pt idx="42">
                  <c:v>0.47770700636942676</c:v>
                </c:pt>
                <c:pt idx="43">
                  <c:v>0.15602836879432624</c:v>
                </c:pt>
                <c:pt idx="44">
                  <c:v>0.17391304347826086</c:v>
                </c:pt>
                <c:pt idx="45">
                  <c:v>0.21369863013698631</c:v>
                </c:pt>
                <c:pt idx="46">
                  <c:v>0.29198966408268734</c:v>
                </c:pt>
                <c:pt idx="47">
                  <c:v>0.25738396624472576</c:v>
                </c:pt>
                <c:pt idx="48">
                  <c:v>0.36912751677852351</c:v>
                </c:pt>
                <c:pt idx="49">
                  <c:v>0.27931769722814498</c:v>
                </c:pt>
                <c:pt idx="50">
                  <c:v>0.28159645232815966</c:v>
                </c:pt>
                <c:pt idx="51">
                  <c:v>0.36160714285714285</c:v>
                </c:pt>
                <c:pt idx="52">
                  <c:v>0.30802603036876358</c:v>
                </c:pt>
                <c:pt idx="53">
                  <c:v>0.22129436325678498</c:v>
                </c:pt>
                <c:pt idx="54">
                  <c:v>0.32246376811594202</c:v>
                </c:pt>
                <c:pt idx="55">
                  <c:v>0.27300613496932513</c:v>
                </c:pt>
                <c:pt idx="56">
                  <c:v>0.23986486486486486</c:v>
                </c:pt>
                <c:pt idx="57">
                  <c:v>0.3448905109489051</c:v>
                </c:pt>
                <c:pt idx="58">
                  <c:v>0.25272727272727274</c:v>
                </c:pt>
                <c:pt idx="59">
                  <c:v>0.18706293706293706</c:v>
                </c:pt>
                <c:pt idx="60">
                  <c:v>0.77850162866449513</c:v>
                </c:pt>
                <c:pt idx="61">
                  <c:v>0.77938517179023503</c:v>
                </c:pt>
                <c:pt idx="62">
                  <c:v>0.77695167286245348</c:v>
                </c:pt>
                <c:pt idx="63">
                  <c:v>0.84344422700587085</c:v>
                </c:pt>
                <c:pt idx="64">
                  <c:v>0.78321678321678323</c:v>
                </c:pt>
                <c:pt idx="65">
                  <c:v>0.81512605042016806</c:v>
                </c:pt>
                <c:pt idx="66">
                  <c:v>0.75083056478405319</c:v>
                </c:pt>
                <c:pt idx="67">
                  <c:v>0.82130584192439859</c:v>
                </c:pt>
                <c:pt idx="68">
                  <c:v>0.84832451499118167</c:v>
                </c:pt>
                <c:pt idx="69">
                  <c:v>0.77884615384615385</c:v>
                </c:pt>
                <c:pt idx="70">
                  <c:v>0.73425196850393704</c:v>
                </c:pt>
                <c:pt idx="71">
                  <c:v>0.76604554865424435</c:v>
                </c:pt>
                <c:pt idx="72">
                  <c:v>0.78612716763005785</c:v>
                </c:pt>
                <c:pt idx="73">
                  <c:v>0.79926335174953955</c:v>
                </c:pt>
                <c:pt idx="74">
                  <c:v>0.84615384615384615</c:v>
                </c:pt>
                <c:pt idx="75">
                  <c:v>0.80126182965299686</c:v>
                </c:pt>
                <c:pt idx="76">
                  <c:v>0.88924050632911389</c:v>
                </c:pt>
                <c:pt idx="77">
                  <c:v>0.88275862068965516</c:v>
                </c:pt>
                <c:pt idx="78">
                  <c:v>0.86531365313653141</c:v>
                </c:pt>
                <c:pt idx="79">
                  <c:v>0.84716981132075475</c:v>
                </c:pt>
                <c:pt idx="80">
                  <c:v>0.84291187739463602</c:v>
                </c:pt>
                <c:pt idx="81">
                  <c:v>0.84629629629629632</c:v>
                </c:pt>
                <c:pt idx="82">
                  <c:v>0.73809523809523814</c:v>
                </c:pt>
                <c:pt idx="83">
                  <c:v>0.70685579196217496</c:v>
                </c:pt>
                <c:pt idx="84">
                  <c:v>0.8032407407407407</c:v>
                </c:pt>
                <c:pt idx="85">
                  <c:v>0.91164658634538154</c:v>
                </c:pt>
                <c:pt idx="86">
                  <c:v>0.90391459074733094</c:v>
                </c:pt>
                <c:pt idx="87">
                  <c:v>0.94646680942184158</c:v>
                </c:pt>
                <c:pt idx="88">
                  <c:v>0.9513184584178499</c:v>
                </c:pt>
                <c:pt idx="89">
                  <c:v>0.88888888888888884</c:v>
                </c:pt>
                <c:pt idx="90">
                  <c:v>0.89932885906040272</c:v>
                </c:pt>
                <c:pt idx="91">
                  <c:v>0.8954545454545455</c:v>
                </c:pt>
                <c:pt idx="92">
                  <c:v>0.967741935483871</c:v>
                </c:pt>
                <c:pt idx="93">
                  <c:v>0.91139240506329111</c:v>
                </c:pt>
                <c:pt idx="94">
                  <c:v>0.9532374100719424</c:v>
                </c:pt>
                <c:pt idx="95">
                  <c:v>0.94052044609665431</c:v>
                </c:pt>
                <c:pt idx="96">
                  <c:v>0.87596899224806202</c:v>
                </c:pt>
                <c:pt idx="97">
                  <c:v>0.95151515151515154</c:v>
                </c:pt>
                <c:pt idx="98">
                  <c:v>0.82905982905982911</c:v>
                </c:pt>
                <c:pt idx="99">
                  <c:v>0.86111111111111116</c:v>
                </c:pt>
                <c:pt idx="100">
                  <c:v>0.80219780219780223</c:v>
                </c:pt>
                <c:pt idx="101">
                  <c:v>0.89682539682539686</c:v>
                </c:pt>
                <c:pt idx="102">
                  <c:v>0.83171521035598706</c:v>
                </c:pt>
                <c:pt idx="103">
                  <c:v>0.8705357142857143</c:v>
                </c:pt>
                <c:pt idx="104">
                  <c:v>0.87632508833922262</c:v>
                </c:pt>
                <c:pt idx="105">
                  <c:v>0.90592334494773519</c:v>
                </c:pt>
                <c:pt idx="106">
                  <c:v>0.94915254237288138</c:v>
                </c:pt>
                <c:pt idx="107">
                  <c:v>0.92783505154639179</c:v>
                </c:pt>
                <c:pt idx="108">
                  <c:v>0.93650793650793651</c:v>
                </c:pt>
                <c:pt idx="109">
                  <c:v>0.88652482269503541</c:v>
                </c:pt>
                <c:pt idx="110">
                  <c:v>0.74315068493150682</c:v>
                </c:pt>
                <c:pt idx="111">
                  <c:v>0.65822784810126578</c:v>
                </c:pt>
                <c:pt idx="112">
                  <c:v>0.64379084967320266</c:v>
                </c:pt>
                <c:pt idx="113">
                  <c:v>0.72247706422018354</c:v>
                </c:pt>
                <c:pt idx="114">
                  <c:v>0.69515011547344108</c:v>
                </c:pt>
                <c:pt idx="115">
                  <c:v>0.64316239316239321</c:v>
                </c:pt>
                <c:pt idx="116">
                  <c:v>0.62761506276150625</c:v>
                </c:pt>
                <c:pt idx="117">
                  <c:v>0.58085106382978724</c:v>
                </c:pt>
                <c:pt idx="118">
                  <c:v>0.72661870503597126</c:v>
                </c:pt>
                <c:pt idx="119">
                  <c:v>0.66987179487179482</c:v>
                </c:pt>
                <c:pt idx="120">
                  <c:v>0.74013157894736847</c:v>
                </c:pt>
                <c:pt idx="121">
                  <c:v>0.72955974842767291</c:v>
                </c:pt>
                <c:pt idx="122">
                  <c:v>0.68243243243243246</c:v>
                </c:pt>
                <c:pt idx="123">
                  <c:v>0.68250539956803458</c:v>
                </c:pt>
                <c:pt idx="124">
                  <c:v>0.62448132780082988</c:v>
                </c:pt>
                <c:pt idx="125">
                  <c:v>0.8392857142857143</c:v>
                </c:pt>
                <c:pt idx="126">
                  <c:v>0.73899371069182385</c:v>
                </c:pt>
                <c:pt idx="127">
                  <c:v>0.79104477611940294</c:v>
                </c:pt>
                <c:pt idx="128">
                  <c:v>0.78557114228456915</c:v>
                </c:pt>
                <c:pt idx="129">
                  <c:v>0.68360277136258663</c:v>
                </c:pt>
                <c:pt idx="130">
                  <c:v>0.71767241379310343</c:v>
                </c:pt>
                <c:pt idx="131">
                  <c:v>0.74798387096774188</c:v>
                </c:pt>
                <c:pt idx="132">
                  <c:v>0.73333333333333328</c:v>
                </c:pt>
                <c:pt idx="133">
                  <c:v>0.76156583629893237</c:v>
                </c:pt>
                <c:pt idx="134">
                  <c:v>0.83557046979865768</c:v>
                </c:pt>
                <c:pt idx="135">
                  <c:v>0.78877887788778878</c:v>
                </c:pt>
                <c:pt idx="136">
                  <c:v>0.69037656903765687</c:v>
                </c:pt>
                <c:pt idx="137">
                  <c:v>0.68837209302325586</c:v>
                </c:pt>
                <c:pt idx="138">
                  <c:v>0.76222222222222225</c:v>
                </c:pt>
                <c:pt idx="139">
                  <c:v>0.75523012552301261</c:v>
                </c:pt>
                <c:pt idx="140">
                  <c:v>0.75739644970414199</c:v>
                </c:pt>
                <c:pt idx="141">
                  <c:v>0.57432432432432434</c:v>
                </c:pt>
                <c:pt idx="142">
                  <c:v>0.70134228187919467</c:v>
                </c:pt>
                <c:pt idx="143">
                  <c:v>0.72413793103448276</c:v>
                </c:pt>
                <c:pt idx="144">
                  <c:v>0.70398009950248752</c:v>
                </c:pt>
                <c:pt idx="145">
                  <c:v>0.71895424836601307</c:v>
                </c:pt>
                <c:pt idx="146">
                  <c:v>0.68776371308016881</c:v>
                </c:pt>
                <c:pt idx="147">
                  <c:v>0.23389830508474577</c:v>
                </c:pt>
                <c:pt idx="148">
                  <c:v>0.19889502762430938</c:v>
                </c:pt>
                <c:pt idx="149">
                  <c:v>0.90186915887850472</c:v>
                </c:pt>
                <c:pt idx="150">
                  <c:v>0.86899563318777295</c:v>
                </c:pt>
                <c:pt idx="151">
                  <c:v>0.86098654708520184</c:v>
                </c:pt>
                <c:pt idx="152">
                  <c:v>0.91958041958041958</c:v>
                </c:pt>
                <c:pt idx="153">
                  <c:v>0.79441624365482233</c:v>
                </c:pt>
                <c:pt idx="154">
                  <c:v>0.90340909090909094</c:v>
                </c:pt>
                <c:pt idx="155">
                  <c:v>0.8779342723004695</c:v>
                </c:pt>
                <c:pt idx="156">
                  <c:v>0.80666666666666664</c:v>
                </c:pt>
                <c:pt idx="157">
                  <c:v>0.84444444444444444</c:v>
                </c:pt>
                <c:pt idx="158">
                  <c:v>0.7967479674796748</c:v>
                </c:pt>
                <c:pt idx="159">
                  <c:v>0.83399209486166004</c:v>
                </c:pt>
                <c:pt idx="160">
                  <c:v>0.80790960451977401</c:v>
                </c:pt>
                <c:pt idx="161">
                  <c:v>0.82</c:v>
                </c:pt>
                <c:pt idx="162">
                  <c:v>0.80323450134770891</c:v>
                </c:pt>
                <c:pt idx="163">
                  <c:v>0.79802955665024633</c:v>
                </c:pt>
                <c:pt idx="164">
                  <c:v>0.86738351254480284</c:v>
                </c:pt>
                <c:pt idx="165">
                  <c:v>0.89456869009584661</c:v>
                </c:pt>
                <c:pt idx="166">
                  <c:v>0.89836065573770496</c:v>
                </c:pt>
                <c:pt idx="167">
                  <c:v>0.94871794871794868</c:v>
                </c:pt>
                <c:pt idx="168">
                  <c:v>0.95151515151515154</c:v>
                </c:pt>
                <c:pt idx="169">
                  <c:v>0.92585170340681366</c:v>
                </c:pt>
                <c:pt idx="170">
                  <c:v>0.3991769547325103</c:v>
                </c:pt>
                <c:pt idx="171">
                  <c:v>0.37164750957854409</c:v>
                </c:pt>
                <c:pt idx="172">
                  <c:v>0.36842105263157893</c:v>
                </c:pt>
                <c:pt idx="173">
                  <c:v>0.36666666666666664</c:v>
                </c:pt>
                <c:pt idx="174">
                  <c:v>0.46666666666666667</c:v>
                </c:pt>
                <c:pt idx="175">
                  <c:v>0.49137931034482757</c:v>
                </c:pt>
                <c:pt idx="176">
                  <c:v>0.49377593360995853</c:v>
                </c:pt>
                <c:pt idx="177">
                  <c:v>0.86868686868686873</c:v>
                </c:pt>
                <c:pt idx="178">
                  <c:v>0.8515625</c:v>
                </c:pt>
                <c:pt idx="179">
                  <c:v>0.82371794871794868</c:v>
                </c:pt>
                <c:pt idx="180">
                  <c:v>0.84507042253521125</c:v>
                </c:pt>
                <c:pt idx="181">
                  <c:v>0.85416666666666663</c:v>
                </c:pt>
                <c:pt idx="182">
                  <c:v>0.83486238532110091</c:v>
                </c:pt>
                <c:pt idx="183">
                  <c:v>0.81188118811881194</c:v>
                </c:pt>
                <c:pt idx="184">
                  <c:v>0.71692307692307689</c:v>
                </c:pt>
                <c:pt idx="185">
                  <c:v>0.68016194331983804</c:v>
                </c:pt>
                <c:pt idx="186">
                  <c:v>0.74426229508196717</c:v>
                </c:pt>
                <c:pt idx="187">
                  <c:v>0.68571428571428572</c:v>
                </c:pt>
                <c:pt idx="188">
                  <c:v>0.55860349127182041</c:v>
                </c:pt>
                <c:pt idx="189">
                  <c:v>0.64523809523809528</c:v>
                </c:pt>
                <c:pt idx="190">
                  <c:v>0.67929292929292928</c:v>
                </c:pt>
                <c:pt idx="191">
                  <c:v>0.72270742358078599</c:v>
                </c:pt>
                <c:pt idx="192">
                  <c:v>0.77153558052434457</c:v>
                </c:pt>
                <c:pt idx="193">
                  <c:v>0.81172839506172845</c:v>
                </c:pt>
                <c:pt idx="194">
                  <c:v>0.82461538461538464</c:v>
                </c:pt>
                <c:pt idx="195">
                  <c:v>0.88304093567251463</c:v>
                </c:pt>
                <c:pt idx="196">
                  <c:v>0.89324618736383443</c:v>
                </c:pt>
                <c:pt idx="197">
                  <c:v>0.84472049689440998</c:v>
                </c:pt>
                <c:pt idx="198">
                  <c:v>0.48943661971830987</c:v>
                </c:pt>
                <c:pt idx="199">
                  <c:v>0.57434402332361512</c:v>
                </c:pt>
                <c:pt idx="200">
                  <c:v>0.33024691358024694</c:v>
                </c:pt>
                <c:pt idx="201">
                  <c:v>0.8203125</c:v>
                </c:pt>
                <c:pt idx="202">
                  <c:v>0.81625441696113077</c:v>
                </c:pt>
                <c:pt idx="203">
                  <c:v>0.83389830508474572</c:v>
                </c:pt>
                <c:pt idx="204">
                  <c:v>0.8482142857142857</c:v>
                </c:pt>
                <c:pt idx="205">
                  <c:v>0.85441527446300713</c:v>
                </c:pt>
                <c:pt idx="206">
                  <c:v>0.852112676056338</c:v>
                </c:pt>
                <c:pt idx="207">
                  <c:v>0.80201342281879195</c:v>
                </c:pt>
                <c:pt idx="208">
                  <c:v>0.76291079812206575</c:v>
                </c:pt>
                <c:pt idx="209">
                  <c:v>0.70157068062827221</c:v>
                </c:pt>
                <c:pt idx="210">
                  <c:v>0.78445229681978801</c:v>
                </c:pt>
                <c:pt idx="211">
                  <c:v>0.74489795918367352</c:v>
                </c:pt>
                <c:pt idx="212">
                  <c:v>0.70707070707070707</c:v>
                </c:pt>
                <c:pt idx="213">
                  <c:v>0.82059800664451832</c:v>
                </c:pt>
                <c:pt idx="214">
                  <c:v>0.81418918918918914</c:v>
                </c:pt>
                <c:pt idx="215">
                  <c:v>0.86734693877551017</c:v>
                </c:pt>
                <c:pt idx="216">
                  <c:v>0.91935483870967738</c:v>
                </c:pt>
                <c:pt idx="217">
                  <c:v>0.8779342723004695</c:v>
                </c:pt>
                <c:pt idx="218">
                  <c:v>0.85613207547169812</c:v>
                </c:pt>
                <c:pt idx="219">
                  <c:v>0.79353233830845771</c:v>
                </c:pt>
                <c:pt idx="220">
                  <c:v>0.77157360406091369</c:v>
                </c:pt>
                <c:pt idx="221">
                  <c:v>0.77722772277227725</c:v>
                </c:pt>
                <c:pt idx="222">
                  <c:v>0.74615384615384617</c:v>
                </c:pt>
                <c:pt idx="223">
                  <c:v>0.74935400516795869</c:v>
                </c:pt>
                <c:pt idx="224">
                  <c:v>0.76092544987146526</c:v>
                </c:pt>
                <c:pt idx="225">
                  <c:v>0.77353689567430028</c:v>
                </c:pt>
                <c:pt idx="226">
                  <c:v>0.8133971291866029</c:v>
                </c:pt>
                <c:pt idx="227">
                  <c:v>0.80885780885780889</c:v>
                </c:pt>
                <c:pt idx="228">
                  <c:v>0.74501108647450109</c:v>
                </c:pt>
                <c:pt idx="229">
                  <c:v>0.8294117647058824</c:v>
                </c:pt>
                <c:pt idx="230">
                  <c:v>0.83518930957683746</c:v>
                </c:pt>
                <c:pt idx="231">
                  <c:v>0.7870967741935484</c:v>
                </c:pt>
                <c:pt idx="232">
                  <c:v>0.87982832618025753</c:v>
                </c:pt>
                <c:pt idx="233">
                  <c:v>0.92281879194630867</c:v>
                </c:pt>
                <c:pt idx="234">
                  <c:v>0.95205479452054798</c:v>
                </c:pt>
                <c:pt idx="235">
                  <c:v>0.94197292069632499</c:v>
                </c:pt>
                <c:pt idx="236">
                  <c:v>0.9498069498069498</c:v>
                </c:pt>
                <c:pt idx="237">
                  <c:v>0.93581780538302273</c:v>
                </c:pt>
                <c:pt idx="238">
                  <c:v>0.94199999999999995</c:v>
                </c:pt>
                <c:pt idx="239">
                  <c:v>0.92600422832980978</c:v>
                </c:pt>
                <c:pt idx="240">
                  <c:v>0.95411089866156784</c:v>
                </c:pt>
                <c:pt idx="241">
                  <c:v>0.94839857651245552</c:v>
                </c:pt>
                <c:pt idx="242">
                  <c:v>0.85251798561151082</c:v>
                </c:pt>
                <c:pt idx="243">
                  <c:v>0.91874999999999996</c:v>
                </c:pt>
                <c:pt idx="244">
                  <c:v>0.93320610687022898</c:v>
                </c:pt>
                <c:pt idx="245">
                  <c:v>0.92213114754098358</c:v>
                </c:pt>
                <c:pt idx="246">
                  <c:v>0.92177589852008457</c:v>
                </c:pt>
                <c:pt idx="247">
                  <c:v>0.92692307692307696</c:v>
                </c:pt>
                <c:pt idx="248">
                  <c:v>0.93133047210300424</c:v>
                </c:pt>
                <c:pt idx="249">
                  <c:v>0.94</c:v>
                </c:pt>
                <c:pt idx="250">
                  <c:v>0.94078947368421051</c:v>
                </c:pt>
                <c:pt idx="251">
                  <c:v>0.92576419213973804</c:v>
                </c:pt>
                <c:pt idx="252">
                  <c:v>0.94252873563218387</c:v>
                </c:pt>
                <c:pt idx="253">
                  <c:v>0.93506493506493504</c:v>
                </c:pt>
                <c:pt idx="254">
                  <c:v>0.89823008849557517</c:v>
                </c:pt>
                <c:pt idx="255">
                  <c:v>0.93939393939393945</c:v>
                </c:pt>
                <c:pt idx="256">
                  <c:v>0.93687707641196016</c:v>
                </c:pt>
                <c:pt idx="257">
                  <c:v>0.92307692307692313</c:v>
                </c:pt>
                <c:pt idx="258">
                  <c:v>0.92380952380952386</c:v>
                </c:pt>
                <c:pt idx="259">
                  <c:v>0.92048192771084336</c:v>
                </c:pt>
                <c:pt idx="260">
                  <c:v>0.86486486486486491</c:v>
                </c:pt>
                <c:pt idx="261">
                  <c:v>0.82727272727272727</c:v>
                </c:pt>
                <c:pt idx="262">
                  <c:v>0.90972222222222221</c:v>
                </c:pt>
                <c:pt idx="263">
                  <c:v>0.9375</c:v>
                </c:pt>
                <c:pt idx="264">
                  <c:v>0.93055555555555558</c:v>
                </c:pt>
                <c:pt idx="265">
                  <c:v>0.94417475728155342</c:v>
                </c:pt>
                <c:pt idx="266">
                  <c:v>0.95704057279236276</c:v>
                </c:pt>
                <c:pt idx="267">
                  <c:v>0.44791666666666669</c:v>
                </c:pt>
                <c:pt idx="268">
                  <c:v>0.49367088607594939</c:v>
                </c:pt>
                <c:pt idx="269">
                  <c:v>0.57414448669201523</c:v>
                </c:pt>
                <c:pt idx="270">
                  <c:v>0.60685483870967738</c:v>
                </c:pt>
                <c:pt idx="271">
                  <c:v>0.51307847082494973</c:v>
                </c:pt>
                <c:pt idx="272">
                  <c:v>0.51544401544401541</c:v>
                </c:pt>
                <c:pt idx="273">
                  <c:v>0.65437788018433185</c:v>
                </c:pt>
                <c:pt idx="274">
                  <c:v>0.63917525773195871</c:v>
                </c:pt>
                <c:pt idx="275">
                  <c:v>0.5727554179566563</c:v>
                </c:pt>
                <c:pt idx="276">
                  <c:v>0.50156739811912221</c:v>
                </c:pt>
                <c:pt idx="277">
                  <c:v>0.5907590759075908</c:v>
                </c:pt>
                <c:pt idx="278">
                  <c:v>0.68849557522123894</c:v>
                </c:pt>
                <c:pt idx="279">
                  <c:v>0.73476702508960579</c:v>
                </c:pt>
                <c:pt idx="280">
                  <c:v>0.74311926605504586</c:v>
                </c:pt>
                <c:pt idx="281">
                  <c:v>0.77449168207024033</c:v>
                </c:pt>
                <c:pt idx="282">
                  <c:v>0.75600000000000001</c:v>
                </c:pt>
                <c:pt idx="283">
                  <c:v>0.73006134969325154</c:v>
                </c:pt>
                <c:pt idx="284">
                  <c:v>0.64360587002096437</c:v>
                </c:pt>
                <c:pt idx="285">
                  <c:v>0.64075630252100846</c:v>
                </c:pt>
                <c:pt idx="286">
                  <c:v>0.59591836734693882</c:v>
                </c:pt>
                <c:pt idx="287">
                  <c:v>0.62815126050420167</c:v>
                </c:pt>
                <c:pt idx="288">
                  <c:v>0.59599999999999997</c:v>
                </c:pt>
                <c:pt idx="289">
                  <c:v>0.62040816326530612</c:v>
                </c:pt>
                <c:pt idx="290">
                  <c:v>0.6324626865671642</c:v>
                </c:pt>
                <c:pt idx="291">
                  <c:v>0.6440366972477064</c:v>
                </c:pt>
                <c:pt idx="292">
                  <c:v>0.66238532110091741</c:v>
                </c:pt>
                <c:pt idx="293">
                  <c:v>0.66482504604051562</c:v>
                </c:pt>
                <c:pt idx="294">
                  <c:v>0.65845070422535212</c:v>
                </c:pt>
                <c:pt idx="295">
                  <c:v>0.80701754385964908</c:v>
                </c:pt>
                <c:pt idx="296">
                  <c:v>0.89438943894389444</c:v>
                </c:pt>
                <c:pt idx="297">
                  <c:v>0.92096219931271472</c:v>
                </c:pt>
                <c:pt idx="298">
                  <c:v>0.88043478260869568</c:v>
                </c:pt>
                <c:pt idx="299">
                  <c:v>0.89819004524886881</c:v>
                </c:pt>
                <c:pt idx="300">
                  <c:v>0.91163793103448276</c:v>
                </c:pt>
                <c:pt idx="301">
                  <c:v>0.5962264150943396</c:v>
                </c:pt>
                <c:pt idx="302">
                  <c:v>0.71844660194174759</c:v>
                </c:pt>
                <c:pt idx="303">
                  <c:v>0.76950354609929073</c:v>
                </c:pt>
                <c:pt idx="304">
                  <c:v>0.74812030075187974</c:v>
                </c:pt>
                <c:pt idx="305">
                  <c:v>0.67472118959107807</c:v>
                </c:pt>
                <c:pt idx="306">
                  <c:v>0.64640883977900554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59-47FA-B137-0EEEE3F2D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236416"/>
        <c:axId val="896336096"/>
      </c:scatterChart>
      <c:valAx>
        <c:axId val="687236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336096"/>
        <c:crosses val="autoZero"/>
        <c:crossBetween val="midCat"/>
      </c:valAx>
      <c:valAx>
        <c:axId val="8963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P130 Rasah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575306211723535"/>
                  <c:y val="-0.15468576844561097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RaceWorksheet!$I$2:$I$308</c:f>
              <c:numCache>
                <c:formatCode>0.0%</c:formatCode>
                <c:ptCount val="307"/>
                <c:pt idx="0">
                  <c:v>0.96</c:v>
                </c:pt>
                <c:pt idx="1">
                  <c:v>0.91460055096418735</c:v>
                </c:pt>
                <c:pt idx="2">
                  <c:v>0.97796143250688705</c:v>
                </c:pt>
                <c:pt idx="3">
                  <c:v>0.98</c:v>
                </c:pt>
                <c:pt idx="4">
                  <c:v>0.98353909465020573</c:v>
                </c:pt>
                <c:pt idx="5">
                  <c:v>0.99382716049382713</c:v>
                </c:pt>
                <c:pt idx="6">
                  <c:v>0.38378378378378381</c:v>
                </c:pt>
                <c:pt idx="7">
                  <c:v>0.57027027027027022</c:v>
                </c:pt>
                <c:pt idx="8">
                  <c:v>0.56216216216216219</c:v>
                </c:pt>
                <c:pt idx="9">
                  <c:v>0.45479452054794522</c:v>
                </c:pt>
                <c:pt idx="10">
                  <c:v>0.55813953488372092</c:v>
                </c:pt>
                <c:pt idx="11">
                  <c:v>0.67305061559507529</c:v>
                </c:pt>
                <c:pt idx="12">
                  <c:v>0.69220246238030092</c:v>
                </c:pt>
                <c:pt idx="13">
                  <c:v>0.8</c:v>
                </c:pt>
                <c:pt idx="14">
                  <c:v>0.8405405405405405</c:v>
                </c:pt>
                <c:pt idx="15">
                  <c:v>0.92992700729927003</c:v>
                </c:pt>
                <c:pt idx="16">
                  <c:v>0.93731778425655976</c:v>
                </c:pt>
                <c:pt idx="17">
                  <c:v>0.9708454810495627</c:v>
                </c:pt>
                <c:pt idx="18">
                  <c:v>0.98542274052478129</c:v>
                </c:pt>
                <c:pt idx="19">
                  <c:v>0.9513513513513514</c:v>
                </c:pt>
                <c:pt idx="20">
                  <c:v>0.9513513513513514</c:v>
                </c:pt>
                <c:pt idx="21">
                  <c:v>0.956661316211878</c:v>
                </c:pt>
                <c:pt idx="22">
                  <c:v>0.9839486356340289</c:v>
                </c:pt>
                <c:pt idx="23">
                  <c:v>0.9791332263242376</c:v>
                </c:pt>
                <c:pt idx="24">
                  <c:v>0.7944444444444444</c:v>
                </c:pt>
                <c:pt idx="25">
                  <c:v>0.82222222222222219</c:v>
                </c:pt>
                <c:pt idx="26">
                  <c:v>0.88423153692614775</c:v>
                </c:pt>
                <c:pt idx="27">
                  <c:v>0.9021956087824351</c:v>
                </c:pt>
                <c:pt idx="28">
                  <c:v>0.95209580838323349</c:v>
                </c:pt>
                <c:pt idx="29">
                  <c:v>0.68571428571428572</c:v>
                </c:pt>
                <c:pt idx="30">
                  <c:v>0.86445012787723785</c:v>
                </c:pt>
                <c:pt idx="31">
                  <c:v>0.45833333333333331</c:v>
                </c:pt>
                <c:pt idx="32">
                  <c:v>0.53333333333333333</c:v>
                </c:pt>
                <c:pt idx="33">
                  <c:v>0.51666666666666672</c:v>
                </c:pt>
                <c:pt idx="34">
                  <c:v>0.50927487352445189</c:v>
                </c:pt>
                <c:pt idx="35">
                  <c:v>0.55817875210792578</c:v>
                </c:pt>
                <c:pt idx="36">
                  <c:v>0.55649241146711637</c:v>
                </c:pt>
                <c:pt idx="37">
                  <c:v>0.58178752107925802</c:v>
                </c:pt>
                <c:pt idx="38">
                  <c:v>0.82162162162162167</c:v>
                </c:pt>
                <c:pt idx="39">
                  <c:v>0.76216216216216215</c:v>
                </c:pt>
                <c:pt idx="40">
                  <c:v>0.69787234042553192</c:v>
                </c:pt>
                <c:pt idx="41">
                  <c:v>0.84042553191489366</c:v>
                </c:pt>
                <c:pt idx="42">
                  <c:v>0.28055555555555556</c:v>
                </c:pt>
                <c:pt idx="43">
                  <c:v>0.40555555555555556</c:v>
                </c:pt>
                <c:pt idx="44">
                  <c:v>0.44819277108433736</c:v>
                </c:pt>
                <c:pt idx="45">
                  <c:v>0.49038461538461536</c:v>
                </c:pt>
                <c:pt idx="46">
                  <c:v>0.66346153846153844</c:v>
                </c:pt>
                <c:pt idx="47">
                  <c:v>0.74722222222222223</c:v>
                </c:pt>
                <c:pt idx="48">
                  <c:v>0.71111111111111114</c:v>
                </c:pt>
                <c:pt idx="49">
                  <c:v>0.82948490230905858</c:v>
                </c:pt>
                <c:pt idx="50">
                  <c:v>0.81349911190053281</c:v>
                </c:pt>
                <c:pt idx="51">
                  <c:v>0.77442273534635875</c:v>
                </c:pt>
                <c:pt idx="52">
                  <c:v>0.8579040852575488</c:v>
                </c:pt>
                <c:pt idx="53">
                  <c:v>0.91843971631205679</c:v>
                </c:pt>
                <c:pt idx="54">
                  <c:v>0.63055555555555554</c:v>
                </c:pt>
                <c:pt idx="55">
                  <c:v>0.8</c:v>
                </c:pt>
                <c:pt idx="56">
                  <c:v>0.83500717360114773</c:v>
                </c:pt>
                <c:pt idx="57">
                  <c:v>0.71162123385939746</c:v>
                </c:pt>
                <c:pt idx="58">
                  <c:v>0.86389684813753587</c:v>
                </c:pt>
                <c:pt idx="59">
                  <c:v>0.89828080229226359</c:v>
                </c:pt>
                <c:pt idx="60">
                  <c:v>0.14054054054054055</c:v>
                </c:pt>
                <c:pt idx="61">
                  <c:v>0.22972972972972974</c:v>
                </c:pt>
                <c:pt idx="62">
                  <c:v>0.16756756756756758</c:v>
                </c:pt>
                <c:pt idx="63">
                  <c:v>0.16248153618906944</c:v>
                </c:pt>
                <c:pt idx="64">
                  <c:v>0.22895125553914328</c:v>
                </c:pt>
                <c:pt idx="65">
                  <c:v>0.30576070901033975</c:v>
                </c:pt>
                <c:pt idx="66">
                  <c:v>0.30280649926144754</c:v>
                </c:pt>
                <c:pt idx="67">
                  <c:v>0.3087149187592319</c:v>
                </c:pt>
                <c:pt idx="68">
                  <c:v>0.32791728212703103</c:v>
                </c:pt>
                <c:pt idx="69">
                  <c:v>0.14736842105263157</c:v>
                </c:pt>
                <c:pt idx="70">
                  <c:v>0.21203438395415472</c:v>
                </c:pt>
                <c:pt idx="71">
                  <c:v>0.23065902578796563</c:v>
                </c:pt>
                <c:pt idx="72">
                  <c:v>0.20630372492836677</c:v>
                </c:pt>
                <c:pt idx="73">
                  <c:v>0.27650429799426934</c:v>
                </c:pt>
                <c:pt idx="74">
                  <c:v>0.24210526315789474</c:v>
                </c:pt>
                <c:pt idx="75">
                  <c:v>0.34111310592459604</c:v>
                </c:pt>
                <c:pt idx="76">
                  <c:v>0.28494623655913981</c:v>
                </c:pt>
                <c:pt idx="77">
                  <c:v>8.6842105263157901E-2</c:v>
                </c:pt>
                <c:pt idx="78">
                  <c:v>0.19473684210526315</c:v>
                </c:pt>
                <c:pt idx="79">
                  <c:v>9.2105263157894732E-2</c:v>
                </c:pt>
                <c:pt idx="80">
                  <c:v>8.1277213352685049E-2</c:v>
                </c:pt>
                <c:pt idx="81">
                  <c:v>0.13062409288824384</c:v>
                </c:pt>
                <c:pt idx="82">
                  <c:v>0.17826086956521739</c:v>
                </c:pt>
                <c:pt idx="83">
                  <c:v>0.19565217391304349</c:v>
                </c:pt>
                <c:pt idx="84">
                  <c:v>0.18840579710144928</c:v>
                </c:pt>
                <c:pt idx="85">
                  <c:v>1.6216216216216217E-2</c:v>
                </c:pt>
                <c:pt idx="86">
                  <c:v>2.1621621621621623E-2</c:v>
                </c:pt>
                <c:pt idx="87">
                  <c:v>3.6585365853658534E-2</c:v>
                </c:pt>
                <c:pt idx="88">
                  <c:v>5.4794520547945202E-2</c:v>
                </c:pt>
                <c:pt idx="89">
                  <c:v>5.3231939163498096E-2</c:v>
                </c:pt>
                <c:pt idx="90">
                  <c:v>3.3333333333333335E-3</c:v>
                </c:pt>
                <c:pt idx="91">
                  <c:v>1.5625E-2</c:v>
                </c:pt>
                <c:pt idx="92">
                  <c:v>1.1594202898550725E-2</c:v>
                </c:pt>
                <c:pt idx="93">
                  <c:v>1.3333333333333334E-2</c:v>
                </c:pt>
                <c:pt idx="94">
                  <c:v>2.8169014084507044E-3</c:v>
                </c:pt>
                <c:pt idx="95">
                  <c:v>2.5352112676056339E-2</c:v>
                </c:pt>
                <c:pt idx="96">
                  <c:v>0.04</c:v>
                </c:pt>
                <c:pt idx="97">
                  <c:v>2.3809523809523808E-2</c:v>
                </c:pt>
                <c:pt idx="98">
                  <c:v>3.0456852791878174E-2</c:v>
                </c:pt>
                <c:pt idx="99">
                  <c:v>0.10152284263959391</c:v>
                </c:pt>
                <c:pt idx="100">
                  <c:v>4.6875E-2</c:v>
                </c:pt>
                <c:pt idx="101">
                  <c:v>6.5625000000000003E-2</c:v>
                </c:pt>
                <c:pt idx="102">
                  <c:v>0.21377672209026127</c:v>
                </c:pt>
                <c:pt idx="103">
                  <c:v>1.3888888888888888E-2</c:v>
                </c:pt>
                <c:pt idx="104">
                  <c:v>4.7222222222222221E-2</c:v>
                </c:pt>
                <c:pt idx="105">
                  <c:v>3.888888888888889E-2</c:v>
                </c:pt>
                <c:pt idx="106">
                  <c:v>2.9310344827586206E-2</c:v>
                </c:pt>
                <c:pt idx="107">
                  <c:v>4.4750430292598967E-2</c:v>
                </c:pt>
                <c:pt idx="108">
                  <c:v>6.1962134251290879E-2</c:v>
                </c:pt>
                <c:pt idx="109">
                  <c:v>0.153184165232358</c:v>
                </c:pt>
                <c:pt idx="110">
                  <c:v>0.87142857142857144</c:v>
                </c:pt>
                <c:pt idx="111">
                  <c:v>0.9434389140271493</c:v>
                </c:pt>
                <c:pt idx="112">
                  <c:v>0.3</c:v>
                </c:pt>
                <c:pt idx="113">
                  <c:v>0.25526315789473686</c:v>
                </c:pt>
                <c:pt idx="114">
                  <c:v>0.31578947368421051</c:v>
                </c:pt>
                <c:pt idx="115">
                  <c:v>0.35468749999999999</c:v>
                </c:pt>
                <c:pt idx="116">
                  <c:v>0.4375</c:v>
                </c:pt>
                <c:pt idx="117">
                  <c:v>0.40405616224648988</c:v>
                </c:pt>
                <c:pt idx="118">
                  <c:v>0.46645865834633388</c:v>
                </c:pt>
                <c:pt idx="119">
                  <c:v>0.44929797191887677</c:v>
                </c:pt>
                <c:pt idx="120">
                  <c:v>0.27837837837837837</c:v>
                </c:pt>
                <c:pt idx="121">
                  <c:v>0.36216216216216218</c:v>
                </c:pt>
                <c:pt idx="122">
                  <c:v>0.3108108108108108</c:v>
                </c:pt>
                <c:pt idx="123">
                  <c:v>0.30516431924882631</c:v>
                </c:pt>
                <c:pt idx="124">
                  <c:v>0.41718749999999999</c:v>
                </c:pt>
                <c:pt idx="125">
                  <c:v>0.4609375</c:v>
                </c:pt>
                <c:pt idx="126">
                  <c:v>0.46875</c:v>
                </c:pt>
                <c:pt idx="127">
                  <c:v>0.18157894736842106</c:v>
                </c:pt>
                <c:pt idx="128">
                  <c:v>0.2868421052631579</c:v>
                </c:pt>
                <c:pt idx="129">
                  <c:v>0.23684210526315788</c:v>
                </c:pt>
                <c:pt idx="130">
                  <c:v>0.24029850746268658</c:v>
                </c:pt>
                <c:pt idx="131">
                  <c:v>0.38059701492537312</c:v>
                </c:pt>
                <c:pt idx="132">
                  <c:v>0.375</c:v>
                </c:pt>
                <c:pt idx="133">
                  <c:v>0.35863095238095238</c:v>
                </c:pt>
                <c:pt idx="134">
                  <c:v>0.39136904761904762</c:v>
                </c:pt>
                <c:pt idx="135">
                  <c:v>0.24736842105263157</c:v>
                </c:pt>
                <c:pt idx="136">
                  <c:v>0.32894736842105265</c:v>
                </c:pt>
                <c:pt idx="137">
                  <c:v>0.4026315789473684</c:v>
                </c:pt>
                <c:pt idx="138">
                  <c:v>0.31451612903225806</c:v>
                </c:pt>
                <c:pt idx="139">
                  <c:v>0.38548387096774195</c:v>
                </c:pt>
                <c:pt idx="140">
                  <c:v>0.49516129032258066</c:v>
                </c:pt>
                <c:pt idx="141">
                  <c:v>0.53870967741935483</c:v>
                </c:pt>
                <c:pt idx="142">
                  <c:v>0.54677419354838708</c:v>
                </c:pt>
                <c:pt idx="143">
                  <c:v>0.4756756756756757</c:v>
                </c:pt>
                <c:pt idx="144">
                  <c:v>0.35405405405405405</c:v>
                </c:pt>
                <c:pt idx="145">
                  <c:v>0.34982332155477031</c:v>
                </c:pt>
                <c:pt idx="146">
                  <c:v>0.45406360424028269</c:v>
                </c:pt>
                <c:pt idx="147">
                  <c:v>0.4628975265017668</c:v>
                </c:pt>
                <c:pt idx="148">
                  <c:v>0.47703180212014135</c:v>
                </c:pt>
                <c:pt idx="149">
                  <c:v>4.1379310344827586E-2</c:v>
                </c:pt>
                <c:pt idx="150">
                  <c:v>0.13738019169329074</c:v>
                </c:pt>
                <c:pt idx="151">
                  <c:v>2.9729729729729731E-2</c:v>
                </c:pt>
                <c:pt idx="152">
                  <c:v>4.0540540540540543E-2</c:v>
                </c:pt>
                <c:pt idx="153">
                  <c:v>0.18548387096774194</c:v>
                </c:pt>
                <c:pt idx="154">
                  <c:v>3.5211267605633804E-2</c:v>
                </c:pt>
                <c:pt idx="155">
                  <c:v>0.13732394366197184</c:v>
                </c:pt>
                <c:pt idx="156">
                  <c:v>6.5789473684210523E-2</c:v>
                </c:pt>
                <c:pt idx="157">
                  <c:v>6.3157894736842107E-2</c:v>
                </c:pt>
                <c:pt idx="158">
                  <c:v>0.10263157894736842</c:v>
                </c:pt>
                <c:pt idx="159">
                  <c:v>0.11315789473684211</c:v>
                </c:pt>
                <c:pt idx="160">
                  <c:v>0.14760147601476015</c:v>
                </c:pt>
                <c:pt idx="161">
                  <c:v>0.18450184501845018</c:v>
                </c:pt>
                <c:pt idx="162">
                  <c:v>0.22693726937269373</c:v>
                </c:pt>
                <c:pt idx="163">
                  <c:v>7.8947368421052634E-3</c:v>
                </c:pt>
                <c:pt idx="164">
                  <c:v>5.263157894736842E-3</c:v>
                </c:pt>
                <c:pt idx="165">
                  <c:v>2.631578947368421E-3</c:v>
                </c:pt>
                <c:pt idx="166">
                  <c:v>2.1052631578947368E-2</c:v>
                </c:pt>
                <c:pt idx="167">
                  <c:v>7.7519379844961239E-3</c:v>
                </c:pt>
                <c:pt idx="168">
                  <c:v>1.8604651162790697E-2</c:v>
                </c:pt>
                <c:pt idx="169">
                  <c:v>6.6666666666666666E-2</c:v>
                </c:pt>
                <c:pt idx="170">
                  <c:v>0.54113924050632911</c:v>
                </c:pt>
                <c:pt idx="171">
                  <c:v>0.66561514195583593</c:v>
                </c:pt>
                <c:pt idx="172">
                  <c:v>0.72812500000000002</c:v>
                </c:pt>
                <c:pt idx="173">
                  <c:v>0.82187500000000002</c:v>
                </c:pt>
                <c:pt idx="174">
                  <c:v>0.76297577854671284</c:v>
                </c:pt>
                <c:pt idx="175">
                  <c:v>0.88927335640138405</c:v>
                </c:pt>
                <c:pt idx="176">
                  <c:v>0.82210708117443865</c:v>
                </c:pt>
                <c:pt idx="177">
                  <c:v>8.4375000000000006E-2</c:v>
                </c:pt>
                <c:pt idx="178">
                  <c:v>0.11874999999999999</c:v>
                </c:pt>
                <c:pt idx="179">
                  <c:v>0.17824074074074073</c:v>
                </c:pt>
                <c:pt idx="180">
                  <c:v>7.1052631578947367E-2</c:v>
                </c:pt>
                <c:pt idx="181">
                  <c:v>0.11052631578947368</c:v>
                </c:pt>
                <c:pt idx="182">
                  <c:v>0.10344827586206896</c:v>
                </c:pt>
                <c:pt idx="183">
                  <c:v>0.15137614678899083</c:v>
                </c:pt>
                <c:pt idx="184">
                  <c:v>0.28669724770642202</c:v>
                </c:pt>
                <c:pt idx="185">
                  <c:v>0.1736842105263158</c:v>
                </c:pt>
                <c:pt idx="186">
                  <c:v>0.20263157894736841</c:v>
                </c:pt>
                <c:pt idx="187">
                  <c:v>0.24210526315789474</c:v>
                </c:pt>
                <c:pt idx="188">
                  <c:v>0.46231155778894473</c:v>
                </c:pt>
                <c:pt idx="189">
                  <c:v>0.43718592964824121</c:v>
                </c:pt>
                <c:pt idx="190">
                  <c:v>0.44816053511705684</c:v>
                </c:pt>
                <c:pt idx="191">
                  <c:v>0.3511705685618729</c:v>
                </c:pt>
                <c:pt idx="192">
                  <c:v>0.51081081081081081</c:v>
                </c:pt>
                <c:pt idx="193">
                  <c:v>0.44289044289044288</c:v>
                </c:pt>
                <c:pt idx="194">
                  <c:v>0.82983682983682983</c:v>
                </c:pt>
                <c:pt idx="195">
                  <c:v>0.12105263157894737</c:v>
                </c:pt>
                <c:pt idx="196">
                  <c:v>0.12631578947368421</c:v>
                </c:pt>
                <c:pt idx="197">
                  <c:v>0.10526315789473684</c:v>
                </c:pt>
                <c:pt idx="198">
                  <c:v>8.387096774193549E-2</c:v>
                </c:pt>
                <c:pt idx="199">
                  <c:v>0.10466988727858294</c:v>
                </c:pt>
                <c:pt idx="200">
                  <c:v>0.1320450885668277</c:v>
                </c:pt>
                <c:pt idx="201">
                  <c:v>0.13421052631578947</c:v>
                </c:pt>
                <c:pt idx="202">
                  <c:v>0.1</c:v>
                </c:pt>
                <c:pt idx="203">
                  <c:v>0.10526315789473684</c:v>
                </c:pt>
                <c:pt idx="204">
                  <c:v>0.12542372881355932</c:v>
                </c:pt>
                <c:pt idx="205">
                  <c:v>0.13728813559322034</c:v>
                </c:pt>
                <c:pt idx="206">
                  <c:v>0.1440677966101695</c:v>
                </c:pt>
                <c:pt idx="207">
                  <c:v>8.2500000000000004E-2</c:v>
                </c:pt>
                <c:pt idx="208">
                  <c:v>0.24172185430463577</c:v>
                </c:pt>
                <c:pt idx="209">
                  <c:v>0.14594594594594595</c:v>
                </c:pt>
                <c:pt idx="210">
                  <c:v>0.13783783783783785</c:v>
                </c:pt>
                <c:pt idx="211">
                  <c:v>0.1864864864864865</c:v>
                </c:pt>
                <c:pt idx="212">
                  <c:v>0.22432432432432434</c:v>
                </c:pt>
                <c:pt idx="213">
                  <c:v>0.13243243243243244</c:v>
                </c:pt>
                <c:pt idx="214">
                  <c:v>0.15945945945945947</c:v>
                </c:pt>
                <c:pt idx="215">
                  <c:v>0.11081081081081082</c:v>
                </c:pt>
                <c:pt idx="216">
                  <c:v>9.9815157116451017E-2</c:v>
                </c:pt>
                <c:pt idx="217">
                  <c:v>0.11645101663585952</c:v>
                </c:pt>
                <c:pt idx="218">
                  <c:v>0.14048059149722736</c:v>
                </c:pt>
                <c:pt idx="219">
                  <c:v>0.18299445471349354</c:v>
                </c:pt>
                <c:pt idx="220">
                  <c:v>0.21996303142329021</c:v>
                </c:pt>
                <c:pt idx="221">
                  <c:v>0.22181146025878004</c:v>
                </c:pt>
                <c:pt idx="222">
                  <c:v>0.27171903881700554</c:v>
                </c:pt>
                <c:pt idx="223">
                  <c:v>0.30073800738007378</c:v>
                </c:pt>
                <c:pt idx="224">
                  <c:v>0.28782287822878228</c:v>
                </c:pt>
                <c:pt idx="225">
                  <c:v>0.26568265682656828</c:v>
                </c:pt>
                <c:pt idx="226">
                  <c:v>0.21771217712177121</c:v>
                </c:pt>
                <c:pt idx="227">
                  <c:v>0.22878228782287824</c:v>
                </c:pt>
                <c:pt idx="228">
                  <c:v>0.29520295202952029</c:v>
                </c:pt>
                <c:pt idx="229">
                  <c:v>0.13111111111111112</c:v>
                </c:pt>
                <c:pt idx="230">
                  <c:v>0.15901639344262294</c:v>
                </c:pt>
                <c:pt idx="231">
                  <c:v>0.24549918166939444</c:v>
                </c:pt>
                <c:pt idx="232">
                  <c:v>2.6315789473684209E-2</c:v>
                </c:pt>
                <c:pt idx="233">
                  <c:v>3.1578947368421054E-2</c:v>
                </c:pt>
                <c:pt idx="234">
                  <c:v>3.2208588957055216E-2</c:v>
                </c:pt>
                <c:pt idx="235">
                  <c:v>4.4478527607361963E-2</c:v>
                </c:pt>
                <c:pt idx="236">
                  <c:v>7.6687116564417179E-2</c:v>
                </c:pt>
                <c:pt idx="237">
                  <c:v>8.4355828220858894E-2</c:v>
                </c:pt>
                <c:pt idx="238">
                  <c:v>2.368421052631579E-2</c:v>
                </c:pt>
                <c:pt idx="239">
                  <c:v>2.1052631578947368E-2</c:v>
                </c:pt>
                <c:pt idx="240">
                  <c:v>2.6315789473684209E-2</c:v>
                </c:pt>
                <c:pt idx="241">
                  <c:v>7.2568940493468797E-3</c:v>
                </c:pt>
                <c:pt idx="242">
                  <c:v>2.0319303338171262E-2</c:v>
                </c:pt>
                <c:pt idx="243">
                  <c:v>3.6284470246734396E-2</c:v>
                </c:pt>
                <c:pt idx="244">
                  <c:v>4.2089985486211901E-2</c:v>
                </c:pt>
                <c:pt idx="245">
                  <c:v>3.483309143686502E-2</c:v>
                </c:pt>
                <c:pt idx="246">
                  <c:v>3.0478955007256895E-2</c:v>
                </c:pt>
                <c:pt idx="247">
                  <c:v>3.3381712626995644E-2</c:v>
                </c:pt>
                <c:pt idx="248">
                  <c:v>2.368421052631579E-2</c:v>
                </c:pt>
                <c:pt idx="249">
                  <c:v>2.368421052631579E-2</c:v>
                </c:pt>
                <c:pt idx="250">
                  <c:v>2.4916943521594685E-2</c:v>
                </c:pt>
                <c:pt idx="251">
                  <c:v>4.975124378109453E-2</c:v>
                </c:pt>
                <c:pt idx="252">
                  <c:v>5.6384742951907131E-2</c:v>
                </c:pt>
                <c:pt idx="253">
                  <c:v>5.9701492537313432E-2</c:v>
                </c:pt>
                <c:pt idx="254">
                  <c:v>7.8947368421052634E-3</c:v>
                </c:pt>
                <c:pt idx="255">
                  <c:v>2.1052631578947368E-2</c:v>
                </c:pt>
                <c:pt idx="256">
                  <c:v>2.8947368421052631E-2</c:v>
                </c:pt>
                <c:pt idx="257">
                  <c:v>5.306799336650083E-2</c:v>
                </c:pt>
                <c:pt idx="258">
                  <c:v>8.2781456953642391E-2</c:v>
                </c:pt>
                <c:pt idx="259">
                  <c:v>9.7682119205298013E-2</c:v>
                </c:pt>
                <c:pt idx="260">
                  <c:v>0.19205298013245034</c:v>
                </c:pt>
                <c:pt idx="261">
                  <c:v>0</c:v>
                </c:pt>
                <c:pt idx="262">
                  <c:v>5.263157894736842E-3</c:v>
                </c:pt>
                <c:pt idx="263">
                  <c:v>2.631578947368421E-3</c:v>
                </c:pt>
                <c:pt idx="264">
                  <c:v>5.6603773584905656E-3</c:v>
                </c:pt>
                <c:pt idx="265">
                  <c:v>5.6497175141242938E-3</c:v>
                </c:pt>
                <c:pt idx="266">
                  <c:v>3.7664783427495289E-2</c:v>
                </c:pt>
                <c:pt idx="267">
                  <c:v>0.44324324324324327</c:v>
                </c:pt>
                <c:pt idx="268">
                  <c:v>0.48378378378378378</c:v>
                </c:pt>
                <c:pt idx="269">
                  <c:v>0.37968750000000001</c:v>
                </c:pt>
                <c:pt idx="270">
                  <c:v>0.421875</c:v>
                </c:pt>
                <c:pt idx="271">
                  <c:v>0.52812499999999996</c:v>
                </c:pt>
                <c:pt idx="272">
                  <c:v>0.54602184087363492</c:v>
                </c:pt>
                <c:pt idx="273">
                  <c:v>8.6842105263157901E-2</c:v>
                </c:pt>
                <c:pt idx="274">
                  <c:v>5.7894736842105263E-2</c:v>
                </c:pt>
                <c:pt idx="275">
                  <c:v>7.6315789473684212E-2</c:v>
                </c:pt>
                <c:pt idx="276">
                  <c:v>0.11052631578947368</c:v>
                </c:pt>
                <c:pt idx="277">
                  <c:v>0.10238907849829351</c:v>
                </c:pt>
                <c:pt idx="278">
                  <c:v>0.11433447098976109</c:v>
                </c:pt>
                <c:pt idx="279">
                  <c:v>0.21621621621621623</c:v>
                </c:pt>
                <c:pt idx="280">
                  <c:v>0.3</c:v>
                </c:pt>
                <c:pt idx="281">
                  <c:v>0.42972972972972973</c:v>
                </c:pt>
                <c:pt idx="282">
                  <c:v>0.49459459459459459</c:v>
                </c:pt>
                <c:pt idx="283">
                  <c:v>0.41351351351351351</c:v>
                </c:pt>
                <c:pt idx="284">
                  <c:v>0.30163447251114411</c:v>
                </c:pt>
                <c:pt idx="285">
                  <c:v>0.23922734026745915</c:v>
                </c:pt>
                <c:pt idx="286">
                  <c:v>0.21693907875185736</c:v>
                </c:pt>
                <c:pt idx="287">
                  <c:v>0.21248142644873699</c:v>
                </c:pt>
                <c:pt idx="288">
                  <c:v>0.22288261515601784</c:v>
                </c:pt>
                <c:pt idx="289">
                  <c:v>0.30460624071322434</c:v>
                </c:pt>
                <c:pt idx="290">
                  <c:v>0.41158989598811291</c:v>
                </c:pt>
                <c:pt idx="291">
                  <c:v>0.43536404160475484</c:v>
                </c:pt>
                <c:pt idx="292">
                  <c:v>0.43982169390787518</c:v>
                </c:pt>
                <c:pt idx="293">
                  <c:v>0.43323442136498519</c:v>
                </c:pt>
                <c:pt idx="294">
                  <c:v>0.43916913946587538</c:v>
                </c:pt>
                <c:pt idx="295">
                  <c:v>0.43768545994065283</c:v>
                </c:pt>
                <c:pt idx="296">
                  <c:v>0.41988130563798221</c:v>
                </c:pt>
                <c:pt idx="297">
                  <c:v>0.43323442136498519</c:v>
                </c:pt>
                <c:pt idx="298">
                  <c:v>0.40504451038575667</c:v>
                </c:pt>
                <c:pt idx="299">
                  <c:v>0.3857566765578635</c:v>
                </c:pt>
                <c:pt idx="300">
                  <c:v>0.39169139465875369</c:v>
                </c:pt>
                <c:pt idx="301">
                  <c:v>0.33055555555555555</c:v>
                </c:pt>
                <c:pt idx="302">
                  <c:v>0.25</c:v>
                </c:pt>
                <c:pt idx="303">
                  <c:v>0.25555555555555554</c:v>
                </c:pt>
                <c:pt idx="304">
                  <c:v>0.24927536231884059</c:v>
                </c:pt>
                <c:pt idx="305">
                  <c:v>0.38260869565217392</c:v>
                </c:pt>
                <c:pt idx="306">
                  <c:v>0.38929088277858176</c:v>
                </c:pt>
              </c:numCache>
            </c:numRef>
          </c:xVal>
          <c:yVal>
            <c:numRef>
              <c:f>RaceWorksheet!$B$2:$B$308</c:f>
              <c:numCache>
                <c:formatCode>0.0%</c:formatCode>
                <c:ptCount val="307"/>
                <c:pt idx="0">
                  <c:v>0.28825622775800713</c:v>
                </c:pt>
                <c:pt idx="1">
                  <c:v>0.50255102040816324</c:v>
                </c:pt>
                <c:pt idx="2">
                  <c:v>0.52771084337349394</c:v>
                </c:pt>
                <c:pt idx="3">
                  <c:v>0.19202898550724637</c:v>
                </c:pt>
                <c:pt idx="4">
                  <c:v>0.33865814696485624</c:v>
                </c:pt>
                <c:pt idx="5">
                  <c:v>0.32214765100671139</c:v>
                </c:pt>
                <c:pt idx="6">
                  <c:v>0.27580071174377224</c:v>
                </c:pt>
                <c:pt idx="7">
                  <c:v>0.32641509433962262</c:v>
                </c:pt>
                <c:pt idx="8">
                  <c:v>0.39554794520547948</c:v>
                </c:pt>
                <c:pt idx="9">
                  <c:v>0.46345514950166111</c:v>
                </c:pt>
                <c:pt idx="10">
                  <c:v>0.20377358490566039</c:v>
                </c:pt>
                <c:pt idx="11">
                  <c:v>0.34545454545454546</c:v>
                </c:pt>
                <c:pt idx="12">
                  <c:v>0.42532467532467533</c:v>
                </c:pt>
                <c:pt idx="13">
                  <c:v>0.36428571428571427</c:v>
                </c:pt>
                <c:pt idx="14">
                  <c:v>0.41233766233766234</c:v>
                </c:pt>
                <c:pt idx="15">
                  <c:v>0.55347091932457781</c:v>
                </c:pt>
                <c:pt idx="16">
                  <c:v>0.50965250965250963</c:v>
                </c:pt>
                <c:pt idx="17">
                  <c:v>0.42936802973977695</c:v>
                </c:pt>
                <c:pt idx="18">
                  <c:v>0.48173913043478261</c:v>
                </c:pt>
                <c:pt idx="19">
                  <c:v>0.43809523809523809</c:v>
                </c:pt>
                <c:pt idx="20">
                  <c:v>0.5109717868338558</c:v>
                </c:pt>
                <c:pt idx="21">
                  <c:v>0.46365422396856582</c:v>
                </c:pt>
                <c:pt idx="22">
                  <c:v>0.41153846153846152</c:v>
                </c:pt>
                <c:pt idx="23">
                  <c:v>0.51214953271028041</c:v>
                </c:pt>
                <c:pt idx="24">
                  <c:v>0.19014084507042253</c:v>
                </c:pt>
                <c:pt idx="25">
                  <c:v>0.29375000000000001</c:v>
                </c:pt>
                <c:pt idx="26">
                  <c:v>0.38578680203045684</c:v>
                </c:pt>
                <c:pt idx="27">
                  <c:v>0.43718592964824121</c:v>
                </c:pt>
                <c:pt idx="28">
                  <c:v>0.43457943925233644</c:v>
                </c:pt>
                <c:pt idx="29">
                  <c:v>7.623318385650224E-2</c:v>
                </c:pt>
                <c:pt idx="30">
                  <c:v>9.0579710144927536E-2</c:v>
                </c:pt>
                <c:pt idx="31">
                  <c:v>0.14285714285714285</c:v>
                </c:pt>
                <c:pt idx="32">
                  <c:v>0.18253968253968253</c:v>
                </c:pt>
                <c:pt idx="33">
                  <c:v>0.1995841995841996</c:v>
                </c:pt>
                <c:pt idx="34">
                  <c:v>0.23890063424947147</c:v>
                </c:pt>
                <c:pt idx="35">
                  <c:v>0.24273858921161826</c:v>
                </c:pt>
                <c:pt idx="36">
                  <c:v>0.26771653543307089</c:v>
                </c:pt>
                <c:pt idx="37">
                  <c:v>0.41463414634146339</c:v>
                </c:pt>
                <c:pt idx="38">
                  <c:v>7.1428571428571425E-2</c:v>
                </c:pt>
                <c:pt idx="39">
                  <c:v>0.15131578947368421</c:v>
                </c:pt>
                <c:pt idx="40">
                  <c:v>0.20414201183431951</c:v>
                </c:pt>
                <c:pt idx="41">
                  <c:v>0.17628205128205129</c:v>
                </c:pt>
                <c:pt idx="42">
                  <c:v>0.25159235668789809</c:v>
                </c:pt>
                <c:pt idx="43">
                  <c:v>0.20567375886524822</c:v>
                </c:pt>
                <c:pt idx="44">
                  <c:v>0.31103678929765888</c:v>
                </c:pt>
                <c:pt idx="45">
                  <c:v>0.33972602739726027</c:v>
                </c:pt>
                <c:pt idx="46">
                  <c:v>0.31266149870801035</c:v>
                </c:pt>
                <c:pt idx="47">
                  <c:v>0.1729957805907173</c:v>
                </c:pt>
                <c:pt idx="48">
                  <c:v>0.21140939597315436</c:v>
                </c:pt>
                <c:pt idx="49">
                  <c:v>0.30490405117270791</c:v>
                </c:pt>
                <c:pt idx="50">
                  <c:v>0.35920177383592017</c:v>
                </c:pt>
                <c:pt idx="51">
                  <c:v>0.37723214285714285</c:v>
                </c:pt>
                <c:pt idx="52">
                  <c:v>0.4598698481561822</c:v>
                </c:pt>
                <c:pt idx="53">
                  <c:v>0.56576200417536537</c:v>
                </c:pt>
                <c:pt idx="54">
                  <c:v>0.15942028985507245</c:v>
                </c:pt>
                <c:pt idx="55">
                  <c:v>0.21779141104294478</c:v>
                </c:pt>
                <c:pt idx="56">
                  <c:v>0.38851351351351349</c:v>
                </c:pt>
                <c:pt idx="57">
                  <c:v>0.37591240875912407</c:v>
                </c:pt>
                <c:pt idx="58">
                  <c:v>0.45454545454545453</c:v>
                </c:pt>
                <c:pt idx="59">
                  <c:v>0.51223776223776218</c:v>
                </c:pt>
                <c:pt idx="60">
                  <c:v>4.5602605863192182E-2</c:v>
                </c:pt>
                <c:pt idx="61">
                  <c:v>7.7757685352622063E-2</c:v>
                </c:pt>
                <c:pt idx="62">
                  <c:v>0.12267657992565056</c:v>
                </c:pt>
                <c:pt idx="63">
                  <c:v>6.8493150684931503E-2</c:v>
                </c:pt>
                <c:pt idx="64">
                  <c:v>0.12587412587412589</c:v>
                </c:pt>
                <c:pt idx="65">
                  <c:v>3.7815126050420166E-2</c:v>
                </c:pt>
                <c:pt idx="66">
                  <c:v>5.9800664451827246E-2</c:v>
                </c:pt>
                <c:pt idx="67">
                  <c:v>5.1546391752577317E-2</c:v>
                </c:pt>
                <c:pt idx="68">
                  <c:v>6.8783068783068779E-2</c:v>
                </c:pt>
                <c:pt idx="69">
                  <c:v>0.11153846153846154</c:v>
                </c:pt>
                <c:pt idx="70">
                  <c:v>0.14173228346456693</c:v>
                </c:pt>
                <c:pt idx="71">
                  <c:v>0.11594202898550725</c:v>
                </c:pt>
                <c:pt idx="72">
                  <c:v>0.10211946050096339</c:v>
                </c:pt>
                <c:pt idx="73">
                  <c:v>0.1270718232044199</c:v>
                </c:pt>
                <c:pt idx="74">
                  <c:v>3.4615384615384617E-2</c:v>
                </c:pt>
                <c:pt idx="75">
                  <c:v>2.5236593059936908E-2</c:v>
                </c:pt>
                <c:pt idx="76">
                  <c:v>2.2151898734177215E-2</c:v>
                </c:pt>
                <c:pt idx="77">
                  <c:v>4.3103448275862072E-2</c:v>
                </c:pt>
                <c:pt idx="78">
                  <c:v>5.719557195571956E-2</c:v>
                </c:pt>
                <c:pt idx="79">
                  <c:v>7.7358490566037733E-2</c:v>
                </c:pt>
                <c:pt idx="80">
                  <c:v>8.0459770114942528E-2</c:v>
                </c:pt>
                <c:pt idx="81">
                  <c:v>7.407407407407407E-2</c:v>
                </c:pt>
                <c:pt idx="82">
                  <c:v>5.4421768707482991E-2</c:v>
                </c:pt>
                <c:pt idx="83">
                  <c:v>0.12056737588652482</c:v>
                </c:pt>
                <c:pt idx="84">
                  <c:v>0.10879629629629629</c:v>
                </c:pt>
                <c:pt idx="85">
                  <c:v>2.4096385542168676E-2</c:v>
                </c:pt>
                <c:pt idx="86">
                  <c:v>2.491103202846975E-2</c:v>
                </c:pt>
                <c:pt idx="87">
                  <c:v>1.7130620985010708E-2</c:v>
                </c:pt>
                <c:pt idx="88">
                  <c:v>1.6227180527383367E-2</c:v>
                </c:pt>
                <c:pt idx="89">
                  <c:v>3.7037037037037035E-2</c:v>
                </c:pt>
                <c:pt idx="90">
                  <c:v>1.3422818791946308E-2</c:v>
                </c:pt>
                <c:pt idx="91">
                  <c:v>2.2727272727272728E-2</c:v>
                </c:pt>
                <c:pt idx="92">
                  <c:v>4.0322580645161289E-3</c:v>
                </c:pt>
                <c:pt idx="93">
                  <c:v>1.8987341772151899E-2</c:v>
                </c:pt>
                <c:pt idx="94">
                  <c:v>1.0791366906474821E-2</c:v>
                </c:pt>
                <c:pt idx="95">
                  <c:v>1.4869888475836431E-2</c:v>
                </c:pt>
                <c:pt idx="96">
                  <c:v>1.5503875968992248E-2</c:v>
                </c:pt>
                <c:pt idx="97">
                  <c:v>1.2121212121212121E-2</c:v>
                </c:pt>
                <c:pt idx="98">
                  <c:v>1.7094017094017096E-2</c:v>
                </c:pt>
                <c:pt idx="99">
                  <c:v>6.25E-2</c:v>
                </c:pt>
                <c:pt idx="100">
                  <c:v>3.2967032967032968E-2</c:v>
                </c:pt>
                <c:pt idx="101">
                  <c:v>1.5873015873015872E-2</c:v>
                </c:pt>
                <c:pt idx="102">
                  <c:v>7.4433656957928807E-2</c:v>
                </c:pt>
                <c:pt idx="103">
                  <c:v>4.4642857142857144E-2</c:v>
                </c:pt>
                <c:pt idx="104">
                  <c:v>3.5335689045936397E-2</c:v>
                </c:pt>
                <c:pt idx="105">
                  <c:v>1.0452961672473868E-2</c:v>
                </c:pt>
                <c:pt idx="106">
                  <c:v>1.6949152542372881E-2</c:v>
                </c:pt>
                <c:pt idx="107">
                  <c:v>1.804123711340206E-2</c:v>
                </c:pt>
                <c:pt idx="108">
                  <c:v>1.5873015873015872E-2</c:v>
                </c:pt>
                <c:pt idx="109">
                  <c:v>4.9645390070921988E-2</c:v>
                </c:pt>
                <c:pt idx="110">
                  <c:v>8.9041095890410954E-2</c:v>
                </c:pt>
                <c:pt idx="111">
                  <c:v>0.14873417721518986</c:v>
                </c:pt>
                <c:pt idx="112">
                  <c:v>0.17647058823529413</c:v>
                </c:pt>
                <c:pt idx="113">
                  <c:v>0.12614678899082568</c:v>
                </c:pt>
                <c:pt idx="114">
                  <c:v>0.16166281755196305</c:v>
                </c:pt>
                <c:pt idx="115">
                  <c:v>0.23076923076923078</c:v>
                </c:pt>
                <c:pt idx="116">
                  <c:v>0.2405857740585774</c:v>
                </c:pt>
                <c:pt idx="117">
                  <c:v>0.28085106382978725</c:v>
                </c:pt>
                <c:pt idx="118">
                  <c:v>7.5539568345323743E-2</c:v>
                </c:pt>
                <c:pt idx="119">
                  <c:v>0.14423076923076922</c:v>
                </c:pt>
                <c:pt idx="120">
                  <c:v>0.14802631578947367</c:v>
                </c:pt>
                <c:pt idx="121">
                  <c:v>0.15303983228511531</c:v>
                </c:pt>
                <c:pt idx="122">
                  <c:v>0.16891891891891891</c:v>
                </c:pt>
                <c:pt idx="123">
                  <c:v>0.18142548596112312</c:v>
                </c:pt>
                <c:pt idx="124">
                  <c:v>0.23029045643153526</c:v>
                </c:pt>
                <c:pt idx="125">
                  <c:v>4.2857142857142858E-2</c:v>
                </c:pt>
                <c:pt idx="126">
                  <c:v>9.1194968553459113E-2</c:v>
                </c:pt>
                <c:pt idx="127">
                  <c:v>8.6567164179104483E-2</c:v>
                </c:pt>
                <c:pt idx="128">
                  <c:v>0.12024048096192384</c:v>
                </c:pt>
                <c:pt idx="129">
                  <c:v>0.17782909930715934</c:v>
                </c:pt>
                <c:pt idx="130">
                  <c:v>0.14655172413793102</c:v>
                </c:pt>
                <c:pt idx="131">
                  <c:v>0.14314516129032259</c:v>
                </c:pt>
                <c:pt idx="132">
                  <c:v>0.16380952380952382</c:v>
                </c:pt>
                <c:pt idx="133">
                  <c:v>0.12811387900355872</c:v>
                </c:pt>
                <c:pt idx="134">
                  <c:v>7.3825503355704702E-2</c:v>
                </c:pt>
                <c:pt idx="135">
                  <c:v>0.12871287128712872</c:v>
                </c:pt>
                <c:pt idx="136">
                  <c:v>0.16736401673640167</c:v>
                </c:pt>
                <c:pt idx="137">
                  <c:v>0.16279069767441862</c:v>
                </c:pt>
                <c:pt idx="138">
                  <c:v>0.12666666666666668</c:v>
                </c:pt>
                <c:pt idx="139">
                  <c:v>0.13389121338912133</c:v>
                </c:pt>
                <c:pt idx="140">
                  <c:v>0.14990138067061143</c:v>
                </c:pt>
                <c:pt idx="141">
                  <c:v>0.14864864864864866</c:v>
                </c:pt>
                <c:pt idx="142">
                  <c:v>0.13758389261744966</c:v>
                </c:pt>
                <c:pt idx="143">
                  <c:v>0.13300492610837439</c:v>
                </c:pt>
                <c:pt idx="144">
                  <c:v>0.18407960199004975</c:v>
                </c:pt>
                <c:pt idx="145">
                  <c:v>0.15468409586056645</c:v>
                </c:pt>
                <c:pt idx="146">
                  <c:v>0.18143459915611815</c:v>
                </c:pt>
                <c:pt idx="147">
                  <c:v>0.4101694915254237</c:v>
                </c:pt>
                <c:pt idx="148">
                  <c:v>0.51381215469613262</c:v>
                </c:pt>
                <c:pt idx="149">
                  <c:v>1.4018691588785047E-2</c:v>
                </c:pt>
                <c:pt idx="150">
                  <c:v>6.5502183406113537E-2</c:v>
                </c:pt>
                <c:pt idx="151">
                  <c:v>3.5874439461883408E-2</c:v>
                </c:pt>
                <c:pt idx="152">
                  <c:v>1.048951048951049E-2</c:v>
                </c:pt>
                <c:pt idx="153">
                  <c:v>7.8680203045685279E-2</c:v>
                </c:pt>
                <c:pt idx="154">
                  <c:v>1.1363636363636364E-2</c:v>
                </c:pt>
                <c:pt idx="155">
                  <c:v>3.7558685446009391E-2</c:v>
                </c:pt>
                <c:pt idx="156">
                  <c:v>0.04</c:v>
                </c:pt>
                <c:pt idx="157">
                  <c:v>2.6666666666666668E-2</c:v>
                </c:pt>
                <c:pt idx="158">
                  <c:v>7.3170731707317069E-2</c:v>
                </c:pt>
                <c:pt idx="159">
                  <c:v>3.9525691699604744E-2</c:v>
                </c:pt>
                <c:pt idx="160">
                  <c:v>7.909604519774012E-2</c:v>
                </c:pt>
                <c:pt idx="161">
                  <c:v>7.7142857142857138E-2</c:v>
                </c:pt>
                <c:pt idx="162">
                  <c:v>0.11051212938005391</c:v>
                </c:pt>
                <c:pt idx="163">
                  <c:v>1.9704433497536946E-2</c:v>
                </c:pt>
                <c:pt idx="164">
                  <c:v>1.0752688172043012E-2</c:v>
                </c:pt>
                <c:pt idx="165">
                  <c:v>3.1948881789137379E-3</c:v>
                </c:pt>
                <c:pt idx="166">
                  <c:v>9.8360655737704927E-3</c:v>
                </c:pt>
                <c:pt idx="167">
                  <c:v>1.4652014652014652E-2</c:v>
                </c:pt>
                <c:pt idx="168">
                  <c:v>6.0606060606060606E-3</c:v>
                </c:pt>
                <c:pt idx="169">
                  <c:v>2.4048096192384769E-2</c:v>
                </c:pt>
                <c:pt idx="170">
                  <c:v>0.13580246913580246</c:v>
                </c:pt>
                <c:pt idx="171">
                  <c:v>0.27586206896551724</c:v>
                </c:pt>
                <c:pt idx="172">
                  <c:v>0.30143540669856461</c:v>
                </c:pt>
                <c:pt idx="173">
                  <c:v>0.3288888888888889</c:v>
                </c:pt>
                <c:pt idx="174">
                  <c:v>0.28387096774193549</c:v>
                </c:pt>
                <c:pt idx="175">
                  <c:v>0.25</c:v>
                </c:pt>
                <c:pt idx="176">
                  <c:v>0.30290456431535268</c:v>
                </c:pt>
                <c:pt idx="177">
                  <c:v>2.5252525252525252E-2</c:v>
                </c:pt>
                <c:pt idx="178">
                  <c:v>3.90625E-2</c:v>
                </c:pt>
                <c:pt idx="179">
                  <c:v>7.0512820512820512E-2</c:v>
                </c:pt>
                <c:pt idx="180">
                  <c:v>2.8169014084507043E-2</c:v>
                </c:pt>
                <c:pt idx="181">
                  <c:v>4.1666666666666664E-2</c:v>
                </c:pt>
                <c:pt idx="182">
                  <c:v>2.7522935779816515E-2</c:v>
                </c:pt>
                <c:pt idx="183">
                  <c:v>6.2706270627062702E-2</c:v>
                </c:pt>
                <c:pt idx="184">
                  <c:v>0.12615384615384614</c:v>
                </c:pt>
                <c:pt idx="185">
                  <c:v>6.0728744939271252E-2</c:v>
                </c:pt>
                <c:pt idx="186">
                  <c:v>5.5737704918032788E-2</c:v>
                </c:pt>
                <c:pt idx="187">
                  <c:v>9.5238095238095233E-2</c:v>
                </c:pt>
                <c:pt idx="188">
                  <c:v>0.14962593516209477</c:v>
                </c:pt>
                <c:pt idx="189">
                  <c:v>0.19285714285714287</c:v>
                </c:pt>
                <c:pt idx="190">
                  <c:v>0.14141414141414141</c:v>
                </c:pt>
                <c:pt idx="191">
                  <c:v>0.14192139737991266</c:v>
                </c:pt>
                <c:pt idx="192">
                  <c:v>2.9962546816479401E-2</c:v>
                </c:pt>
                <c:pt idx="193">
                  <c:v>3.0864197530864196E-2</c:v>
                </c:pt>
                <c:pt idx="194">
                  <c:v>0.04</c:v>
                </c:pt>
                <c:pt idx="195">
                  <c:v>5.2631578947368418E-2</c:v>
                </c:pt>
                <c:pt idx="196">
                  <c:v>3.9215686274509803E-2</c:v>
                </c:pt>
                <c:pt idx="197">
                  <c:v>7.0393374741200831E-2</c:v>
                </c:pt>
                <c:pt idx="198">
                  <c:v>7.3943661971830985E-2</c:v>
                </c:pt>
                <c:pt idx="199">
                  <c:v>0.15160349854227406</c:v>
                </c:pt>
                <c:pt idx="200">
                  <c:v>0.35185185185185186</c:v>
                </c:pt>
                <c:pt idx="201">
                  <c:v>4.296875E-2</c:v>
                </c:pt>
                <c:pt idx="202">
                  <c:v>2.4734982332155476E-2</c:v>
                </c:pt>
                <c:pt idx="203">
                  <c:v>3.3898305084745763E-2</c:v>
                </c:pt>
                <c:pt idx="204">
                  <c:v>8.2589285714285712E-2</c:v>
                </c:pt>
                <c:pt idx="205">
                  <c:v>5.7279236276849645E-2</c:v>
                </c:pt>
                <c:pt idx="206">
                  <c:v>7.0422535211267609E-2</c:v>
                </c:pt>
                <c:pt idx="207">
                  <c:v>3.0201342281879196E-2</c:v>
                </c:pt>
                <c:pt idx="208">
                  <c:v>0.11502347417840375</c:v>
                </c:pt>
                <c:pt idx="209">
                  <c:v>6.8062827225130892E-2</c:v>
                </c:pt>
                <c:pt idx="210">
                  <c:v>3.5335689045936397E-2</c:v>
                </c:pt>
                <c:pt idx="211">
                  <c:v>6.8027210884353748E-2</c:v>
                </c:pt>
                <c:pt idx="212">
                  <c:v>7.407407407407407E-2</c:v>
                </c:pt>
                <c:pt idx="213">
                  <c:v>5.647840531561462E-2</c:v>
                </c:pt>
                <c:pt idx="214">
                  <c:v>5.4054054054054057E-2</c:v>
                </c:pt>
                <c:pt idx="215">
                  <c:v>4.0816326530612242E-2</c:v>
                </c:pt>
                <c:pt idx="216">
                  <c:v>2.0737327188940093E-2</c:v>
                </c:pt>
                <c:pt idx="217">
                  <c:v>4.2253521126760563E-2</c:v>
                </c:pt>
                <c:pt idx="218">
                  <c:v>5.4245283018867926E-2</c:v>
                </c:pt>
                <c:pt idx="219">
                  <c:v>9.4527363184079602E-2</c:v>
                </c:pt>
                <c:pt idx="220">
                  <c:v>0.10913705583756345</c:v>
                </c:pt>
                <c:pt idx="221">
                  <c:v>0.10148514851485149</c:v>
                </c:pt>
                <c:pt idx="222">
                  <c:v>0.13076923076923078</c:v>
                </c:pt>
                <c:pt idx="223">
                  <c:v>0.12144702842377261</c:v>
                </c:pt>
                <c:pt idx="224">
                  <c:v>0.12596401028277635</c:v>
                </c:pt>
                <c:pt idx="225">
                  <c:v>0.12468193384223919</c:v>
                </c:pt>
                <c:pt idx="226">
                  <c:v>0.10287081339712918</c:v>
                </c:pt>
                <c:pt idx="227">
                  <c:v>9.7902097902097904E-2</c:v>
                </c:pt>
                <c:pt idx="228">
                  <c:v>0.14855875831485588</c:v>
                </c:pt>
                <c:pt idx="229">
                  <c:v>6.4705882352941183E-2</c:v>
                </c:pt>
                <c:pt idx="230">
                  <c:v>8.4632516703786187E-2</c:v>
                </c:pt>
                <c:pt idx="231">
                  <c:v>0.1032258064516129</c:v>
                </c:pt>
                <c:pt idx="232">
                  <c:v>1.2875536480686695E-2</c:v>
                </c:pt>
                <c:pt idx="233">
                  <c:v>2.3489932885906041E-2</c:v>
                </c:pt>
                <c:pt idx="234">
                  <c:v>1.0273972602739725E-2</c:v>
                </c:pt>
                <c:pt idx="235">
                  <c:v>1.160541586073501E-2</c:v>
                </c:pt>
                <c:pt idx="236">
                  <c:v>2.3166023166023165E-2</c:v>
                </c:pt>
                <c:pt idx="237">
                  <c:v>1.8633540372670808E-2</c:v>
                </c:pt>
                <c:pt idx="238">
                  <c:v>2.1999999999999999E-2</c:v>
                </c:pt>
                <c:pt idx="239">
                  <c:v>2.3255813953488372E-2</c:v>
                </c:pt>
                <c:pt idx="240">
                  <c:v>1.9120458891013385E-2</c:v>
                </c:pt>
                <c:pt idx="241">
                  <c:v>2.491103202846975E-2</c:v>
                </c:pt>
                <c:pt idx="242">
                  <c:v>2.8776978417266189E-2</c:v>
                </c:pt>
                <c:pt idx="243">
                  <c:v>2.1874999999999999E-2</c:v>
                </c:pt>
                <c:pt idx="244">
                  <c:v>1.5267175572519083E-2</c:v>
                </c:pt>
                <c:pt idx="245">
                  <c:v>3.2786885245901641E-2</c:v>
                </c:pt>
                <c:pt idx="246">
                  <c:v>2.748414376321353E-2</c:v>
                </c:pt>
                <c:pt idx="247">
                  <c:v>2.8846153846153848E-2</c:v>
                </c:pt>
                <c:pt idx="248">
                  <c:v>4.2918454935622317E-3</c:v>
                </c:pt>
                <c:pt idx="249">
                  <c:v>0.01</c:v>
                </c:pt>
                <c:pt idx="250">
                  <c:v>1.7543859649122806E-2</c:v>
                </c:pt>
                <c:pt idx="251">
                  <c:v>2.8384279475982533E-2</c:v>
                </c:pt>
                <c:pt idx="252">
                  <c:v>2.0689655172413793E-2</c:v>
                </c:pt>
                <c:pt idx="253">
                  <c:v>3.2467532467532464E-2</c:v>
                </c:pt>
                <c:pt idx="254">
                  <c:v>2.6548672566371681E-2</c:v>
                </c:pt>
                <c:pt idx="255">
                  <c:v>1.3468013468013467E-2</c:v>
                </c:pt>
                <c:pt idx="256">
                  <c:v>1.3289036544850499E-2</c:v>
                </c:pt>
                <c:pt idx="257">
                  <c:v>3.2967032967032968E-2</c:v>
                </c:pt>
                <c:pt idx="258">
                  <c:v>3.0952380952380953E-2</c:v>
                </c:pt>
                <c:pt idx="259">
                  <c:v>3.3734939759036145E-2</c:v>
                </c:pt>
                <c:pt idx="260">
                  <c:v>8.9397089397089402E-2</c:v>
                </c:pt>
                <c:pt idx="261">
                  <c:v>4.0909090909090909E-2</c:v>
                </c:pt>
                <c:pt idx="262">
                  <c:v>2.7777777777777776E-2</c:v>
                </c:pt>
                <c:pt idx="263">
                  <c:v>1.8749999999999999E-2</c:v>
                </c:pt>
                <c:pt idx="264">
                  <c:v>1.6203703703703703E-2</c:v>
                </c:pt>
                <c:pt idx="265">
                  <c:v>9.7087378640776691E-3</c:v>
                </c:pt>
                <c:pt idx="266">
                  <c:v>9.5465393794749408E-3</c:v>
                </c:pt>
                <c:pt idx="267">
                  <c:v>9.7222222222222224E-2</c:v>
                </c:pt>
                <c:pt idx="268">
                  <c:v>0.12974683544303797</c:v>
                </c:pt>
                <c:pt idx="269">
                  <c:v>0.17110266159695817</c:v>
                </c:pt>
                <c:pt idx="270">
                  <c:v>0.17137096774193547</c:v>
                </c:pt>
                <c:pt idx="271">
                  <c:v>0.25352112676056338</c:v>
                </c:pt>
                <c:pt idx="272">
                  <c:v>0.2857142857142857</c:v>
                </c:pt>
                <c:pt idx="273">
                  <c:v>0.10138248847926268</c:v>
                </c:pt>
                <c:pt idx="274">
                  <c:v>7.903780068728522E-2</c:v>
                </c:pt>
                <c:pt idx="275">
                  <c:v>0.11145510835913312</c:v>
                </c:pt>
                <c:pt idx="276">
                  <c:v>0.109717868338558</c:v>
                </c:pt>
                <c:pt idx="277">
                  <c:v>0.14521452145214522</c:v>
                </c:pt>
                <c:pt idx="278">
                  <c:v>9.3805309734513273E-2</c:v>
                </c:pt>
                <c:pt idx="279">
                  <c:v>0.1003584229390681</c:v>
                </c:pt>
                <c:pt idx="280">
                  <c:v>0.10275229357798166</c:v>
                </c:pt>
                <c:pt idx="281">
                  <c:v>9.4269870609981515E-2</c:v>
                </c:pt>
                <c:pt idx="282">
                  <c:v>9.4E-2</c:v>
                </c:pt>
                <c:pt idx="283">
                  <c:v>0.13496932515337423</c:v>
                </c:pt>
                <c:pt idx="284">
                  <c:v>0.21383647798742139</c:v>
                </c:pt>
                <c:pt idx="285">
                  <c:v>0.21008403361344538</c:v>
                </c:pt>
                <c:pt idx="286">
                  <c:v>0.22857142857142856</c:v>
                </c:pt>
                <c:pt idx="287">
                  <c:v>0.20588235294117646</c:v>
                </c:pt>
                <c:pt idx="288">
                  <c:v>0.216</c:v>
                </c:pt>
                <c:pt idx="289">
                  <c:v>0.22857142857142856</c:v>
                </c:pt>
                <c:pt idx="290">
                  <c:v>0.21082089552238806</c:v>
                </c:pt>
                <c:pt idx="291">
                  <c:v>0.19266055045871561</c:v>
                </c:pt>
                <c:pt idx="292">
                  <c:v>0.1889908256880734</c:v>
                </c:pt>
                <c:pt idx="293">
                  <c:v>0.18784530386740331</c:v>
                </c:pt>
                <c:pt idx="294">
                  <c:v>0.20422535211267606</c:v>
                </c:pt>
                <c:pt idx="295">
                  <c:v>3.8596491228070177E-2</c:v>
                </c:pt>
                <c:pt idx="296">
                  <c:v>3.6303630363036306E-2</c:v>
                </c:pt>
                <c:pt idx="297">
                  <c:v>3.0927835051546393E-2</c:v>
                </c:pt>
                <c:pt idx="298">
                  <c:v>4.710144927536232E-2</c:v>
                </c:pt>
                <c:pt idx="299">
                  <c:v>4.7511312217194568E-2</c:v>
                </c:pt>
                <c:pt idx="300">
                  <c:v>3.4482758620689655E-2</c:v>
                </c:pt>
                <c:pt idx="301">
                  <c:v>9.4339622641509441E-2</c:v>
                </c:pt>
                <c:pt idx="302">
                  <c:v>0.11003236245954692</c:v>
                </c:pt>
                <c:pt idx="303">
                  <c:v>0.11702127659574468</c:v>
                </c:pt>
                <c:pt idx="304">
                  <c:v>9.9624060150375934E-2</c:v>
                </c:pt>
                <c:pt idx="305">
                  <c:v>0.17657992565055763</c:v>
                </c:pt>
                <c:pt idx="306">
                  <c:v>0.17495395948434622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EF-4D64-B62B-D34B59C37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236416"/>
        <c:axId val="896336096"/>
      </c:scatterChart>
      <c:valAx>
        <c:axId val="687236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336096"/>
        <c:crosses val="autoZero"/>
        <c:crossBetween val="midCat"/>
      </c:valAx>
      <c:valAx>
        <c:axId val="8963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Malay% P130 Rasah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575306211723535"/>
                  <c:y val="-0.15468576844561097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RaceWorksheet!$I$2:$I$308</c:f>
              <c:numCache>
                <c:formatCode>0.0%</c:formatCode>
                <c:ptCount val="307"/>
                <c:pt idx="0">
                  <c:v>0.96</c:v>
                </c:pt>
                <c:pt idx="1">
                  <c:v>0.91460055096418735</c:v>
                </c:pt>
                <c:pt idx="2">
                  <c:v>0.97796143250688705</c:v>
                </c:pt>
                <c:pt idx="3">
                  <c:v>0.98</c:v>
                </c:pt>
                <c:pt idx="4">
                  <c:v>0.98353909465020573</c:v>
                </c:pt>
                <c:pt idx="5">
                  <c:v>0.99382716049382713</c:v>
                </c:pt>
                <c:pt idx="6">
                  <c:v>0.38378378378378381</c:v>
                </c:pt>
                <c:pt idx="7">
                  <c:v>0.57027027027027022</c:v>
                </c:pt>
                <c:pt idx="8">
                  <c:v>0.56216216216216219</c:v>
                </c:pt>
                <c:pt idx="9">
                  <c:v>0.45479452054794522</c:v>
                </c:pt>
                <c:pt idx="10">
                  <c:v>0.55813953488372092</c:v>
                </c:pt>
                <c:pt idx="11">
                  <c:v>0.67305061559507529</c:v>
                </c:pt>
                <c:pt idx="12">
                  <c:v>0.69220246238030092</c:v>
                </c:pt>
                <c:pt idx="13">
                  <c:v>0.8</c:v>
                </c:pt>
                <c:pt idx="14">
                  <c:v>0.8405405405405405</c:v>
                </c:pt>
                <c:pt idx="15">
                  <c:v>0.92992700729927003</c:v>
                </c:pt>
                <c:pt idx="16">
                  <c:v>0.93731778425655976</c:v>
                </c:pt>
                <c:pt idx="17">
                  <c:v>0.9708454810495627</c:v>
                </c:pt>
                <c:pt idx="18">
                  <c:v>0.98542274052478129</c:v>
                </c:pt>
                <c:pt idx="19">
                  <c:v>0.9513513513513514</c:v>
                </c:pt>
                <c:pt idx="20">
                  <c:v>0.9513513513513514</c:v>
                </c:pt>
                <c:pt idx="21">
                  <c:v>0.956661316211878</c:v>
                </c:pt>
                <c:pt idx="22">
                  <c:v>0.9839486356340289</c:v>
                </c:pt>
                <c:pt idx="23">
                  <c:v>0.9791332263242376</c:v>
                </c:pt>
                <c:pt idx="24">
                  <c:v>0.7944444444444444</c:v>
                </c:pt>
                <c:pt idx="25">
                  <c:v>0.82222222222222219</c:v>
                </c:pt>
                <c:pt idx="26">
                  <c:v>0.88423153692614775</c:v>
                </c:pt>
                <c:pt idx="27">
                  <c:v>0.9021956087824351</c:v>
                </c:pt>
                <c:pt idx="28">
                  <c:v>0.95209580838323349</c:v>
                </c:pt>
                <c:pt idx="29">
                  <c:v>0.68571428571428572</c:v>
                </c:pt>
                <c:pt idx="30">
                  <c:v>0.86445012787723785</c:v>
                </c:pt>
                <c:pt idx="31">
                  <c:v>0.45833333333333331</c:v>
                </c:pt>
                <c:pt idx="32">
                  <c:v>0.53333333333333333</c:v>
                </c:pt>
                <c:pt idx="33">
                  <c:v>0.51666666666666672</c:v>
                </c:pt>
                <c:pt idx="34">
                  <c:v>0.50927487352445189</c:v>
                </c:pt>
                <c:pt idx="35">
                  <c:v>0.55817875210792578</c:v>
                </c:pt>
                <c:pt idx="36">
                  <c:v>0.55649241146711637</c:v>
                </c:pt>
                <c:pt idx="37">
                  <c:v>0.58178752107925802</c:v>
                </c:pt>
                <c:pt idx="38">
                  <c:v>0.82162162162162167</c:v>
                </c:pt>
                <c:pt idx="39">
                  <c:v>0.76216216216216215</c:v>
                </c:pt>
                <c:pt idx="40">
                  <c:v>0.69787234042553192</c:v>
                </c:pt>
                <c:pt idx="41">
                  <c:v>0.84042553191489366</c:v>
                </c:pt>
                <c:pt idx="42">
                  <c:v>0.28055555555555556</c:v>
                </c:pt>
                <c:pt idx="43">
                  <c:v>0.40555555555555556</c:v>
                </c:pt>
                <c:pt idx="44">
                  <c:v>0.44819277108433736</c:v>
                </c:pt>
                <c:pt idx="45">
                  <c:v>0.49038461538461536</c:v>
                </c:pt>
                <c:pt idx="46">
                  <c:v>0.66346153846153844</c:v>
                </c:pt>
                <c:pt idx="47">
                  <c:v>0.74722222222222223</c:v>
                </c:pt>
                <c:pt idx="48">
                  <c:v>0.71111111111111114</c:v>
                </c:pt>
                <c:pt idx="49">
                  <c:v>0.82948490230905858</c:v>
                </c:pt>
                <c:pt idx="50">
                  <c:v>0.81349911190053281</c:v>
                </c:pt>
                <c:pt idx="51">
                  <c:v>0.77442273534635875</c:v>
                </c:pt>
                <c:pt idx="52">
                  <c:v>0.8579040852575488</c:v>
                </c:pt>
                <c:pt idx="53">
                  <c:v>0.91843971631205679</c:v>
                </c:pt>
                <c:pt idx="54">
                  <c:v>0.63055555555555554</c:v>
                </c:pt>
                <c:pt idx="55">
                  <c:v>0.8</c:v>
                </c:pt>
                <c:pt idx="56">
                  <c:v>0.83500717360114773</c:v>
                </c:pt>
                <c:pt idx="57">
                  <c:v>0.71162123385939746</c:v>
                </c:pt>
                <c:pt idx="58">
                  <c:v>0.86389684813753587</c:v>
                </c:pt>
                <c:pt idx="59">
                  <c:v>0.89828080229226359</c:v>
                </c:pt>
                <c:pt idx="60">
                  <c:v>0.14054054054054055</c:v>
                </c:pt>
                <c:pt idx="61">
                  <c:v>0.22972972972972974</c:v>
                </c:pt>
                <c:pt idx="62">
                  <c:v>0.16756756756756758</c:v>
                </c:pt>
                <c:pt idx="63">
                  <c:v>0.16248153618906944</c:v>
                </c:pt>
                <c:pt idx="64">
                  <c:v>0.22895125553914328</c:v>
                </c:pt>
                <c:pt idx="65">
                  <c:v>0.30576070901033975</c:v>
                </c:pt>
                <c:pt idx="66">
                  <c:v>0.30280649926144754</c:v>
                </c:pt>
                <c:pt idx="67">
                  <c:v>0.3087149187592319</c:v>
                </c:pt>
                <c:pt idx="68">
                  <c:v>0.32791728212703103</c:v>
                </c:pt>
                <c:pt idx="69">
                  <c:v>0.14736842105263157</c:v>
                </c:pt>
                <c:pt idx="70">
                  <c:v>0.21203438395415472</c:v>
                </c:pt>
                <c:pt idx="71">
                  <c:v>0.23065902578796563</c:v>
                </c:pt>
                <c:pt idx="72">
                  <c:v>0.20630372492836677</c:v>
                </c:pt>
                <c:pt idx="73">
                  <c:v>0.27650429799426934</c:v>
                </c:pt>
                <c:pt idx="74">
                  <c:v>0.24210526315789474</c:v>
                </c:pt>
                <c:pt idx="75">
                  <c:v>0.34111310592459604</c:v>
                </c:pt>
                <c:pt idx="76">
                  <c:v>0.28494623655913981</c:v>
                </c:pt>
                <c:pt idx="77">
                  <c:v>8.6842105263157901E-2</c:v>
                </c:pt>
                <c:pt idx="78">
                  <c:v>0.19473684210526315</c:v>
                </c:pt>
                <c:pt idx="79">
                  <c:v>9.2105263157894732E-2</c:v>
                </c:pt>
                <c:pt idx="80">
                  <c:v>8.1277213352685049E-2</c:v>
                </c:pt>
                <c:pt idx="81">
                  <c:v>0.13062409288824384</c:v>
                </c:pt>
                <c:pt idx="82">
                  <c:v>0.17826086956521739</c:v>
                </c:pt>
                <c:pt idx="83">
                  <c:v>0.19565217391304349</c:v>
                </c:pt>
                <c:pt idx="84">
                  <c:v>0.18840579710144928</c:v>
                </c:pt>
                <c:pt idx="85">
                  <c:v>1.6216216216216217E-2</c:v>
                </c:pt>
                <c:pt idx="86">
                  <c:v>2.1621621621621623E-2</c:v>
                </c:pt>
                <c:pt idx="87">
                  <c:v>3.6585365853658534E-2</c:v>
                </c:pt>
                <c:pt idx="88">
                  <c:v>5.4794520547945202E-2</c:v>
                </c:pt>
                <c:pt idx="89">
                  <c:v>5.3231939163498096E-2</c:v>
                </c:pt>
                <c:pt idx="90">
                  <c:v>3.3333333333333335E-3</c:v>
                </c:pt>
                <c:pt idx="91">
                  <c:v>1.5625E-2</c:v>
                </c:pt>
                <c:pt idx="92">
                  <c:v>1.1594202898550725E-2</c:v>
                </c:pt>
                <c:pt idx="93">
                  <c:v>1.3333333333333334E-2</c:v>
                </c:pt>
                <c:pt idx="94">
                  <c:v>2.8169014084507044E-3</c:v>
                </c:pt>
                <c:pt idx="95">
                  <c:v>2.5352112676056339E-2</c:v>
                </c:pt>
                <c:pt idx="96">
                  <c:v>0.04</c:v>
                </c:pt>
                <c:pt idx="97">
                  <c:v>2.3809523809523808E-2</c:v>
                </c:pt>
                <c:pt idx="98">
                  <c:v>3.0456852791878174E-2</c:v>
                </c:pt>
                <c:pt idx="99">
                  <c:v>0.10152284263959391</c:v>
                </c:pt>
                <c:pt idx="100">
                  <c:v>4.6875E-2</c:v>
                </c:pt>
                <c:pt idx="101">
                  <c:v>6.5625000000000003E-2</c:v>
                </c:pt>
                <c:pt idx="102">
                  <c:v>0.21377672209026127</c:v>
                </c:pt>
                <c:pt idx="103">
                  <c:v>1.3888888888888888E-2</c:v>
                </c:pt>
                <c:pt idx="104">
                  <c:v>4.7222222222222221E-2</c:v>
                </c:pt>
                <c:pt idx="105">
                  <c:v>3.888888888888889E-2</c:v>
                </c:pt>
                <c:pt idx="106">
                  <c:v>2.9310344827586206E-2</c:v>
                </c:pt>
                <c:pt idx="107">
                  <c:v>4.4750430292598967E-2</c:v>
                </c:pt>
                <c:pt idx="108">
                  <c:v>6.1962134251290879E-2</c:v>
                </c:pt>
                <c:pt idx="109">
                  <c:v>0.153184165232358</c:v>
                </c:pt>
                <c:pt idx="110">
                  <c:v>0.87142857142857144</c:v>
                </c:pt>
                <c:pt idx="111">
                  <c:v>0.9434389140271493</c:v>
                </c:pt>
                <c:pt idx="112">
                  <c:v>0.3</c:v>
                </c:pt>
                <c:pt idx="113">
                  <c:v>0.25526315789473686</c:v>
                </c:pt>
                <c:pt idx="114">
                  <c:v>0.31578947368421051</c:v>
                </c:pt>
                <c:pt idx="115">
                  <c:v>0.35468749999999999</c:v>
                </c:pt>
                <c:pt idx="116">
                  <c:v>0.4375</c:v>
                </c:pt>
                <c:pt idx="117">
                  <c:v>0.40405616224648988</c:v>
                </c:pt>
                <c:pt idx="118">
                  <c:v>0.46645865834633388</c:v>
                </c:pt>
                <c:pt idx="119">
                  <c:v>0.44929797191887677</c:v>
                </c:pt>
                <c:pt idx="120">
                  <c:v>0.27837837837837837</c:v>
                </c:pt>
                <c:pt idx="121">
                  <c:v>0.36216216216216218</c:v>
                </c:pt>
                <c:pt idx="122">
                  <c:v>0.3108108108108108</c:v>
                </c:pt>
                <c:pt idx="123">
                  <c:v>0.30516431924882631</c:v>
                </c:pt>
                <c:pt idx="124">
                  <c:v>0.41718749999999999</c:v>
                </c:pt>
                <c:pt idx="125">
                  <c:v>0.4609375</c:v>
                </c:pt>
                <c:pt idx="126">
                  <c:v>0.46875</c:v>
                </c:pt>
                <c:pt idx="127">
                  <c:v>0.18157894736842106</c:v>
                </c:pt>
                <c:pt idx="128">
                  <c:v>0.2868421052631579</c:v>
                </c:pt>
                <c:pt idx="129">
                  <c:v>0.23684210526315788</c:v>
                </c:pt>
                <c:pt idx="130">
                  <c:v>0.24029850746268658</c:v>
                </c:pt>
                <c:pt idx="131">
                  <c:v>0.38059701492537312</c:v>
                </c:pt>
                <c:pt idx="132">
                  <c:v>0.375</c:v>
                </c:pt>
                <c:pt idx="133">
                  <c:v>0.35863095238095238</c:v>
                </c:pt>
                <c:pt idx="134">
                  <c:v>0.39136904761904762</c:v>
                </c:pt>
                <c:pt idx="135">
                  <c:v>0.24736842105263157</c:v>
                </c:pt>
                <c:pt idx="136">
                  <c:v>0.32894736842105265</c:v>
                </c:pt>
                <c:pt idx="137">
                  <c:v>0.4026315789473684</c:v>
                </c:pt>
                <c:pt idx="138">
                  <c:v>0.31451612903225806</c:v>
                </c:pt>
                <c:pt idx="139">
                  <c:v>0.38548387096774195</c:v>
                </c:pt>
                <c:pt idx="140">
                  <c:v>0.49516129032258066</c:v>
                </c:pt>
                <c:pt idx="141">
                  <c:v>0.53870967741935483</c:v>
                </c:pt>
                <c:pt idx="142">
                  <c:v>0.54677419354838708</c:v>
                </c:pt>
                <c:pt idx="143">
                  <c:v>0.4756756756756757</c:v>
                </c:pt>
                <c:pt idx="144">
                  <c:v>0.35405405405405405</c:v>
                </c:pt>
                <c:pt idx="145">
                  <c:v>0.34982332155477031</c:v>
                </c:pt>
                <c:pt idx="146">
                  <c:v>0.45406360424028269</c:v>
                </c:pt>
                <c:pt idx="147">
                  <c:v>0.4628975265017668</c:v>
                </c:pt>
                <c:pt idx="148">
                  <c:v>0.47703180212014135</c:v>
                </c:pt>
                <c:pt idx="149">
                  <c:v>4.1379310344827586E-2</c:v>
                </c:pt>
                <c:pt idx="150">
                  <c:v>0.13738019169329074</c:v>
                </c:pt>
                <c:pt idx="151">
                  <c:v>2.9729729729729731E-2</c:v>
                </c:pt>
                <c:pt idx="152">
                  <c:v>4.0540540540540543E-2</c:v>
                </c:pt>
                <c:pt idx="153">
                  <c:v>0.18548387096774194</c:v>
                </c:pt>
                <c:pt idx="154">
                  <c:v>3.5211267605633804E-2</c:v>
                </c:pt>
                <c:pt idx="155">
                  <c:v>0.13732394366197184</c:v>
                </c:pt>
                <c:pt idx="156">
                  <c:v>6.5789473684210523E-2</c:v>
                </c:pt>
                <c:pt idx="157">
                  <c:v>6.3157894736842107E-2</c:v>
                </c:pt>
                <c:pt idx="158">
                  <c:v>0.10263157894736842</c:v>
                </c:pt>
                <c:pt idx="159">
                  <c:v>0.11315789473684211</c:v>
                </c:pt>
                <c:pt idx="160">
                  <c:v>0.14760147601476015</c:v>
                </c:pt>
                <c:pt idx="161">
                  <c:v>0.18450184501845018</c:v>
                </c:pt>
                <c:pt idx="162">
                  <c:v>0.22693726937269373</c:v>
                </c:pt>
                <c:pt idx="163">
                  <c:v>7.8947368421052634E-3</c:v>
                </c:pt>
                <c:pt idx="164">
                  <c:v>5.263157894736842E-3</c:v>
                </c:pt>
                <c:pt idx="165">
                  <c:v>2.631578947368421E-3</c:v>
                </c:pt>
                <c:pt idx="166">
                  <c:v>2.1052631578947368E-2</c:v>
                </c:pt>
                <c:pt idx="167">
                  <c:v>7.7519379844961239E-3</c:v>
                </c:pt>
                <c:pt idx="168">
                  <c:v>1.8604651162790697E-2</c:v>
                </c:pt>
                <c:pt idx="169">
                  <c:v>6.6666666666666666E-2</c:v>
                </c:pt>
                <c:pt idx="170">
                  <c:v>0.54113924050632911</c:v>
                </c:pt>
                <c:pt idx="171">
                  <c:v>0.66561514195583593</c:v>
                </c:pt>
                <c:pt idx="172">
                  <c:v>0.72812500000000002</c:v>
                </c:pt>
                <c:pt idx="173">
                  <c:v>0.82187500000000002</c:v>
                </c:pt>
                <c:pt idx="174">
                  <c:v>0.76297577854671284</c:v>
                </c:pt>
                <c:pt idx="175">
                  <c:v>0.88927335640138405</c:v>
                </c:pt>
                <c:pt idx="176">
                  <c:v>0.82210708117443865</c:v>
                </c:pt>
                <c:pt idx="177">
                  <c:v>8.4375000000000006E-2</c:v>
                </c:pt>
                <c:pt idx="178">
                  <c:v>0.11874999999999999</c:v>
                </c:pt>
                <c:pt idx="179">
                  <c:v>0.17824074074074073</c:v>
                </c:pt>
                <c:pt idx="180">
                  <c:v>7.1052631578947367E-2</c:v>
                </c:pt>
                <c:pt idx="181">
                  <c:v>0.11052631578947368</c:v>
                </c:pt>
                <c:pt idx="182">
                  <c:v>0.10344827586206896</c:v>
                </c:pt>
                <c:pt idx="183">
                  <c:v>0.15137614678899083</c:v>
                </c:pt>
                <c:pt idx="184">
                  <c:v>0.28669724770642202</c:v>
                </c:pt>
                <c:pt idx="185">
                  <c:v>0.1736842105263158</c:v>
                </c:pt>
                <c:pt idx="186">
                  <c:v>0.20263157894736841</c:v>
                </c:pt>
                <c:pt idx="187">
                  <c:v>0.24210526315789474</c:v>
                </c:pt>
                <c:pt idx="188">
                  <c:v>0.46231155778894473</c:v>
                </c:pt>
                <c:pt idx="189">
                  <c:v>0.43718592964824121</c:v>
                </c:pt>
                <c:pt idx="190">
                  <c:v>0.44816053511705684</c:v>
                </c:pt>
                <c:pt idx="191">
                  <c:v>0.3511705685618729</c:v>
                </c:pt>
                <c:pt idx="192">
                  <c:v>0.51081081081081081</c:v>
                </c:pt>
                <c:pt idx="193">
                  <c:v>0.44289044289044288</c:v>
                </c:pt>
                <c:pt idx="194">
                  <c:v>0.82983682983682983</c:v>
                </c:pt>
                <c:pt idx="195">
                  <c:v>0.12105263157894737</c:v>
                </c:pt>
                <c:pt idx="196">
                  <c:v>0.12631578947368421</c:v>
                </c:pt>
                <c:pt idx="197">
                  <c:v>0.10526315789473684</c:v>
                </c:pt>
                <c:pt idx="198">
                  <c:v>8.387096774193549E-2</c:v>
                </c:pt>
                <c:pt idx="199">
                  <c:v>0.10466988727858294</c:v>
                </c:pt>
                <c:pt idx="200">
                  <c:v>0.1320450885668277</c:v>
                </c:pt>
                <c:pt idx="201">
                  <c:v>0.13421052631578947</c:v>
                </c:pt>
                <c:pt idx="202">
                  <c:v>0.1</c:v>
                </c:pt>
                <c:pt idx="203">
                  <c:v>0.10526315789473684</c:v>
                </c:pt>
                <c:pt idx="204">
                  <c:v>0.12542372881355932</c:v>
                </c:pt>
                <c:pt idx="205">
                  <c:v>0.13728813559322034</c:v>
                </c:pt>
                <c:pt idx="206">
                  <c:v>0.1440677966101695</c:v>
                </c:pt>
                <c:pt idx="207">
                  <c:v>8.2500000000000004E-2</c:v>
                </c:pt>
                <c:pt idx="208">
                  <c:v>0.24172185430463577</c:v>
                </c:pt>
                <c:pt idx="209">
                  <c:v>0.14594594594594595</c:v>
                </c:pt>
                <c:pt idx="210">
                  <c:v>0.13783783783783785</c:v>
                </c:pt>
                <c:pt idx="211">
                  <c:v>0.1864864864864865</c:v>
                </c:pt>
                <c:pt idx="212">
                  <c:v>0.22432432432432434</c:v>
                </c:pt>
                <c:pt idx="213">
                  <c:v>0.13243243243243244</c:v>
                </c:pt>
                <c:pt idx="214">
                  <c:v>0.15945945945945947</c:v>
                </c:pt>
                <c:pt idx="215">
                  <c:v>0.11081081081081082</c:v>
                </c:pt>
                <c:pt idx="216">
                  <c:v>9.9815157116451017E-2</c:v>
                </c:pt>
                <c:pt idx="217">
                  <c:v>0.11645101663585952</c:v>
                </c:pt>
                <c:pt idx="218">
                  <c:v>0.14048059149722736</c:v>
                </c:pt>
                <c:pt idx="219">
                  <c:v>0.18299445471349354</c:v>
                </c:pt>
                <c:pt idx="220">
                  <c:v>0.21996303142329021</c:v>
                </c:pt>
                <c:pt idx="221">
                  <c:v>0.22181146025878004</c:v>
                </c:pt>
                <c:pt idx="222">
                  <c:v>0.27171903881700554</c:v>
                </c:pt>
                <c:pt idx="223">
                  <c:v>0.30073800738007378</c:v>
                </c:pt>
                <c:pt idx="224">
                  <c:v>0.28782287822878228</c:v>
                </c:pt>
                <c:pt idx="225">
                  <c:v>0.26568265682656828</c:v>
                </c:pt>
                <c:pt idx="226">
                  <c:v>0.21771217712177121</c:v>
                </c:pt>
                <c:pt idx="227">
                  <c:v>0.22878228782287824</c:v>
                </c:pt>
                <c:pt idx="228">
                  <c:v>0.29520295202952029</c:v>
                </c:pt>
                <c:pt idx="229">
                  <c:v>0.13111111111111112</c:v>
                </c:pt>
                <c:pt idx="230">
                  <c:v>0.15901639344262294</c:v>
                </c:pt>
                <c:pt idx="231">
                  <c:v>0.24549918166939444</c:v>
                </c:pt>
                <c:pt idx="232">
                  <c:v>2.6315789473684209E-2</c:v>
                </c:pt>
                <c:pt idx="233">
                  <c:v>3.1578947368421054E-2</c:v>
                </c:pt>
                <c:pt idx="234">
                  <c:v>3.2208588957055216E-2</c:v>
                </c:pt>
                <c:pt idx="235">
                  <c:v>4.4478527607361963E-2</c:v>
                </c:pt>
                <c:pt idx="236">
                  <c:v>7.6687116564417179E-2</c:v>
                </c:pt>
                <c:pt idx="237">
                  <c:v>8.4355828220858894E-2</c:v>
                </c:pt>
                <c:pt idx="238">
                  <c:v>2.368421052631579E-2</c:v>
                </c:pt>
                <c:pt idx="239">
                  <c:v>2.1052631578947368E-2</c:v>
                </c:pt>
                <c:pt idx="240">
                  <c:v>2.6315789473684209E-2</c:v>
                </c:pt>
                <c:pt idx="241">
                  <c:v>7.2568940493468797E-3</c:v>
                </c:pt>
                <c:pt idx="242">
                  <c:v>2.0319303338171262E-2</c:v>
                </c:pt>
                <c:pt idx="243">
                  <c:v>3.6284470246734396E-2</c:v>
                </c:pt>
                <c:pt idx="244">
                  <c:v>4.2089985486211901E-2</c:v>
                </c:pt>
                <c:pt idx="245">
                  <c:v>3.483309143686502E-2</c:v>
                </c:pt>
                <c:pt idx="246">
                  <c:v>3.0478955007256895E-2</c:v>
                </c:pt>
                <c:pt idx="247">
                  <c:v>3.3381712626995644E-2</c:v>
                </c:pt>
                <c:pt idx="248">
                  <c:v>2.368421052631579E-2</c:v>
                </c:pt>
                <c:pt idx="249">
                  <c:v>2.368421052631579E-2</c:v>
                </c:pt>
                <c:pt idx="250">
                  <c:v>2.4916943521594685E-2</c:v>
                </c:pt>
                <c:pt idx="251">
                  <c:v>4.975124378109453E-2</c:v>
                </c:pt>
                <c:pt idx="252">
                  <c:v>5.6384742951907131E-2</c:v>
                </c:pt>
                <c:pt idx="253">
                  <c:v>5.9701492537313432E-2</c:v>
                </c:pt>
                <c:pt idx="254">
                  <c:v>7.8947368421052634E-3</c:v>
                </c:pt>
                <c:pt idx="255">
                  <c:v>2.1052631578947368E-2</c:v>
                </c:pt>
                <c:pt idx="256">
                  <c:v>2.8947368421052631E-2</c:v>
                </c:pt>
                <c:pt idx="257">
                  <c:v>5.306799336650083E-2</c:v>
                </c:pt>
                <c:pt idx="258">
                  <c:v>8.2781456953642391E-2</c:v>
                </c:pt>
                <c:pt idx="259">
                  <c:v>9.7682119205298013E-2</c:v>
                </c:pt>
                <c:pt idx="260">
                  <c:v>0.19205298013245034</c:v>
                </c:pt>
                <c:pt idx="261">
                  <c:v>0</c:v>
                </c:pt>
                <c:pt idx="262">
                  <c:v>5.263157894736842E-3</c:v>
                </c:pt>
                <c:pt idx="263">
                  <c:v>2.631578947368421E-3</c:v>
                </c:pt>
                <c:pt idx="264">
                  <c:v>5.6603773584905656E-3</c:v>
                </c:pt>
                <c:pt idx="265">
                  <c:v>5.6497175141242938E-3</c:v>
                </c:pt>
                <c:pt idx="266">
                  <c:v>3.7664783427495289E-2</c:v>
                </c:pt>
                <c:pt idx="267">
                  <c:v>0.44324324324324327</c:v>
                </c:pt>
                <c:pt idx="268">
                  <c:v>0.48378378378378378</c:v>
                </c:pt>
                <c:pt idx="269">
                  <c:v>0.37968750000000001</c:v>
                </c:pt>
                <c:pt idx="270">
                  <c:v>0.421875</c:v>
                </c:pt>
                <c:pt idx="271">
                  <c:v>0.52812499999999996</c:v>
                </c:pt>
                <c:pt idx="272">
                  <c:v>0.54602184087363492</c:v>
                </c:pt>
                <c:pt idx="273">
                  <c:v>8.6842105263157901E-2</c:v>
                </c:pt>
                <c:pt idx="274">
                  <c:v>5.7894736842105263E-2</c:v>
                </c:pt>
                <c:pt idx="275">
                  <c:v>7.6315789473684212E-2</c:v>
                </c:pt>
                <c:pt idx="276">
                  <c:v>0.11052631578947368</c:v>
                </c:pt>
                <c:pt idx="277">
                  <c:v>0.10238907849829351</c:v>
                </c:pt>
                <c:pt idx="278">
                  <c:v>0.11433447098976109</c:v>
                </c:pt>
                <c:pt idx="279">
                  <c:v>0.21621621621621623</c:v>
                </c:pt>
                <c:pt idx="280">
                  <c:v>0.3</c:v>
                </c:pt>
                <c:pt idx="281">
                  <c:v>0.42972972972972973</c:v>
                </c:pt>
                <c:pt idx="282">
                  <c:v>0.49459459459459459</c:v>
                </c:pt>
                <c:pt idx="283">
                  <c:v>0.41351351351351351</c:v>
                </c:pt>
                <c:pt idx="284">
                  <c:v>0.30163447251114411</c:v>
                </c:pt>
                <c:pt idx="285">
                  <c:v>0.23922734026745915</c:v>
                </c:pt>
                <c:pt idx="286">
                  <c:v>0.21693907875185736</c:v>
                </c:pt>
                <c:pt idx="287">
                  <c:v>0.21248142644873699</c:v>
                </c:pt>
                <c:pt idx="288">
                  <c:v>0.22288261515601784</c:v>
                </c:pt>
                <c:pt idx="289">
                  <c:v>0.30460624071322434</c:v>
                </c:pt>
                <c:pt idx="290">
                  <c:v>0.41158989598811291</c:v>
                </c:pt>
                <c:pt idx="291">
                  <c:v>0.43536404160475484</c:v>
                </c:pt>
                <c:pt idx="292">
                  <c:v>0.43982169390787518</c:v>
                </c:pt>
                <c:pt idx="293">
                  <c:v>0.43323442136498519</c:v>
                </c:pt>
                <c:pt idx="294">
                  <c:v>0.43916913946587538</c:v>
                </c:pt>
                <c:pt idx="295">
                  <c:v>0.43768545994065283</c:v>
                </c:pt>
                <c:pt idx="296">
                  <c:v>0.41988130563798221</c:v>
                </c:pt>
                <c:pt idx="297">
                  <c:v>0.43323442136498519</c:v>
                </c:pt>
                <c:pt idx="298">
                  <c:v>0.40504451038575667</c:v>
                </c:pt>
                <c:pt idx="299">
                  <c:v>0.3857566765578635</c:v>
                </c:pt>
                <c:pt idx="300">
                  <c:v>0.39169139465875369</c:v>
                </c:pt>
                <c:pt idx="301">
                  <c:v>0.33055555555555555</c:v>
                </c:pt>
                <c:pt idx="302">
                  <c:v>0.25</c:v>
                </c:pt>
                <c:pt idx="303">
                  <c:v>0.25555555555555554</c:v>
                </c:pt>
                <c:pt idx="304">
                  <c:v>0.24927536231884059</c:v>
                </c:pt>
                <c:pt idx="305">
                  <c:v>0.38260869565217392</c:v>
                </c:pt>
                <c:pt idx="306">
                  <c:v>0.38929088277858176</c:v>
                </c:pt>
              </c:numCache>
            </c:numRef>
          </c:xVal>
          <c:yVal>
            <c:numRef>
              <c:f>RaceWorksheet!$C$2:$C$308</c:f>
              <c:numCache>
                <c:formatCode>0.0%</c:formatCode>
                <c:ptCount val="307"/>
                <c:pt idx="0">
                  <c:v>0.58718861209964412</c:v>
                </c:pt>
                <c:pt idx="1">
                  <c:v>0.35459183673469385</c:v>
                </c:pt>
                <c:pt idx="2">
                  <c:v>0.29879518072289157</c:v>
                </c:pt>
                <c:pt idx="3">
                  <c:v>0.22463768115942029</c:v>
                </c:pt>
                <c:pt idx="4">
                  <c:v>0.18849840255591055</c:v>
                </c:pt>
                <c:pt idx="5">
                  <c:v>0.1476510067114094</c:v>
                </c:pt>
                <c:pt idx="6">
                  <c:v>0.10676156583629894</c:v>
                </c:pt>
                <c:pt idx="7">
                  <c:v>0.1</c:v>
                </c:pt>
                <c:pt idx="8">
                  <c:v>0.10273972602739725</c:v>
                </c:pt>
                <c:pt idx="9">
                  <c:v>9.1362126245847178E-2</c:v>
                </c:pt>
                <c:pt idx="10">
                  <c:v>0.5962264150943396</c:v>
                </c:pt>
                <c:pt idx="11">
                  <c:v>0.45454545454545453</c:v>
                </c:pt>
                <c:pt idx="12">
                  <c:v>0.37987012987012986</c:v>
                </c:pt>
                <c:pt idx="13">
                  <c:v>0.30357142857142855</c:v>
                </c:pt>
                <c:pt idx="14">
                  <c:v>0.29870129870129869</c:v>
                </c:pt>
                <c:pt idx="15">
                  <c:v>0.20262664165103189</c:v>
                </c:pt>
                <c:pt idx="16">
                  <c:v>0.20077220077220076</c:v>
                </c:pt>
                <c:pt idx="17">
                  <c:v>0.17657992565055763</c:v>
                </c:pt>
                <c:pt idx="18">
                  <c:v>0.15478260869565216</c:v>
                </c:pt>
                <c:pt idx="19">
                  <c:v>0.28888888888888886</c:v>
                </c:pt>
                <c:pt idx="20">
                  <c:v>0.2225705329153605</c:v>
                </c:pt>
                <c:pt idx="21">
                  <c:v>0.206286836935167</c:v>
                </c:pt>
                <c:pt idx="22">
                  <c:v>0.12115384615384615</c:v>
                </c:pt>
                <c:pt idx="23">
                  <c:v>0.11775700934579439</c:v>
                </c:pt>
                <c:pt idx="24">
                  <c:v>0.55281690140845074</c:v>
                </c:pt>
                <c:pt idx="25">
                  <c:v>0.390625</c:v>
                </c:pt>
                <c:pt idx="26">
                  <c:v>0.39086294416243655</c:v>
                </c:pt>
                <c:pt idx="27">
                  <c:v>0.34422110552763818</c:v>
                </c:pt>
                <c:pt idx="28">
                  <c:v>0.34579439252336447</c:v>
                </c:pt>
                <c:pt idx="29">
                  <c:v>0.42600896860986548</c:v>
                </c:pt>
                <c:pt idx="30">
                  <c:v>0.42753623188405798</c:v>
                </c:pt>
                <c:pt idx="31">
                  <c:v>0.42539682539682538</c:v>
                </c:pt>
                <c:pt idx="32">
                  <c:v>0.28769841269841268</c:v>
                </c:pt>
                <c:pt idx="33">
                  <c:v>0.3180873180873181</c:v>
                </c:pt>
                <c:pt idx="34">
                  <c:v>0.2536997885835095</c:v>
                </c:pt>
                <c:pt idx="35">
                  <c:v>0.24481327800829875</c:v>
                </c:pt>
                <c:pt idx="36">
                  <c:v>0.32283464566929132</c:v>
                </c:pt>
                <c:pt idx="37">
                  <c:v>0.34756097560975607</c:v>
                </c:pt>
                <c:pt idx="38">
                  <c:v>0.33193277310924368</c:v>
                </c:pt>
                <c:pt idx="39">
                  <c:v>0.28947368421052633</c:v>
                </c:pt>
                <c:pt idx="40">
                  <c:v>0.25739644970414199</c:v>
                </c:pt>
                <c:pt idx="41">
                  <c:v>0.21474358974358973</c:v>
                </c:pt>
                <c:pt idx="42">
                  <c:v>0.27070063694267515</c:v>
                </c:pt>
                <c:pt idx="43">
                  <c:v>0.61347517730496459</c:v>
                </c:pt>
                <c:pt idx="44">
                  <c:v>0.50167224080267558</c:v>
                </c:pt>
                <c:pt idx="45">
                  <c:v>0.44109589041095892</c:v>
                </c:pt>
                <c:pt idx="46">
                  <c:v>0.38242894056847543</c:v>
                </c:pt>
                <c:pt idx="47">
                  <c:v>0.54852320675105481</c:v>
                </c:pt>
                <c:pt idx="48">
                  <c:v>0.40604026845637586</c:v>
                </c:pt>
                <c:pt idx="49">
                  <c:v>0.4136460554371002</c:v>
                </c:pt>
                <c:pt idx="50">
                  <c:v>0.35698447893569846</c:v>
                </c:pt>
                <c:pt idx="51">
                  <c:v>0.24776785714285715</c:v>
                </c:pt>
                <c:pt idx="52">
                  <c:v>0.23210412147505424</c:v>
                </c:pt>
                <c:pt idx="53">
                  <c:v>0.20876826722338204</c:v>
                </c:pt>
                <c:pt idx="54">
                  <c:v>0.49637681159420288</c:v>
                </c:pt>
                <c:pt idx="55">
                  <c:v>0.50306748466257667</c:v>
                </c:pt>
                <c:pt idx="56">
                  <c:v>0.36655405405405406</c:v>
                </c:pt>
                <c:pt idx="57">
                  <c:v>0.26459854014598538</c:v>
                </c:pt>
                <c:pt idx="58">
                  <c:v>0.29272727272727272</c:v>
                </c:pt>
                <c:pt idx="59">
                  <c:v>0.29895104895104896</c:v>
                </c:pt>
                <c:pt idx="60">
                  <c:v>0.16612377850162866</c:v>
                </c:pt>
                <c:pt idx="61">
                  <c:v>0.13924050632911392</c:v>
                </c:pt>
                <c:pt idx="62">
                  <c:v>9.4795539033457249E-2</c:v>
                </c:pt>
                <c:pt idx="63">
                  <c:v>8.4148727984344418E-2</c:v>
                </c:pt>
                <c:pt idx="64">
                  <c:v>8.9160839160839167E-2</c:v>
                </c:pt>
                <c:pt idx="65">
                  <c:v>0.12605042016806722</c:v>
                </c:pt>
                <c:pt idx="66">
                  <c:v>0.17940199335548174</c:v>
                </c:pt>
                <c:pt idx="67">
                  <c:v>0.12371134020618557</c:v>
                </c:pt>
                <c:pt idx="68">
                  <c:v>7.7601410934744264E-2</c:v>
                </c:pt>
                <c:pt idx="69">
                  <c:v>0.10576923076923077</c:v>
                </c:pt>
                <c:pt idx="70">
                  <c:v>0.11614173228346457</c:v>
                </c:pt>
                <c:pt idx="71">
                  <c:v>0.11594202898550725</c:v>
                </c:pt>
                <c:pt idx="72">
                  <c:v>0.10789980732177264</c:v>
                </c:pt>
                <c:pt idx="73">
                  <c:v>7.3664825046040522E-2</c:v>
                </c:pt>
                <c:pt idx="74">
                  <c:v>0.1076923076923077</c:v>
                </c:pt>
                <c:pt idx="75">
                  <c:v>0.16403785488958991</c:v>
                </c:pt>
                <c:pt idx="76">
                  <c:v>6.0126582278481014E-2</c:v>
                </c:pt>
                <c:pt idx="77">
                  <c:v>6.3793103448275865E-2</c:v>
                </c:pt>
                <c:pt idx="78">
                  <c:v>7.5645756457564578E-2</c:v>
                </c:pt>
                <c:pt idx="79">
                  <c:v>7.5471698113207544E-2</c:v>
                </c:pt>
                <c:pt idx="80">
                  <c:v>7.662835249042145E-2</c:v>
                </c:pt>
                <c:pt idx="81">
                  <c:v>7.9629629629629634E-2</c:v>
                </c:pt>
                <c:pt idx="82">
                  <c:v>0.18027210884353742</c:v>
                </c:pt>
                <c:pt idx="83">
                  <c:v>0.16784869976359337</c:v>
                </c:pt>
                <c:pt idx="84">
                  <c:v>8.5648148148148154E-2</c:v>
                </c:pt>
                <c:pt idx="85">
                  <c:v>4.4176706827309238E-2</c:v>
                </c:pt>
                <c:pt idx="86">
                  <c:v>6.4056939501779361E-2</c:v>
                </c:pt>
                <c:pt idx="87">
                  <c:v>3.4261241970021415E-2</c:v>
                </c:pt>
                <c:pt idx="88">
                  <c:v>3.2454361054766734E-2</c:v>
                </c:pt>
                <c:pt idx="89">
                  <c:v>6.1728395061728392E-2</c:v>
                </c:pt>
                <c:pt idx="90">
                  <c:v>8.7248322147651006E-2</c:v>
                </c:pt>
                <c:pt idx="91">
                  <c:v>7.2727272727272724E-2</c:v>
                </c:pt>
                <c:pt idx="92">
                  <c:v>2.4193548387096774E-2</c:v>
                </c:pt>
                <c:pt idx="93">
                  <c:v>6.9620253164556958E-2</c:v>
                </c:pt>
                <c:pt idx="94">
                  <c:v>2.8776978417266189E-2</c:v>
                </c:pt>
                <c:pt idx="95">
                  <c:v>4.4609665427509292E-2</c:v>
                </c:pt>
                <c:pt idx="96">
                  <c:v>0.10077519379844961</c:v>
                </c:pt>
                <c:pt idx="97">
                  <c:v>3.6363636363636362E-2</c:v>
                </c:pt>
                <c:pt idx="98">
                  <c:v>0.15384615384615385</c:v>
                </c:pt>
                <c:pt idx="99">
                  <c:v>7.6388888888888895E-2</c:v>
                </c:pt>
                <c:pt idx="100">
                  <c:v>0.14285714285714285</c:v>
                </c:pt>
                <c:pt idx="101">
                  <c:v>8.3333333333333329E-2</c:v>
                </c:pt>
                <c:pt idx="102">
                  <c:v>8.7378640776699032E-2</c:v>
                </c:pt>
                <c:pt idx="103">
                  <c:v>7.1428571428571425E-2</c:v>
                </c:pt>
                <c:pt idx="104">
                  <c:v>7.4204946996466431E-2</c:v>
                </c:pt>
                <c:pt idx="105">
                  <c:v>7.6655052264808357E-2</c:v>
                </c:pt>
                <c:pt idx="106">
                  <c:v>3.3898305084745763E-2</c:v>
                </c:pt>
                <c:pt idx="107">
                  <c:v>5.4123711340206188E-2</c:v>
                </c:pt>
                <c:pt idx="108">
                  <c:v>4.7619047619047616E-2</c:v>
                </c:pt>
                <c:pt idx="109">
                  <c:v>6.1465721040189124E-2</c:v>
                </c:pt>
                <c:pt idx="110">
                  <c:v>0.15068493150684931</c:v>
                </c:pt>
                <c:pt idx="111">
                  <c:v>0.17721518987341772</c:v>
                </c:pt>
                <c:pt idx="112">
                  <c:v>0.17320261437908496</c:v>
                </c:pt>
                <c:pt idx="113">
                  <c:v>0.15137614678899083</c:v>
                </c:pt>
                <c:pt idx="114">
                  <c:v>0.14318706697459585</c:v>
                </c:pt>
                <c:pt idx="115">
                  <c:v>0.12393162393162394</c:v>
                </c:pt>
                <c:pt idx="116">
                  <c:v>0.12552301255230125</c:v>
                </c:pt>
                <c:pt idx="117">
                  <c:v>0.13191489361702127</c:v>
                </c:pt>
                <c:pt idx="118">
                  <c:v>0.1906474820143885</c:v>
                </c:pt>
                <c:pt idx="119">
                  <c:v>0.1858974358974359</c:v>
                </c:pt>
                <c:pt idx="120">
                  <c:v>0.10855263157894737</c:v>
                </c:pt>
                <c:pt idx="121">
                  <c:v>0.11530398322851153</c:v>
                </c:pt>
                <c:pt idx="122">
                  <c:v>0.14864864864864866</c:v>
                </c:pt>
                <c:pt idx="123">
                  <c:v>0.13606911447084233</c:v>
                </c:pt>
                <c:pt idx="124">
                  <c:v>0.14522821576763487</c:v>
                </c:pt>
                <c:pt idx="125">
                  <c:v>0.11071428571428571</c:v>
                </c:pt>
                <c:pt idx="126">
                  <c:v>0.16666666666666666</c:v>
                </c:pt>
                <c:pt idx="127">
                  <c:v>0.12238805970149254</c:v>
                </c:pt>
                <c:pt idx="128">
                  <c:v>9.2184368737474945E-2</c:v>
                </c:pt>
                <c:pt idx="129">
                  <c:v>0.13856812933025403</c:v>
                </c:pt>
                <c:pt idx="130">
                  <c:v>0.12715517241379309</c:v>
                </c:pt>
                <c:pt idx="131">
                  <c:v>0.10887096774193548</c:v>
                </c:pt>
                <c:pt idx="132">
                  <c:v>0.10285714285714286</c:v>
                </c:pt>
                <c:pt idx="133">
                  <c:v>0.10676156583629894</c:v>
                </c:pt>
                <c:pt idx="134">
                  <c:v>8.3892617449664433E-2</c:v>
                </c:pt>
                <c:pt idx="135">
                  <c:v>7.9207920792079209E-2</c:v>
                </c:pt>
                <c:pt idx="136">
                  <c:v>0.13807531380753138</c:v>
                </c:pt>
                <c:pt idx="137">
                  <c:v>0.14651162790697675</c:v>
                </c:pt>
                <c:pt idx="138">
                  <c:v>0.1</c:v>
                </c:pt>
                <c:pt idx="139">
                  <c:v>0.11087866108786611</c:v>
                </c:pt>
                <c:pt idx="140">
                  <c:v>9.0729783037475351E-2</c:v>
                </c:pt>
                <c:pt idx="141">
                  <c:v>0.27027027027027029</c:v>
                </c:pt>
                <c:pt idx="142">
                  <c:v>0.15771812080536912</c:v>
                </c:pt>
                <c:pt idx="143">
                  <c:v>0.14039408866995073</c:v>
                </c:pt>
                <c:pt idx="144">
                  <c:v>0.10696517412935323</c:v>
                </c:pt>
                <c:pt idx="145">
                  <c:v>0.12636165577342048</c:v>
                </c:pt>
                <c:pt idx="146">
                  <c:v>0.12025316455696203</c:v>
                </c:pt>
                <c:pt idx="147">
                  <c:v>0.35254237288135593</c:v>
                </c:pt>
                <c:pt idx="148">
                  <c:v>0.28176795580110497</c:v>
                </c:pt>
                <c:pt idx="149">
                  <c:v>7.0093457943925228E-2</c:v>
                </c:pt>
                <c:pt idx="150">
                  <c:v>5.6768558951965066E-2</c:v>
                </c:pt>
                <c:pt idx="151">
                  <c:v>8.9686098654708515E-2</c:v>
                </c:pt>
                <c:pt idx="152">
                  <c:v>6.2937062937062943E-2</c:v>
                </c:pt>
                <c:pt idx="153">
                  <c:v>0.12182741116751269</c:v>
                </c:pt>
                <c:pt idx="154">
                  <c:v>7.3863636363636367E-2</c:v>
                </c:pt>
                <c:pt idx="155">
                  <c:v>7.9812206572769953E-2</c:v>
                </c:pt>
                <c:pt idx="156">
                  <c:v>0.14666666666666667</c:v>
                </c:pt>
                <c:pt idx="157">
                  <c:v>0.12444444444444444</c:v>
                </c:pt>
                <c:pt idx="158">
                  <c:v>0.10569105691056911</c:v>
                </c:pt>
                <c:pt idx="159">
                  <c:v>0.11857707509881422</c:v>
                </c:pt>
                <c:pt idx="160">
                  <c:v>0.11016949152542373</c:v>
                </c:pt>
                <c:pt idx="161">
                  <c:v>0.1</c:v>
                </c:pt>
                <c:pt idx="162">
                  <c:v>8.3557951482479784E-2</c:v>
                </c:pt>
                <c:pt idx="163">
                  <c:v>0.14778325123152711</c:v>
                </c:pt>
                <c:pt idx="164">
                  <c:v>0.11469534050179211</c:v>
                </c:pt>
                <c:pt idx="165">
                  <c:v>8.3067092651757185E-2</c:v>
                </c:pt>
                <c:pt idx="166">
                  <c:v>8.1967213114754092E-2</c:v>
                </c:pt>
                <c:pt idx="167">
                  <c:v>3.47985347985348E-2</c:v>
                </c:pt>
                <c:pt idx="168">
                  <c:v>4.2424242424242427E-2</c:v>
                </c:pt>
                <c:pt idx="169">
                  <c:v>5.0100200400801605E-2</c:v>
                </c:pt>
                <c:pt idx="170">
                  <c:v>0.45267489711934156</c:v>
                </c:pt>
                <c:pt idx="171">
                  <c:v>0.33716475095785442</c:v>
                </c:pt>
                <c:pt idx="172">
                  <c:v>0.32775119617224879</c:v>
                </c:pt>
                <c:pt idx="173">
                  <c:v>0.30444444444444446</c:v>
                </c:pt>
                <c:pt idx="174">
                  <c:v>0.24516129032258063</c:v>
                </c:pt>
                <c:pt idx="175">
                  <c:v>0.25431034482758619</c:v>
                </c:pt>
                <c:pt idx="176">
                  <c:v>0.2033195020746888</c:v>
                </c:pt>
                <c:pt idx="177">
                  <c:v>8.5858585858585856E-2</c:v>
                </c:pt>
                <c:pt idx="178">
                  <c:v>0.1015625</c:v>
                </c:pt>
                <c:pt idx="179">
                  <c:v>0.10576923076923077</c:v>
                </c:pt>
                <c:pt idx="180">
                  <c:v>0.107981220657277</c:v>
                </c:pt>
                <c:pt idx="181">
                  <c:v>0.10416666666666667</c:v>
                </c:pt>
                <c:pt idx="182">
                  <c:v>0.12538226299694188</c:v>
                </c:pt>
                <c:pt idx="183">
                  <c:v>0.11881188118811881</c:v>
                </c:pt>
                <c:pt idx="184">
                  <c:v>0.15076923076923077</c:v>
                </c:pt>
                <c:pt idx="185">
                  <c:v>0.23886639676113361</c:v>
                </c:pt>
                <c:pt idx="186">
                  <c:v>0.18360655737704917</c:v>
                </c:pt>
                <c:pt idx="187">
                  <c:v>0.19682539682539682</c:v>
                </c:pt>
                <c:pt idx="188">
                  <c:v>0.20698254364089774</c:v>
                </c:pt>
                <c:pt idx="189">
                  <c:v>0.15952380952380951</c:v>
                </c:pt>
                <c:pt idx="190">
                  <c:v>0.16666666666666666</c:v>
                </c:pt>
                <c:pt idx="191">
                  <c:v>0.12882096069868995</c:v>
                </c:pt>
                <c:pt idx="192">
                  <c:v>0.19101123595505617</c:v>
                </c:pt>
                <c:pt idx="193">
                  <c:v>0.15740740740740741</c:v>
                </c:pt>
                <c:pt idx="194">
                  <c:v>0.13230769230769232</c:v>
                </c:pt>
                <c:pt idx="195">
                  <c:v>5.6530214424951264E-2</c:v>
                </c:pt>
                <c:pt idx="196">
                  <c:v>6.7538126361655779E-2</c:v>
                </c:pt>
                <c:pt idx="197">
                  <c:v>6.2111801242236024E-2</c:v>
                </c:pt>
                <c:pt idx="198">
                  <c:v>0.426056338028169</c:v>
                </c:pt>
                <c:pt idx="199">
                  <c:v>0.26822157434402333</c:v>
                </c:pt>
                <c:pt idx="200">
                  <c:v>0.31481481481481483</c:v>
                </c:pt>
                <c:pt idx="201">
                  <c:v>0.12109375</c:v>
                </c:pt>
                <c:pt idx="202">
                  <c:v>0.13780918727915195</c:v>
                </c:pt>
                <c:pt idx="203">
                  <c:v>0.12203389830508475</c:v>
                </c:pt>
                <c:pt idx="204">
                  <c:v>6.6964285714285712E-2</c:v>
                </c:pt>
                <c:pt idx="205">
                  <c:v>8.5918854415274457E-2</c:v>
                </c:pt>
                <c:pt idx="206">
                  <c:v>7.0422535211267609E-2</c:v>
                </c:pt>
                <c:pt idx="207">
                  <c:v>0.16778523489932887</c:v>
                </c:pt>
                <c:pt idx="208">
                  <c:v>0.12206572769953052</c:v>
                </c:pt>
                <c:pt idx="209">
                  <c:v>0.193717277486911</c:v>
                </c:pt>
                <c:pt idx="210">
                  <c:v>0.16961130742049471</c:v>
                </c:pt>
                <c:pt idx="211">
                  <c:v>0.18027210884353742</c:v>
                </c:pt>
                <c:pt idx="212">
                  <c:v>0.20875420875420875</c:v>
                </c:pt>
                <c:pt idx="213">
                  <c:v>0.11960132890365449</c:v>
                </c:pt>
                <c:pt idx="214">
                  <c:v>0.11148648648648649</c:v>
                </c:pt>
                <c:pt idx="215">
                  <c:v>8.5034013605442174E-2</c:v>
                </c:pt>
                <c:pt idx="216">
                  <c:v>4.8387096774193547E-2</c:v>
                </c:pt>
                <c:pt idx="217">
                  <c:v>7.9812206572769953E-2</c:v>
                </c:pt>
                <c:pt idx="218">
                  <c:v>8.7264150943396221E-2</c:v>
                </c:pt>
                <c:pt idx="219">
                  <c:v>0.10945273631840796</c:v>
                </c:pt>
                <c:pt idx="220">
                  <c:v>0.11928934010152284</c:v>
                </c:pt>
                <c:pt idx="221">
                  <c:v>0.11633663366336634</c:v>
                </c:pt>
                <c:pt idx="222">
                  <c:v>0.11282051282051282</c:v>
                </c:pt>
                <c:pt idx="223">
                  <c:v>0.12919896640826872</c:v>
                </c:pt>
                <c:pt idx="224">
                  <c:v>0.11311053984575835</c:v>
                </c:pt>
                <c:pt idx="225">
                  <c:v>9.9236641221374045E-2</c:v>
                </c:pt>
                <c:pt idx="226">
                  <c:v>8.3732057416267949E-2</c:v>
                </c:pt>
                <c:pt idx="227">
                  <c:v>8.6247086247086241E-2</c:v>
                </c:pt>
                <c:pt idx="228">
                  <c:v>0.10199556541019955</c:v>
                </c:pt>
                <c:pt idx="229">
                  <c:v>0.10294117647058823</c:v>
                </c:pt>
                <c:pt idx="230">
                  <c:v>7.3496659242761692E-2</c:v>
                </c:pt>
                <c:pt idx="231">
                  <c:v>0.10967741935483871</c:v>
                </c:pt>
                <c:pt idx="232">
                  <c:v>8.5836909871244635E-2</c:v>
                </c:pt>
                <c:pt idx="233">
                  <c:v>5.0335570469798654E-2</c:v>
                </c:pt>
                <c:pt idx="234">
                  <c:v>3.0821917808219176E-2</c:v>
                </c:pt>
                <c:pt idx="235">
                  <c:v>3.6750483558994199E-2</c:v>
                </c:pt>
                <c:pt idx="236">
                  <c:v>2.7027027027027029E-2</c:v>
                </c:pt>
                <c:pt idx="237">
                  <c:v>4.3478260869565216E-2</c:v>
                </c:pt>
                <c:pt idx="238">
                  <c:v>3.5999999999999997E-2</c:v>
                </c:pt>
                <c:pt idx="239">
                  <c:v>3.8054968287526428E-2</c:v>
                </c:pt>
                <c:pt idx="240">
                  <c:v>2.2944550669216062E-2</c:v>
                </c:pt>
                <c:pt idx="241">
                  <c:v>2.1352313167259787E-2</c:v>
                </c:pt>
                <c:pt idx="242">
                  <c:v>0.10431654676258993</c:v>
                </c:pt>
                <c:pt idx="243">
                  <c:v>5.6250000000000001E-2</c:v>
                </c:pt>
                <c:pt idx="244">
                  <c:v>4.9618320610687022E-2</c:v>
                </c:pt>
                <c:pt idx="245">
                  <c:v>4.3032786885245901E-2</c:v>
                </c:pt>
                <c:pt idx="246">
                  <c:v>4.8625792811839326E-2</c:v>
                </c:pt>
                <c:pt idx="247">
                  <c:v>4.4230769230769233E-2</c:v>
                </c:pt>
                <c:pt idx="248">
                  <c:v>5.1502145922746781E-2</c:v>
                </c:pt>
                <c:pt idx="249">
                  <c:v>0.05</c:v>
                </c:pt>
                <c:pt idx="250">
                  <c:v>4.1666666666666664E-2</c:v>
                </c:pt>
                <c:pt idx="251">
                  <c:v>4.3668122270742356E-2</c:v>
                </c:pt>
                <c:pt idx="252">
                  <c:v>3.2183908045977011E-2</c:v>
                </c:pt>
                <c:pt idx="253">
                  <c:v>2.813852813852814E-2</c:v>
                </c:pt>
                <c:pt idx="254">
                  <c:v>6.1946902654867256E-2</c:v>
                </c:pt>
                <c:pt idx="255">
                  <c:v>4.7138047138047139E-2</c:v>
                </c:pt>
                <c:pt idx="256">
                  <c:v>3.9867109634551492E-2</c:v>
                </c:pt>
                <c:pt idx="257">
                  <c:v>3.5164835164835165E-2</c:v>
                </c:pt>
                <c:pt idx="258">
                  <c:v>4.5238095238095237E-2</c:v>
                </c:pt>
                <c:pt idx="259">
                  <c:v>4.3373493975903614E-2</c:v>
                </c:pt>
                <c:pt idx="260">
                  <c:v>4.5738045738045741E-2</c:v>
                </c:pt>
                <c:pt idx="261">
                  <c:v>9.5454545454545459E-2</c:v>
                </c:pt>
                <c:pt idx="262">
                  <c:v>5.2083333333333336E-2</c:v>
                </c:pt>
                <c:pt idx="263">
                  <c:v>4.3749999999999997E-2</c:v>
                </c:pt>
                <c:pt idx="264">
                  <c:v>4.3981481481481483E-2</c:v>
                </c:pt>
                <c:pt idx="265">
                  <c:v>4.3689320388349516E-2</c:v>
                </c:pt>
                <c:pt idx="266">
                  <c:v>2.8639618138424822E-2</c:v>
                </c:pt>
                <c:pt idx="267">
                  <c:v>0.41319444444444442</c:v>
                </c:pt>
                <c:pt idx="268">
                  <c:v>0.36075949367088606</c:v>
                </c:pt>
                <c:pt idx="269">
                  <c:v>0.2414448669201521</c:v>
                </c:pt>
                <c:pt idx="270">
                  <c:v>0.20564516129032259</c:v>
                </c:pt>
                <c:pt idx="271">
                  <c:v>0.22937625754527163</c:v>
                </c:pt>
                <c:pt idx="272">
                  <c:v>0.19498069498069498</c:v>
                </c:pt>
                <c:pt idx="273">
                  <c:v>0.2304147465437788</c:v>
                </c:pt>
                <c:pt idx="274">
                  <c:v>0.27491408934707906</c:v>
                </c:pt>
                <c:pt idx="275">
                  <c:v>0.30650154798761609</c:v>
                </c:pt>
                <c:pt idx="276">
                  <c:v>0.36990595611285265</c:v>
                </c:pt>
                <c:pt idx="277">
                  <c:v>0.25742574257425743</c:v>
                </c:pt>
                <c:pt idx="278">
                  <c:v>0.21238938053097345</c:v>
                </c:pt>
                <c:pt idx="279">
                  <c:v>0.14157706093189965</c:v>
                </c:pt>
                <c:pt idx="280">
                  <c:v>0.14862385321100918</c:v>
                </c:pt>
                <c:pt idx="281">
                  <c:v>0.12199630314232902</c:v>
                </c:pt>
                <c:pt idx="282">
                  <c:v>0.14000000000000001</c:v>
                </c:pt>
                <c:pt idx="283">
                  <c:v>0.130879345603272</c:v>
                </c:pt>
                <c:pt idx="284">
                  <c:v>0.14046121593291405</c:v>
                </c:pt>
                <c:pt idx="285">
                  <c:v>0.14705882352941177</c:v>
                </c:pt>
                <c:pt idx="286">
                  <c:v>0.17346938775510204</c:v>
                </c:pt>
                <c:pt idx="287">
                  <c:v>0.15966386554621848</c:v>
                </c:pt>
                <c:pt idx="288">
                  <c:v>0.182</c:v>
                </c:pt>
                <c:pt idx="289">
                  <c:v>0.1489795918367347</c:v>
                </c:pt>
                <c:pt idx="290">
                  <c:v>0.14365671641791045</c:v>
                </c:pt>
                <c:pt idx="291">
                  <c:v>0.15963302752293579</c:v>
                </c:pt>
                <c:pt idx="292">
                  <c:v>0.13761467889908258</c:v>
                </c:pt>
                <c:pt idx="293">
                  <c:v>0.13996316758747698</c:v>
                </c:pt>
                <c:pt idx="294">
                  <c:v>0.12676056338028169</c:v>
                </c:pt>
                <c:pt idx="295">
                  <c:v>0.14385964912280702</c:v>
                </c:pt>
                <c:pt idx="296">
                  <c:v>5.9405940594059403E-2</c:v>
                </c:pt>
                <c:pt idx="297">
                  <c:v>4.8109965635738834E-2</c:v>
                </c:pt>
                <c:pt idx="298">
                  <c:v>7.2463768115942032E-2</c:v>
                </c:pt>
                <c:pt idx="299">
                  <c:v>5.2036199095022627E-2</c:v>
                </c:pt>
                <c:pt idx="300">
                  <c:v>4.9568965517241381E-2</c:v>
                </c:pt>
                <c:pt idx="301">
                  <c:v>0.25660377358490566</c:v>
                </c:pt>
                <c:pt idx="302">
                  <c:v>0.14563106796116504</c:v>
                </c:pt>
                <c:pt idx="303">
                  <c:v>0.1099290780141844</c:v>
                </c:pt>
                <c:pt idx="304">
                  <c:v>0.15037593984962405</c:v>
                </c:pt>
                <c:pt idx="305">
                  <c:v>0.13940520446096655</c:v>
                </c:pt>
                <c:pt idx="306">
                  <c:v>0.16206261510128914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9-4427-BFFC-5130F7396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236416"/>
        <c:axId val="896336096"/>
      </c:scatterChart>
      <c:valAx>
        <c:axId val="687236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336096"/>
        <c:crosses val="autoZero"/>
        <c:crossBetween val="midCat"/>
      </c:valAx>
      <c:valAx>
        <c:axId val="8963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P130 Rasah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063429571303588E-2"/>
                  <c:y val="0.4219838145231846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RaceWorksheet!$J$2:$J$308</c:f>
              <c:numCache>
                <c:formatCode>0.0%</c:formatCode>
                <c:ptCount val="307"/>
                <c:pt idx="0">
                  <c:v>2.8571428571428571E-3</c:v>
                </c:pt>
                <c:pt idx="1">
                  <c:v>5.5096418732782371E-3</c:v>
                </c:pt>
                <c:pt idx="2">
                  <c:v>0</c:v>
                </c:pt>
                <c:pt idx="3">
                  <c:v>2.8571428571428571E-3</c:v>
                </c:pt>
                <c:pt idx="4">
                  <c:v>0</c:v>
                </c:pt>
                <c:pt idx="5">
                  <c:v>0</c:v>
                </c:pt>
                <c:pt idx="6">
                  <c:v>0.14864864864864866</c:v>
                </c:pt>
                <c:pt idx="7">
                  <c:v>0.1</c:v>
                </c:pt>
                <c:pt idx="8">
                  <c:v>7.8378378378378383E-2</c:v>
                </c:pt>
                <c:pt idx="9">
                  <c:v>6.1643835616438353E-2</c:v>
                </c:pt>
                <c:pt idx="10">
                  <c:v>7.2503419972640218E-2</c:v>
                </c:pt>
                <c:pt idx="11">
                  <c:v>6.8399452804377564E-2</c:v>
                </c:pt>
                <c:pt idx="12">
                  <c:v>5.7455540355677154E-2</c:v>
                </c:pt>
                <c:pt idx="13">
                  <c:v>4.0540540540540543E-2</c:v>
                </c:pt>
                <c:pt idx="14">
                  <c:v>2.9729729729729731E-2</c:v>
                </c:pt>
                <c:pt idx="15">
                  <c:v>1.167883211678832E-2</c:v>
                </c:pt>
                <c:pt idx="16">
                  <c:v>2.0408163265306121E-2</c:v>
                </c:pt>
                <c:pt idx="17">
                  <c:v>1.020408163265306E-2</c:v>
                </c:pt>
                <c:pt idx="18">
                  <c:v>1.4577259475218659E-3</c:v>
                </c:pt>
                <c:pt idx="19">
                  <c:v>1.0810810810810811E-2</c:v>
                </c:pt>
                <c:pt idx="20">
                  <c:v>1.3513513513513514E-2</c:v>
                </c:pt>
                <c:pt idx="21">
                  <c:v>9.630818619582664E-3</c:v>
                </c:pt>
                <c:pt idx="22">
                  <c:v>1.6051364365971107E-3</c:v>
                </c:pt>
                <c:pt idx="23">
                  <c:v>3.2102728731942215E-3</c:v>
                </c:pt>
                <c:pt idx="24">
                  <c:v>8.0555555555555561E-2</c:v>
                </c:pt>
                <c:pt idx="25">
                  <c:v>3.3333333333333333E-2</c:v>
                </c:pt>
                <c:pt idx="26">
                  <c:v>2.7944111776447105E-2</c:v>
                </c:pt>
                <c:pt idx="27">
                  <c:v>3.5928143712574849E-2</c:v>
                </c:pt>
                <c:pt idx="28">
                  <c:v>1.7964071856287425E-2</c:v>
                </c:pt>
                <c:pt idx="29">
                  <c:v>3.1428571428571431E-2</c:v>
                </c:pt>
                <c:pt idx="30">
                  <c:v>1.7902813299232736E-2</c:v>
                </c:pt>
                <c:pt idx="31">
                  <c:v>0.36666666666666664</c:v>
                </c:pt>
                <c:pt idx="32">
                  <c:v>0.27500000000000002</c:v>
                </c:pt>
                <c:pt idx="33">
                  <c:v>0.29444444444444445</c:v>
                </c:pt>
                <c:pt idx="34">
                  <c:v>0.32377740303541314</c:v>
                </c:pt>
                <c:pt idx="35">
                  <c:v>0.30860033726812819</c:v>
                </c:pt>
                <c:pt idx="36">
                  <c:v>0.29173693086003372</c:v>
                </c:pt>
                <c:pt idx="37">
                  <c:v>0.36762225969645868</c:v>
                </c:pt>
                <c:pt idx="38">
                  <c:v>1.3513513513513514E-2</c:v>
                </c:pt>
                <c:pt idx="39">
                  <c:v>1.6216216216216217E-2</c:v>
                </c:pt>
                <c:pt idx="40">
                  <c:v>2.3404255319148935E-2</c:v>
                </c:pt>
                <c:pt idx="41">
                  <c:v>2.9787234042553193E-2</c:v>
                </c:pt>
                <c:pt idx="42">
                  <c:v>0.32222222222222224</c:v>
                </c:pt>
                <c:pt idx="43">
                  <c:v>0.20555555555555555</c:v>
                </c:pt>
                <c:pt idx="44">
                  <c:v>0.1783132530120482</c:v>
                </c:pt>
                <c:pt idx="45">
                  <c:v>0.13221153846153846</c:v>
                </c:pt>
                <c:pt idx="46">
                  <c:v>0.11538461538461539</c:v>
                </c:pt>
                <c:pt idx="47">
                  <c:v>0.12222222222222222</c:v>
                </c:pt>
                <c:pt idx="48">
                  <c:v>0.10833333333333334</c:v>
                </c:pt>
                <c:pt idx="49">
                  <c:v>3.1971580817051509E-2</c:v>
                </c:pt>
                <c:pt idx="50">
                  <c:v>5.8614564831261103E-2</c:v>
                </c:pt>
                <c:pt idx="51">
                  <c:v>6.9271758436944941E-2</c:v>
                </c:pt>
                <c:pt idx="52">
                  <c:v>3.0195381882770871E-2</c:v>
                </c:pt>
                <c:pt idx="53">
                  <c:v>5.3191489361702126E-3</c:v>
                </c:pt>
                <c:pt idx="54">
                  <c:v>0.19166666666666668</c:v>
                </c:pt>
                <c:pt idx="55">
                  <c:v>9.166666666666666E-2</c:v>
                </c:pt>
                <c:pt idx="56">
                  <c:v>4.5911047345767578E-2</c:v>
                </c:pt>
                <c:pt idx="57">
                  <c:v>8.608321377331421E-2</c:v>
                </c:pt>
                <c:pt idx="58">
                  <c:v>3.0085959885386818E-2</c:v>
                </c:pt>
                <c:pt idx="59">
                  <c:v>1.5759312320916905E-2</c:v>
                </c:pt>
                <c:pt idx="60">
                  <c:v>0.54594594594594592</c:v>
                </c:pt>
                <c:pt idx="61">
                  <c:v>0.48648648648648651</c:v>
                </c:pt>
                <c:pt idx="62">
                  <c:v>0.52972972972972976</c:v>
                </c:pt>
                <c:pt idx="63">
                  <c:v>0.52584933530280653</c:v>
                </c:pt>
                <c:pt idx="64">
                  <c:v>0.48744460856720828</c:v>
                </c:pt>
                <c:pt idx="65">
                  <c:v>0.38700147710487443</c:v>
                </c:pt>
                <c:pt idx="66">
                  <c:v>0.44017725258493351</c:v>
                </c:pt>
                <c:pt idx="67">
                  <c:v>0.4342688330871492</c:v>
                </c:pt>
                <c:pt idx="68">
                  <c:v>0.41358936484490399</c:v>
                </c:pt>
                <c:pt idx="69">
                  <c:v>0.65789473684210531</c:v>
                </c:pt>
                <c:pt idx="70">
                  <c:v>0.57736389684813749</c:v>
                </c:pt>
                <c:pt idx="71">
                  <c:v>0.57879656160458448</c:v>
                </c:pt>
                <c:pt idx="72">
                  <c:v>0.56303724928366761</c:v>
                </c:pt>
                <c:pt idx="73">
                  <c:v>0.52435530085959881</c:v>
                </c:pt>
                <c:pt idx="74">
                  <c:v>0.36842105263157893</c:v>
                </c:pt>
                <c:pt idx="75">
                  <c:v>0.31777378815080792</c:v>
                </c:pt>
                <c:pt idx="76">
                  <c:v>0.27777777777777779</c:v>
                </c:pt>
                <c:pt idx="77">
                  <c:v>0.59736842105263155</c:v>
                </c:pt>
                <c:pt idx="78">
                  <c:v>0.52105263157894732</c:v>
                </c:pt>
                <c:pt idx="79">
                  <c:v>0.59736842105263155</c:v>
                </c:pt>
                <c:pt idx="80">
                  <c:v>0.65312046444121918</c:v>
                </c:pt>
                <c:pt idx="81">
                  <c:v>0.61538461538461542</c:v>
                </c:pt>
                <c:pt idx="82">
                  <c:v>0.55797101449275366</c:v>
                </c:pt>
                <c:pt idx="83">
                  <c:v>0.5130434782608696</c:v>
                </c:pt>
                <c:pt idx="84">
                  <c:v>0.4826086956521739</c:v>
                </c:pt>
                <c:pt idx="85">
                  <c:v>0.54594594594594592</c:v>
                </c:pt>
                <c:pt idx="86">
                  <c:v>0.69459459459459461</c:v>
                </c:pt>
                <c:pt idx="87">
                  <c:v>0.65548780487804881</c:v>
                </c:pt>
                <c:pt idx="88">
                  <c:v>0.61796042617960423</c:v>
                </c:pt>
                <c:pt idx="89">
                  <c:v>0.7756653992395437</c:v>
                </c:pt>
                <c:pt idx="90">
                  <c:v>0.93666666666666665</c:v>
                </c:pt>
                <c:pt idx="91">
                  <c:v>0.96250000000000002</c:v>
                </c:pt>
                <c:pt idx="92">
                  <c:v>0.95072463768115945</c:v>
                </c:pt>
                <c:pt idx="93">
                  <c:v>0.85</c:v>
                </c:pt>
                <c:pt idx="94">
                  <c:v>0.95211267605633798</c:v>
                </c:pt>
                <c:pt idx="95">
                  <c:v>0.86760563380281686</c:v>
                </c:pt>
                <c:pt idx="96">
                  <c:v>0.94</c:v>
                </c:pt>
                <c:pt idx="97">
                  <c:v>0.92380952380952386</c:v>
                </c:pt>
                <c:pt idx="98">
                  <c:v>0.71573604060913709</c:v>
                </c:pt>
                <c:pt idx="99">
                  <c:v>0.71573604060913709</c:v>
                </c:pt>
                <c:pt idx="100">
                  <c:v>0.43437500000000001</c:v>
                </c:pt>
                <c:pt idx="101">
                  <c:v>0.49375000000000002</c:v>
                </c:pt>
                <c:pt idx="102">
                  <c:v>0.36817102137767221</c:v>
                </c:pt>
                <c:pt idx="103">
                  <c:v>0.68333333333333335</c:v>
                </c:pt>
                <c:pt idx="104">
                  <c:v>0.66111111111111109</c:v>
                </c:pt>
                <c:pt idx="105">
                  <c:v>0.59722222222222221</c:v>
                </c:pt>
                <c:pt idx="106">
                  <c:v>0.67586206896551726</c:v>
                </c:pt>
                <c:pt idx="107">
                  <c:v>0.71772805507745263</c:v>
                </c:pt>
                <c:pt idx="108">
                  <c:v>0.60585197934595525</c:v>
                </c:pt>
                <c:pt idx="109">
                  <c:v>0.5129087779690189</c:v>
                </c:pt>
                <c:pt idx="110">
                  <c:v>0.04</c:v>
                </c:pt>
                <c:pt idx="111">
                  <c:v>1.3574660633484163E-2</c:v>
                </c:pt>
                <c:pt idx="112">
                  <c:v>0.4263157894736842</c:v>
                </c:pt>
                <c:pt idx="113">
                  <c:v>0.44210526315789472</c:v>
                </c:pt>
                <c:pt idx="114">
                  <c:v>0.44736842105263158</c:v>
                </c:pt>
                <c:pt idx="115">
                  <c:v>0.39687499999999998</c:v>
                </c:pt>
                <c:pt idx="116">
                  <c:v>0.36406250000000001</c:v>
                </c:pt>
                <c:pt idx="117">
                  <c:v>0.36193447737909518</c:v>
                </c:pt>
                <c:pt idx="118">
                  <c:v>0.36349453978159124</c:v>
                </c:pt>
                <c:pt idx="119">
                  <c:v>0.36661466458658348</c:v>
                </c:pt>
                <c:pt idx="120">
                  <c:v>0.56216216216216219</c:v>
                </c:pt>
                <c:pt idx="121">
                  <c:v>0.44054054054054054</c:v>
                </c:pt>
                <c:pt idx="122">
                  <c:v>0.51081081081081081</c:v>
                </c:pt>
                <c:pt idx="123">
                  <c:v>0.54929577464788737</c:v>
                </c:pt>
                <c:pt idx="124">
                  <c:v>0.46406249999999999</c:v>
                </c:pt>
                <c:pt idx="125">
                  <c:v>0.41093750000000001</c:v>
                </c:pt>
                <c:pt idx="126">
                  <c:v>0.39218750000000002</c:v>
                </c:pt>
                <c:pt idx="127">
                  <c:v>0.63421052631578945</c:v>
                </c:pt>
                <c:pt idx="128">
                  <c:v>0.54473684210526319</c:v>
                </c:pt>
                <c:pt idx="129">
                  <c:v>0.60263157894736841</c:v>
                </c:pt>
                <c:pt idx="130">
                  <c:v>0.54477611940298509</c:v>
                </c:pt>
                <c:pt idx="131">
                  <c:v>0.46716417910447761</c:v>
                </c:pt>
                <c:pt idx="132">
                  <c:v>0.4419642857142857</c:v>
                </c:pt>
                <c:pt idx="133">
                  <c:v>0.45535714285714285</c:v>
                </c:pt>
                <c:pt idx="134">
                  <c:v>0.46279761904761907</c:v>
                </c:pt>
                <c:pt idx="135">
                  <c:v>0.5368421052631579</c:v>
                </c:pt>
                <c:pt idx="136">
                  <c:v>0.41052631578947368</c:v>
                </c:pt>
                <c:pt idx="137">
                  <c:v>0.38157894736842107</c:v>
                </c:pt>
                <c:pt idx="138">
                  <c:v>0.47419354838709676</c:v>
                </c:pt>
                <c:pt idx="139">
                  <c:v>0.39677419354838711</c:v>
                </c:pt>
                <c:pt idx="140">
                  <c:v>0.30483870967741933</c:v>
                </c:pt>
                <c:pt idx="141">
                  <c:v>0.27741935483870966</c:v>
                </c:pt>
                <c:pt idx="142">
                  <c:v>0.28387096774193549</c:v>
                </c:pt>
                <c:pt idx="143">
                  <c:v>0.33513513513513515</c:v>
                </c:pt>
                <c:pt idx="144">
                  <c:v>0.45405405405405408</c:v>
                </c:pt>
                <c:pt idx="145">
                  <c:v>0.47526501766784451</c:v>
                </c:pt>
                <c:pt idx="146">
                  <c:v>0.41342756183745583</c:v>
                </c:pt>
                <c:pt idx="147">
                  <c:v>0.40282685512367489</c:v>
                </c:pt>
                <c:pt idx="148">
                  <c:v>0.39045936395759717</c:v>
                </c:pt>
                <c:pt idx="149">
                  <c:v>0.85172413793103452</c:v>
                </c:pt>
                <c:pt idx="150">
                  <c:v>0.60383386581469645</c:v>
                </c:pt>
                <c:pt idx="151">
                  <c:v>0.81081081081081086</c:v>
                </c:pt>
                <c:pt idx="152">
                  <c:v>0.82432432432432434</c:v>
                </c:pt>
                <c:pt idx="153">
                  <c:v>0.64314516129032262</c:v>
                </c:pt>
                <c:pt idx="154">
                  <c:v>0.81690140845070425</c:v>
                </c:pt>
                <c:pt idx="155">
                  <c:v>0.68661971830985913</c:v>
                </c:pt>
                <c:pt idx="156">
                  <c:v>0.50263157894736843</c:v>
                </c:pt>
                <c:pt idx="157">
                  <c:v>0.52368421052631575</c:v>
                </c:pt>
                <c:pt idx="158">
                  <c:v>0.52105263157894732</c:v>
                </c:pt>
                <c:pt idx="159">
                  <c:v>0.47368421052631576</c:v>
                </c:pt>
                <c:pt idx="160">
                  <c:v>0.45018450184501846</c:v>
                </c:pt>
                <c:pt idx="161">
                  <c:v>0.4059040590405904</c:v>
                </c:pt>
                <c:pt idx="162">
                  <c:v>0.34870848708487084</c:v>
                </c:pt>
                <c:pt idx="163">
                  <c:v>0.95789473684210524</c:v>
                </c:pt>
                <c:pt idx="164">
                  <c:v>0.94736842105263153</c:v>
                </c:pt>
                <c:pt idx="165">
                  <c:v>0.94210526315789478</c:v>
                </c:pt>
                <c:pt idx="166">
                  <c:v>0.95</c:v>
                </c:pt>
                <c:pt idx="167">
                  <c:v>0.96279069767441861</c:v>
                </c:pt>
                <c:pt idx="168">
                  <c:v>0.94108527131782949</c:v>
                </c:pt>
                <c:pt idx="169">
                  <c:v>0.87131782945736436</c:v>
                </c:pt>
                <c:pt idx="170">
                  <c:v>0.20569620253164558</c:v>
                </c:pt>
                <c:pt idx="171">
                  <c:v>0.18611987381703471</c:v>
                </c:pt>
                <c:pt idx="172">
                  <c:v>0.140625</c:v>
                </c:pt>
                <c:pt idx="173">
                  <c:v>8.7499999999999994E-2</c:v>
                </c:pt>
                <c:pt idx="174">
                  <c:v>0.13148788927335639</c:v>
                </c:pt>
                <c:pt idx="175">
                  <c:v>5.1903114186851208E-2</c:v>
                </c:pt>
                <c:pt idx="176">
                  <c:v>9.8445595854922283E-2</c:v>
                </c:pt>
                <c:pt idx="177">
                  <c:v>0.421875</c:v>
                </c:pt>
                <c:pt idx="178">
                  <c:v>0.4</c:v>
                </c:pt>
                <c:pt idx="179">
                  <c:v>0.40277777777777779</c:v>
                </c:pt>
                <c:pt idx="180">
                  <c:v>0.66052631578947374</c:v>
                </c:pt>
                <c:pt idx="181">
                  <c:v>0.62894736842105259</c:v>
                </c:pt>
                <c:pt idx="182">
                  <c:v>0.6344827586206897</c:v>
                </c:pt>
                <c:pt idx="183">
                  <c:v>0.59174311926605505</c:v>
                </c:pt>
                <c:pt idx="184">
                  <c:v>0.49311926605504586</c:v>
                </c:pt>
                <c:pt idx="185">
                  <c:v>0.33157894736842103</c:v>
                </c:pt>
                <c:pt idx="186">
                  <c:v>0.23947368421052631</c:v>
                </c:pt>
                <c:pt idx="187">
                  <c:v>0.21578947368421053</c:v>
                </c:pt>
                <c:pt idx="188">
                  <c:v>0.22613065326633167</c:v>
                </c:pt>
                <c:pt idx="189">
                  <c:v>0.16582914572864321</c:v>
                </c:pt>
                <c:pt idx="190">
                  <c:v>0.13712374581939799</c:v>
                </c:pt>
                <c:pt idx="191">
                  <c:v>0.14548494983277591</c:v>
                </c:pt>
                <c:pt idx="192">
                  <c:v>0.33243243243243242</c:v>
                </c:pt>
                <c:pt idx="193">
                  <c:v>0.36596736596736595</c:v>
                </c:pt>
                <c:pt idx="194">
                  <c:v>0.11888111888111888</c:v>
                </c:pt>
                <c:pt idx="195">
                  <c:v>0.73421052631578942</c:v>
                </c:pt>
                <c:pt idx="196">
                  <c:v>0.80263157894736847</c:v>
                </c:pt>
                <c:pt idx="197">
                  <c:v>0.80263157894736847</c:v>
                </c:pt>
                <c:pt idx="198">
                  <c:v>0.77741935483870972</c:v>
                </c:pt>
                <c:pt idx="199">
                  <c:v>0.71497584541062797</c:v>
                </c:pt>
                <c:pt idx="200">
                  <c:v>0.64412238325281801</c:v>
                </c:pt>
                <c:pt idx="201">
                  <c:v>0.37368421052631579</c:v>
                </c:pt>
                <c:pt idx="202">
                  <c:v>0.4026315789473684</c:v>
                </c:pt>
                <c:pt idx="203">
                  <c:v>0.40789473684210525</c:v>
                </c:pt>
                <c:pt idx="204">
                  <c:v>0.44067796610169491</c:v>
                </c:pt>
                <c:pt idx="205">
                  <c:v>0.43389830508474575</c:v>
                </c:pt>
                <c:pt idx="206">
                  <c:v>0.36949152542372882</c:v>
                </c:pt>
                <c:pt idx="207">
                  <c:v>0.78500000000000003</c:v>
                </c:pt>
                <c:pt idx="208">
                  <c:v>0.61092715231788075</c:v>
                </c:pt>
                <c:pt idx="209">
                  <c:v>0.49189189189189192</c:v>
                </c:pt>
                <c:pt idx="210">
                  <c:v>0.57027027027027022</c:v>
                </c:pt>
                <c:pt idx="211">
                  <c:v>0.5</c:v>
                </c:pt>
                <c:pt idx="212">
                  <c:v>0.49189189189189192</c:v>
                </c:pt>
                <c:pt idx="213">
                  <c:v>0.6</c:v>
                </c:pt>
                <c:pt idx="214">
                  <c:v>0.56216216216216219</c:v>
                </c:pt>
                <c:pt idx="215">
                  <c:v>0.61351351351351346</c:v>
                </c:pt>
                <c:pt idx="216">
                  <c:v>0.61182994454713491</c:v>
                </c:pt>
                <c:pt idx="217">
                  <c:v>0.56931608133086875</c:v>
                </c:pt>
                <c:pt idx="218">
                  <c:v>0.57486136783733821</c:v>
                </c:pt>
                <c:pt idx="219">
                  <c:v>0.51201478743068396</c:v>
                </c:pt>
                <c:pt idx="220">
                  <c:v>0.51571164510166356</c:v>
                </c:pt>
                <c:pt idx="221">
                  <c:v>0.47689463955637706</c:v>
                </c:pt>
                <c:pt idx="222">
                  <c:v>0.46025878003696857</c:v>
                </c:pt>
                <c:pt idx="223">
                  <c:v>0.45940959409594095</c:v>
                </c:pt>
                <c:pt idx="224">
                  <c:v>0.45018450184501846</c:v>
                </c:pt>
                <c:pt idx="225">
                  <c:v>0.42988929889298894</c:v>
                </c:pt>
                <c:pt idx="226">
                  <c:v>0.43726937269372695</c:v>
                </c:pt>
                <c:pt idx="227">
                  <c:v>0.4059040590405904</c:v>
                </c:pt>
                <c:pt idx="228">
                  <c:v>0.34686346863468637</c:v>
                </c:pt>
                <c:pt idx="229">
                  <c:v>0.6</c:v>
                </c:pt>
                <c:pt idx="230">
                  <c:v>0.60491803278688527</c:v>
                </c:pt>
                <c:pt idx="231">
                  <c:v>0.4746317512274959</c:v>
                </c:pt>
                <c:pt idx="232">
                  <c:v>0.48157894736842105</c:v>
                </c:pt>
                <c:pt idx="233">
                  <c:v>0.51052631578947372</c:v>
                </c:pt>
                <c:pt idx="234">
                  <c:v>0.56595092024539873</c:v>
                </c:pt>
                <c:pt idx="235">
                  <c:v>0.55214723926380371</c:v>
                </c:pt>
                <c:pt idx="236">
                  <c:v>0.53374233128834359</c:v>
                </c:pt>
                <c:pt idx="237">
                  <c:v>0.54601226993865026</c:v>
                </c:pt>
                <c:pt idx="238">
                  <c:v>0.78157894736842104</c:v>
                </c:pt>
                <c:pt idx="239">
                  <c:v>0.81578947368421051</c:v>
                </c:pt>
                <c:pt idx="240">
                  <c:v>0.84473684210526312</c:v>
                </c:pt>
                <c:pt idx="241">
                  <c:v>0.85776487663280121</c:v>
                </c:pt>
                <c:pt idx="242">
                  <c:v>0.84615384615384615</c:v>
                </c:pt>
                <c:pt idx="243">
                  <c:v>0.88098693759071123</c:v>
                </c:pt>
                <c:pt idx="244">
                  <c:v>0.81277213352685052</c:v>
                </c:pt>
                <c:pt idx="245">
                  <c:v>0.85050798258345428</c:v>
                </c:pt>
                <c:pt idx="246">
                  <c:v>0.85921625544267055</c:v>
                </c:pt>
                <c:pt idx="247">
                  <c:v>0.85776487663280121</c:v>
                </c:pt>
                <c:pt idx="248">
                  <c:v>0.8236842105263158</c:v>
                </c:pt>
                <c:pt idx="249">
                  <c:v>0.80526315789473679</c:v>
                </c:pt>
                <c:pt idx="250">
                  <c:v>0.84883720930232553</c:v>
                </c:pt>
                <c:pt idx="251">
                  <c:v>0.8192371475953566</c:v>
                </c:pt>
                <c:pt idx="252">
                  <c:v>0.80431177446102819</c:v>
                </c:pt>
                <c:pt idx="253">
                  <c:v>0.76948590381426207</c:v>
                </c:pt>
                <c:pt idx="254">
                  <c:v>0.84473684210526312</c:v>
                </c:pt>
                <c:pt idx="255">
                  <c:v>0.85789473684210527</c:v>
                </c:pt>
                <c:pt idx="256">
                  <c:v>0.85</c:v>
                </c:pt>
                <c:pt idx="257">
                  <c:v>0.83913764510779432</c:v>
                </c:pt>
                <c:pt idx="258">
                  <c:v>0.79139072847682124</c:v>
                </c:pt>
                <c:pt idx="259">
                  <c:v>0.76158940397350994</c:v>
                </c:pt>
                <c:pt idx="260">
                  <c:v>0.64403973509933776</c:v>
                </c:pt>
                <c:pt idx="261">
                  <c:v>0.93421052631578949</c:v>
                </c:pt>
                <c:pt idx="262">
                  <c:v>0.95789473684210524</c:v>
                </c:pt>
                <c:pt idx="263">
                  <c:v>0.93684210526315792</c:v>
                </c:pt>
                <c:pt idx="264">
                  <c:v>0.93396226415094341</c:v>
                </c:pt>
                <c:pt idx="265">
                  <c:v>0.9152542372881356</c:v>
                </c:pt>
                <c:pt idx="266">
                  <c:v>0.82674199623352163</c:v>
                </c:pt>
                <c:pt idx="267">
                  <c:v>0.10810810810810811</c:v>
                </c:pt>
                <c:pt idx="268">
                  <c:v>9.1891891891891897E-2</c:v>
                </c:pt>
                <c:pt idx="269">
                  <c:v>0.12656249999999999</c:v>
                </c:pt>
                <c:pt idx="270">
                  <c:v>0.11874999999999999</c:v>
                </c:pt>
                <c:pt idx="271">
                  <c:v>7.4999999999999997E-2</c:v>
                </c:pt>
                <c:pt idx="272">
                  <c:v>4.5241809672386897E-2</c:v>
                </c:pt>
                <c:pt idx="273">
                  <c:v>0.56052631578947365</c:v>
                </c:pt>
                <c:pt idx="274">
                  <c:v>0.65</c:v>
                </c:pt>
                <c:pt idx="275">
                  <c:v>0.58157894736842108</c:v>
                </c:pt>
                <c:pt idx="276">
                  <c:v>0.62105263157894741</c:v>
                </c:pt>
                <c:pt idx="277">
                  <c:v>0.6774744027303754</c:v>
                </c:pt>
                <c:pt idx="278">
                  <c:v>0.65699658703071673</c:v>
                </c:pt>
                <c:pt idx="279">
                  <c:v>0.42702702702702705</c:v>
                </c:pt>
                <c:pt idx="280">
                  <c:v>0.42972972972972973</c:v>
                </c:pt>
                <c:pt idx="281">
                  <c:v>0.35945945945945945</c:v>
                </c:pt>
                <c:pt idx="282">
                  <c:v>0.3</c:v>
                </c:pt>
                <c:pt idx="283">
                  <c:v>0.34324324324324323</c:v>
                </c:pt>
                <c:pt idx="284">
                  <c:v>0.40267459138187223</c:v>
                </c:pt>
                <c:pt idx="285">
                  <c:v>0.42793462109955421</c:v>
                </c:pt>
                <c:pt idx="286">
                  <c:v>0.41901931649331353</c:v>
                </c:pt>
                <c:pt idx="287">
                  <c:v>0.44576523031203569</c:v>
                </c:pt>
                <c:pt idx="288">
                  <c:v>0.44576523031203569</c:v>
                </c:pt>
                <c:pt idx="289">
                  <c:v>0.3952451708766716</c:v>
                </c:pt>
                <c:pt idx="290">
                  <c:v>0.3476968796433878</c:v>
                </c:pt>
                <c:pt idx="291">
                  <c:v>0.32243684992570582</c:v>
                </c:pt>
                <c:pt idx="292">
                  <c:v>0.30609212481426451</c:v>
                </c:pt>
                <c:pt idx="293">
                  <c:v>0.30267062314540061</c:v>
                </c:pt>
                <c:pt idx="294">
                  <c:v>0.29821958456973297</c:v>
                </c:pt>
                <c:pt idx="295">
                  <c:v>0.30118694362017806</c:v>
                </c:pt>
                <c:pt idx="296">
                  <c:v>0.31305637982195844</c:v>
                </c:pt>
                <c:pt idx="297">
                  <c:v>0.28635014836795253</c:v>
                </c:pt>
                <c:pt idx="298">
                  <c:v>0.28635014836795253</c:v>
                </c:pt>
                <c:pt idx="299">
                  <c:v>0.31899109792284869</c:v>
                </c:pt>
                <c:pt idx="300">
                  <c:v>0.31157270029673589</c:v>
                </c:pt>
                <c:pt idx="301">
                  <c:v>0.17222222222222222</c:v>
                </c:pt>
                <c:pt idx="302">
                  <c:v>0.18611111111111112</c:v>
                </c:pt>
                <c:pt idx="303">
                  <c:v>0.2638888888888889</c:v>
                </c:pt>
                <c:pt idx="304">
                  <c:v>0.1855072463768116</c:v>
                </c:pt>
                <c:pt idx="305">
                  <c:v>0.13043478260869565</c:v>
                </c:pt>
                <c:pt idx="306">
                  <c:v>0.15629522431259044</c:v>
                </c:pt>
              </c:numCache>
            </c:numRef>
          </c:xVal>
          <c:yVal>
            <c:numRef>
              <c:f>RaceWorksheet!$A$2:$A$308</c:f>
              <c:numCache>
                <c:formatCode>0.0%</c:formatCode>
                <c:ptCount val="307"/>
                <c:pt idx="0">
                  <c:v>0.11743772241992882</c:v>
                </c:pt>
                <c:pt idx="1">
                  <c:v>0.13010204081632654</c:v>
                </c:pt>
                <c:pt idx="2">
                  <c:v>0.17349397590361446</c:v>
                </c:pt>
                <c:pt idx="3">
                  <c:v>0.55434782608695654</c:v>
                </c:pt>
                <c:pt idx="4">
                  <c:v>0.46964856230031948</c:v>
                </c:pt>
                <c:pt idx="5">
                  <c:v>0.53020134228187921</c:v>
                </c:pt>
                <c:pt idx="6">
                  <c:v>0.61032028469750887</c:v>
                </c:pt>
                <c:pt idx="7">
                  <c:v>0.56981132075471697</c:v>
                </c:pt>
                <c:pt idx="8">
                  <c:v>0.5</c:v>
                </c:pt>
                <c:pt idx="9">
                  <c:v>0.44186046511627908</c:v>
                </c:pt>
                <c:pt idx="10">
                  <c:v>0.16603773584905659</c:v>
                </c:pt>
                <c:pt idx="11">
                  <c:v>0.18545454545454546</c:v>
                </c:pt>
                <c:pt idx="12">
                  <c:v>0.19155844155844157</c:v>
                </c:pt>
                <c:pt idx="13">
                  <c:v>0.32500000000000001</c:v>
                </c:pt>
                <c:pt idx="14">
                  <c:v>0.27597402597402598</c:v>
                </c:pt>
                <c:pt idx="15">
                  <c:v>0.24015009380863039</c:v>
                </c:pt>
                <c:pt idx="16">
                  <c:v>0.28764478764478763</c:v>
                </c:pt>
                <c:pt idx="17">
                  <c:v>0.39219330855018586</c:v>
                </c:pt>
                <c:pt idx="18">
                  <c:v>0.3634782608695652</c:v>
                </c:pt>
                <c:pt idx="19">
                  <c:v>0.26666666666666666</c:v>
                </c:pt>
                <c:pt idx="20">
                  <c:v>0.26332288401253917</c:v>
                </c:pt>
                <c:pt idx="21">
                  <c:v>0.32220039292730845</c:v>
                </c:pt>
                <c:pt idx="22">
                  <c:v>0.46730769230769231</c:v>
                </c:pt>
                <c:pt idx="23">
                  <c:v>0.3663551401869159</c:v>
                </c:pt>
                <c:pt idx="24">
                  <c:v>0.21478873239436619</c:v>
                </c:pt>
                <c:pt idx="25">
                  <c:v>0.30312499999999998</c:v>
                </c:pt>
                <c:pt idx="26">
                  <c:v>0.22081218274111675</c:v>
                </c:pt>
                <c:pt idx="27">
                  <c:v>0.21105527638190955</c:v>
                </c:pt>
                <c:pt idx="28">
                  <c:v>0.21728971962616822</c:v>
                </c:pt>
                <c:pt idx="29">
                  <c:v>0.47085201793721976</c:v>
                </c:pt>
                <c:pt idx="30">
                  <c:v>0.42753623188405798</c:v>
                </c:pt>
                <c:pt idx="31">
                  <c:v>0.40952380952380951</c:v>
                </c:pt>
                <c:pt idx="32">
                  <c:v>0.51587301587301593</c:v>
                </c:pt>
                <c:pt idx="33">
                  <c:v>0.48024948024948028</c:v>
                </c:pt>
                <c:pt idx="34">
                  <c:v>0.5010570824524313</c:v>
                </c:pt>
                <c:pt idx="35">
                  <c:v>0.50829875518672196</c:v>
                </c:pt>
                <c:pt idx="36">
                  <c:v>0.39763779527559057</c:v>
                </c:pt>
                <c:pt idx="37">
                  <c:v>0.2347560975609756</c:v>
                </c:pt>
                <c:pt idx="38">
                  <c:v>0.54201680672268904</c:v>
                </c:pt>
                <c:pt idx="39">
                  <c:v>0.53947368421052633</c:v>
                </c:pt>
                <c:pt idx="40">
                  <c:v>0.53254437869822491</c:v>
                </c:pt>
                <c:pt idx="41">
                  <c:v>0.59935897435897434</c:v>
                </c:pt>
                <c:pt idx="42">
                  <c:v>0.47770700636942676</c:v>
                </c:pt>
                <c:pt idx="43">
                  <c:v>0.15602836879432624</c:v>
                </c:pt>
                <c:pt idx="44">
                  <c:v>0.17391304347826086</c:v>
                </c:pt>
                <c:pt idx="45">
                  <c:v>0.21369863013698631</c:v>
                </c:pt>
                <c:pt idx="46">
                  <c:v>0.29198966408268734</c:v>
                </c:pt>
                <c:pt idx="47">
                  <c:v>0.25738396624472576</c:v>
                </c:pt>
                <c:pt idx="48">
                  <c:v>0.36912751677852351</c:v>
                </c:pt>
                <c:pt idx="49">
                  <c:v>0.27931769722814498</c:v>
                </c:pt>
                <c:pt idx="50">
                  <c:v>0.28159645232815966</c:v>
                </c:pt>
                <c:pt idx="51">
                  <c:v>0.36160714285714285</c:v>
                </c:pt>
                <c:pt idx="52">
                  <c:v>0.30802603036876358</c:v>
                </c:pt>
                <c:pt idx="53">
                  <c:v>0.22129436325678498</c:v>
                </c:pt>
                <c:pt idx="54">
                  <c:v>0.32246376811594202</c:v>
                </c:pt>
                <c:pt idx="55">
                  <c:v>0.27300613496932513</c:v>
                </c:pt>
                <c:pt idx="56">
                  <c:v>0.23986486486486486</c:v>
                </c:pt>
                <c:pt idx="57">
                  <c:v>0.3448905109489051</c:v>
                </c:pt>
                <c:pt idx="58">
                  <c:v>0.25272727272727274</c:v>
                </c:pt>
                <c:pt idx="59">
                  <c:v>0.18706293706293706</c:v>
                </c:pt>
                <c:pt idx="60">
                  <c:v>0.77850162866449513</c:v>
                </c:pt>
                <c:pt idx="61">
                  <c:v>0.77938517179023503</c:v>
                </c:pt>
                <c:pt idx="62">
                  <c:v>0.77695167286245348</c:v>
                </c:pt>
                <c:pt idx="63">
                  <c:v>0.84344422700587085</c:v>
                </c:pt>
                <c:pt idx="64">
                  <c:v>0.78321678321678323</c:v>
                </c:pt>
                <c:pt idx="65">
                  <c:v>0.81512605042016806</c:v>
                </c:pt>
                <c:pt idx="66">
                  <c:v>0.75083056478405319</c:v>
                </c:pt>
                <c:pt idx="67">
                  <c:v>0.82130584192439859</c:v>
                </c:pt>
                <c:pt idx="68">
                  <c:v>0.84832451499118167</c:v>
                </c:pt>
                <c:pt idx="69">
                  <c:v>0.77884615384615385</c:v>
                </c:pt>
                <c:pt idx="70">
                  <c:v>0.73425196850393704</c:v>
                </c:pt>
                <c:pt idx="71">
                  <c:v>0.76604554865424435</c:v>
                </c:pt>
                <c:pt idx="72">
                  <c:v>0.78612716763005785</c:v>
                </c:pt>
                <c:pt idx="73">
                  <c:v>0.79926335174953955</c:v>
                </c:pt>
                <c:pt idx="74">
                  <c:v>0.84615384615384615</c:v>
                </c:pt>
                <c:pt idx="75">
                  <c:v>0.80126182965299686</c:v>
                </c:pt>
                <c:pt idx="76">
                  <c:v>0.88924050632911389</c:v>
                </c:pt>
                <c:pt idx="77">
                  <c:v>0.88275862068965516</c:v>
                </c:pt>
                <c:pt idx="78">
                  <c:v>0.86531365313653141</c:v>
                </c:pt>
                <c:pt idx="79">
                  <c:v>0.84716981132075475</c:v>
                </c:pt>
                <c:pt idx="80">
                  <c:v>0.84291187739463602</c:v>
                </c:pt>
                <c:pt idx="81">
                  <c:v>0.84629629629629632</c:v>
                </c:pt>
                <c:pt idx="82">
                  <c:v>0.73809523809523814</c:v>
                </c:pt>
                <c:pt idx="83">
                  <c:v>0.70685579196217496</c:v>
                </c:pt>
                <c:pt idx="84">
                  <c:v>0.8032407407407407</c:v>
                </c:pt>
                <c:pt idx="85">
                  <c:v>0.91164658634538154</c:v>
                </c:pt>
                <c:pt idx="86">
                  <c:v>0.90391459074733094</c:v>
                </c:pt>
                <c:pt idx="87">
                  <c:v>0.94646680942184158</c:v>
                </c:pt>
                <c:pt idx="88">
                  <c:v>0.9513184584178499</c:v>
                </c:pt>
                <c:pt idx="89">
                  <c:v>0.88888888888888884</c:v>
                </c:pt>
                <c:pt idx="90">
                  <c:v>0.89932885906040272</c:v>
                </c:pt>
                <c:pt idx="91">
                  <c:v>0.8954545454545455</c:v>
                </c:pt>
                <c:pt idx="92">
                  <c:v>0.967741935483871</c:v>
                </c:pt>
                <c:pt idx="93">
                  <c:v>0.91139240506329111</c:v>
                </c:pt>
                <c:pt idx="94">
                  <c:v>0.9532374100719424</c:v>
                </c:pt>
                <c:pt idx="95">
                  <c:v>0.94052044609665431</c:v>
                </c:pt>
                <c:pt idx="96">
                  <c:v>0.87596899224806202</c:v>
                </c:pt>
                <c:pt idx="97">
                  <c:v>0.95151515151515154</c:v>
                </c:pt>
                <c:pt idx="98">
                  <c:v>0.82905982905982911</c:v>
                </c:pt>
                <c:pt idx="99">
                  <c:v>0.86111111111111116</c:v>
                </c:pt>
                <c:pt idx="100">
                  <c:v>0.80219780219780223</c:v>
                </c:pt>
                <c:pt idx="101">
                  <c:v>0.89682539682539686</c:v>
                </c:pt>
                <c:pt idx="102">
                  <c:v>0.83171521035598706</c:v>
                </c:pt>
                <c:pt idx="103">
                  <c:v>0.8705357142857143</c:v>
                </c:pt>
                <c:pt idx="104">
                  <c:v>0.87632508833922262</c:v>
                </c:pt>
                <c:pt idx="105">
                  <c:v>0.90592334494773519</c:v>
                </c:pt>
                <c:pt idx="106">
                  <c:v>0.94915254237288138</c:v>
                </c:pt>
                <c:pt idx="107">
                  <c:v>0.92783505154639179</c:v>
                </c:pt>
                <c:pt idx="108">
                  <c:v>0.93650793650793651</c:v>
                </c:pt>
                <c:pt idx="109">
                  <c:v>0.88652482269503541</c:v>
                </c:pt>
                <c:pt idx="110">
                  <c:v>0.74315068493150682</c:v>
                </c:pt>
                <c:pt idx="111">
                  <c:v>0.65822784810126578</c:v>
                </c:pt>
                <c:pt idx="112">
                  <c:v>0.64379084967320266</c:v>
                </c:pt>
                <c:pt idx="113">
                  <c:v>0.72247706422018354</c:v>
                </c:pt>
                <c:pt idx="114">
                  <c:v>0.69515011547344108</c:v>
                </c:pt>
                <c:pt idx="115">
                  <c:v>0.64316239316239321</c:v>
                </c:pt>
                <c:pt idx="116">
                  <c:v>0.62761506276150625</c:v>
                </c:pt>
                <c:pt idx="117">
                  <c:v>0.58085106382978724</c:v>
                </c:pt>
                <c:pt idx="118">
                  <c:v>0.72661870503597126</c:v>
                </c:pt>
                <c:pt idx="119">
                  <c:v>0.66987179487179482</c:v>
                </c:pt>
                <c:pt idx="120">
                  <c:v>0.74013157894736847</c:v>
                </c:pt>
                <c:pt idx="121">
                  <c:v>0.72955974842767291</c:v>
                </c:pt>
                <c:pt idx="122">
                  <c:v>0.68243243243243246</c:v>
                </c:pt>
                <c:pt idx="123">
                  <c:v>0.68250539956803458</c:v>
                </c:pt>
                <c:pt idx="124">
                  <c:v>0.62448132780082988</c:v>
                </c:pt>
                <c:pt idx="125">
                  <c:v>0.8392857142857143</c:v>
                </c:pt>
                <c:pt idx="126">
                  <c:v>0.73899371069182385</c:v>
                </c:pt>
                <c:pt idx="127">
                  <c:v>0.79104477611940294</c:v>
                </c:pt>
                <c:pt idx="128">
                  <c:v>0.78557114228456915</c:v>
                </c:pt>
                <c:pt idx="129">
                  <c:v>0.68360277136258663</c:v>
                </c:pt>
                <c:pt idx="130">
                  <c:v>0.71767241379310343</c:v>
                </c:pt>
                <c:pt idx="131">
                  <c:v>0.74798387096774188</c:v>
                </c:pt>
                <c:pt idx="132">
                  <c:v>0.73333333333333328</c:v>
                </c:pt>
                <c:pt idx="133">
                  <c:v>0.76156583629893237</c:v>
                </c:pt>
                <c:pt idx="134">
                  <c:v>0.83557046979865768</c:v>
                </c:pt>
                <c:pt idx="135">
                  <c:v>0.78877887788778878</c:v>
                </c:pt>
                <c:pt idx="136">
                  <c:v>0.69037656903765687</c:v>
                </c:pt>
                <c:pt idx="137">
                  <c:v>0.68837209302325586</c:v>
                </c:pt>
                <c:pt idx="138">
                  <c:v>0.76222222222222225</c:v>
                </c:pt>
                <c:pt idx="139">
                  <c:v>0.75523012552301261</c:v>
                </c:pt>
                <c:pt idx="140">
                  <c:v>0.75739644970414199</c:v>
                </c:pt>
                <c:pt idx="141">
                  <c:v>0.57432432432432434</c:v>
                </c:pt>
                <c:pt idx="142">
                  <c:v>0.70134228187919467</c:v>
                </c:pt>
                <c:pt idx="143">
                  <c:v>0.72413793103448276</c:v>
                </c:pt>
                <c:pt idx="144">
                  <c:v>0.70398009950248752</c:v>
                </c:pt>
                <c:pt idx="145">
                  <c:v>0.71895424836601307</c:v>
                </c:pt>
                <c:pt idx="146">
                  <c:v>0.68776371308016881</c:v>
                </c:pt>
                <c:pt idx="147">
                  <c:v>0.23389830508474577</c:v>
                </c:pt>
                <c:pt idx="148">
                  <c:v>0.19889502762430938</c:v>
                </c:pt>
                <c:pt idx="149">
                  <c:v>0.90186915887850472</c:v>
                </c:pt>
                <c:pt idx="150">
                  <c:v>0.86899563318777295</c:v>
                </c:pt>
                <c:pt idx="151">
                  <c:v>0.86098654708520184</c:v>
                </c:pt>
                <c:pt idx="152">
                  <c:v>0.91958041958041958</c:v>
                </c:pt>
                <c:pt idx="153">
                  <c:v>0.79441624365482233</c:v>
                </c:pt>
                <c:pt idx="154">
                  <c:v>0.90340909090909094</c:v>
                </c:pt>
                <c:pt idx="155">
                  <c:v>0.8779342723004695</c:v>
                </c:pt>
                <c:pt idx="156">
                  <c:v>0.80666666666666664</c:v>
                </c:pt>
                <c:pt idx="157">
                  <c:v>0.84444444444444444</c:v>
                </c:pt>
                <c:pt idx="158">
                  <c:v>0.7967479674796748</c:v>
                </c:pt>
                <c:pt idx="159">
                  <c:v>0.83399209486166004</c:v>
                </c:pt>
                <c:pt idx="160">
                  <c:v>0.80790960451977401</c:v>
                </c:pt>
                <c:pt idx="161">
                  <c:v>0.82</c:v>
                </c:pt>
                <c:pt idx="162">
                  <c:v>0.80323450134770891</c:v>
                </c:pt>
                <c:pt idx="163">
                  <c:v>0.79802955665024633</c:v>
                </c:pt>
                <c:pt idx="164">
                  <c:v>0.86738351254480284</c:v>
                </c:pt>
                <c:pt idx="165">
                  <c:v>0.89456869009584661</c:v>
                </c:pt>
                <c:pt idx="166">
                  <c:v>0.89836065573770496</c:v>
                </c:pt>
                <c:pt idx="167">
                  <c:v>0.94871794871794868</c:v>
                </c:pt>
                <c:pt idx="168">
                  <c:v>0.95151515151515154</c:v>
                </c:pt>
                <c:pt idx="169">
                  <c:v>0.92585170340681366</c:v>
                </c:pt>
                <c:pt idx="170">
                  <c:v>0.3991769547325103</c:v>
                </c:pt>
                <c:pt idx="171">
                  <c:v>0.37164750957854409</c:v>
                </c:pt>
                <c:pt idx="172">
                  <c:v>0.36842105263157893</c:v>
                </c:pt>
                <c:pt idx="173">
                  <c:v>0.36666666666666664</c:v>
                </c:pt>
                <c:pt idx="174">
                  <c:v>0.46666666666666667</c:v>
                </c:pt>
                <c:pt idx="175">
                  <c:v>0.49137931034482757</c:v>
                </c:pt>
                <c:pt idx="176">
                  <c:v>0.49377593360995853</c:v>
                </c:pt>
                <c:pt idx="177">
                  <c:v>0.86868686868686873</c:v>
                </c:pt>
                <c:pt idx="178">
                  <c:v>0.8515625</c:v>
                </c:pt>
                <c:pt idx="179">
                  <c:v>0.82371794871794868</c:v>
                </c:pt>
                <c:pt idx="180">
                  <c:v>0.84507042253521125</c:v>
                </c:pt>
                <c:pt idx="181">
                  <c:v>0.85416666666666663</c:v>
                </c:pt>
                <c:pt idx="182">
                  <c:v>0.83486238532110091</c:v>
                </c:pt>
                <c:pt idx="183">
                  <c:v>0.81188118811881194</c:v>
                </c:pt>
                <c:pt idx="184">
                  <c:v>0.71692307692307689</c:v>
                </c:pt>
                <c:pt idx="185">
                  <c:v>0.68016194331983804</c:v>
                </c:pt>
                <c:pt idx="186">
                  <c:v>0.74426229508196717</c:v>
                </c:pt>
                <c:pt idx="187">
                  <c:v>0.68571428571428572</c:v>
                </c:pt>
                <c:pt idx="188">
                  <c:v>0.55860349127182041</c:v>
                </c:pt>
                <c:pt idx="189">
                  <c:v>0.64523809523809528</c:v>
                </c:pt>
                <c:pt idx="190">
                  <c:v>0.67929292929292928</c:v>
                </c:pt>
                <c:pt idx="191">
                  <c:v>0.72270742358078599</c:v>
                </c:pt>
                <c:pt idx="192">
                  <c:v>0.77153558052434457</c:v>
                </c:pt>
                <c:pt idx="193">
                  <c:v>0.81172839506172845</c:v>
                </c:pt>
                <c:pt idx="194">
                  <c:v>0.82461538461538464</c:v>
                </c:pt>
                <c:pt idx="195">
                  <c:v>0.88304093567251463</c:v>
                </c:pt>
                <c:pt idx="196">
                  <c:v>0.89324618736383443</c:v>
                </c:pt>
                <c:pt idx="197">
                  <c:v>0.84472049689440998</c:v>
                </c:pt>
                <c:pt idx="198">
                  <c:v>0.48943661971830987</c:v>
                </c:pt>
                <c:pt idx="199">
                  <c:v>0.57434402332361512</c:v>
                </c:pt>
                <c:pt idx="200">
                  <c:v>0.33024691358024694</c:v>
                </c:pt>
                <c:pt idx="201">
                  <c:v>0.8203125</c:v>
                </c:pt>
                <c:pt idx="202">
                  <c:v>0.81625441696113077</c:v>
                </c:pt>
                <c:pt idx="203">
                  <c:v>0.83389830508474572</c:v>
                </c:pt>
                <c:pt idx="204">
                  <c:v>0.8482142857142857</c:v>
                </c:pt>
                <c:pt idx="205">
                  <c:v>0.85441527446300713</c:v>
                </c:pt>
                <c:pt idx="206">
                  <c:v>0.852112676056338</c:v>
                </c:pt>
                <c:pt idx="207">
                  <c:v>0.80201342281879195</c:v>
                </c:pt>
                <c:pt idx="208">
                  <c:v>0.76291079812206575</c:v>
                </c:pt>
                <c:pt idx="209">
                  <c:v>0.70157068062827221</c:v>
                </c:pt>
                <c:pt idx="210">
                  <c:v>0.78445229681978801</c:v>
                </c:pt>
                <c:pt idx="211">
                  <c:v>0.74489795918367352</c:v>
                </c:pt>
                <c:pt idx="212">
                  <c:v>0.70707070707070707</c:v>
                </c:pt>
                <c:pt idx="213">
                  <c:v>0.82059800664451832</c:v>
                </c:pt>
                <c:pt idx="214">
                  <c:v>0.81418918918918914</c:v>
                </c:pt>
                <c:pt idx="215">
                  <c:v>0.86734693877551017</c:v>
                </c:pt>
                <c:pt idx="216">
                  <c:v>0.91935483870967738</c:v>
                </c:pt>
                <c:pt idx="217">
                  <c:v>0.8779342723004695</c:v>
                </c:pt>
                <c:pt idx="218">
                  <c:v>0.85613207547169812</c:v>
                </c:pt>
                <c:pt idx="219">
                  <c:v>0.79353233830845771</c:v>
                </c:pt>
                <c:pt idx="220">
                  <c:v>0.77157360406091369</c:v>
                </c:pt>
                <c:pt idx="221">
                  <c:v>0.77722772277227725</c:v>
                </c:pt>
                <c:pt idx="222">
                  <c:v>0.74615384615384617</c:v>
                </c:pt>
                <c:pt idx="223">
                  <c:v>0.74935400516795869</c:v>
                </c:pt>
                <c:pt idx="224">
                  <c:v>0.76092544987146526</c:v>
                </c:pt>
                <c:pt idx="225">
                  <c:v>0.77353689567430028</c:v>
                </c:pt>
                <c:pt idx="226">
                  <c:v>0.8133971291866029</c:v>
                </c:pt>
                <c:pt idx="227">
                  <c:v>0.80885780885780889</c:v>
                </c:pt>
                <c:pt idx="228">
                  <c:v>0.74501108647450109</c:v>
                </c:pt>
                <c:pt idx="229">
                  <c:v>0.8294117647058824</c:v>
                </c:pt>
                <c:pt idx="230">
                  <c:v>0.83518930957683746</c:v>
                </c:pt>
                <c:pt idx="231">
                  <c:v>0.7870967741935484</c:v>
                </c:pt>
                <c:pt idx="232">
                  <c:v>0.87982832618025753</c:v>
                </c:pt>
                <c:pt idx="233">
                  <c:v>0.92281879194630867</c:v>
                </c:pt>
                <c:pt idx="234">
                  <c:v>0.95205479452054798</c:v>
                </c:pt>
                <c:pt idx="235">
                  <c:v>0.94197292069632499</c:v>
                </c:pt>
                <c:pt idx="236">
                  <c:v>0.9498069498069498</c:v>
                </c:pt>
                <c:pt idx="237">
                  <c:v>0.93581780538302273</c:v>
                </c:pt>
                <c:pt idx="238">
                  <c:v>0.94199999999999995</c:v>
                </c:pt>
                <c:pt idx="239">
                  <c:v>0.92600422832980978</c:v>
                </c:pt>
                <c:pt idx="240">
                  <c:v>0.95411089866156784</c:v>
                </c:pt>
                <c:pt idx="241">
                  <c:v>0.94839857651245552</c:v>
                </c:pt>
                <c:pt idx="242">
                  <c:v>0.85251798561151082</c:v>
                </c:pt>
                <c:pt idx="243">
                  <c:v>0.91874999999999996</c:v>
                </c:pt>
                <c:pt idx="244">
                  <c:v>0.93320610687022898</c:v>
                </c:pt>
                <c:pt idx="245">
                  <c:v>0.92213114754098358</c:v>
                </c:pt>
                <c:pt idx="246">
                  <c:v>0.92177589852008457</c:v>
                </c:pt>
                <c:pt idx="247">
                  <c:v>0.92692307692307696</c:v>
                </c:pt>
                <c:pt idx="248">
                  <c:v>0.93133047210300424</c:v>
                </c:pt>
                <c:pt idx="249">
                  <c:v>0.94</c:v>
                </c:pt>
                <c:pt idx="250">
                  <c:v>0.94078947368421051</c:v>
                </c:pt>
                <c:pt idx="251">
                  <c:v>0.92576419213973804</c:v>
                </c:pt>
                <c:pt idx="252">
                  <c:v>0.94252873563218387</c:v>
                </c:pt>
                <c:pt idx="253">
                  <c:v>0.93506493506493504</c:v>
                </c:pt>
                <c:pt idx="254">
                  <c:v>0.89823008849557517</c:v>
                </c:pt>
                <c:pt idx="255">
                  <c:v>0.93939393939393945</c:v>
                </c:pt>
                <c:pt idx="256">
                  <c:v>0.93687707641196016</c:v>
                </c:pt>
                <c:pt idx="257">
                  <c:v>0.92307692307692313</c:v>
                </c:pt>
                <c:pt idx="258">
                  <c:v>0.92380952380952386</c:v>
                </c:pt>
                <c:pt idx="259">
                  <c:v>0.92048192771084336</c:v>
                </c:pt>
                <c:pt idx="260">
                  <c:v>0.86486486486486491</c:v>
                </c:pt>
                <c:pt idx="261">
                  <c:v>0.82727272727272727</c:v>
                </c:pt>
                <c:pt idx="262">
                  <c:v>0.90972222222222221</c:v>
                </c:pt>
                <c:pt idx="263">
                  <c:v>0.9375</c:v>
                </c:pt>
                <c:pt idx="264">
                  <c:v>0.93055555555555558</c:v>
                </c:pt>
                <c:pt idx="265">
                  <c:v>0.94417475728155342</c:v>
                </c:pt>
                <c:pt idx="266">
                  <c:v>0.95704057279236276</c:v>
                </c:pt>
                <c:pt idx="267">
                  <c:v>0.44791666666666669</c:v>
                </c:pt>
                <c:pt idx="268">
                  <c:v>0.49367088607594939</c:v>
                </c:pt>
                <c:pt idx="269">
                  <c:v>0.57414448669201523</c:v>
                </c:pt>
                <c:pt idx="270">
                  <c:v>0.60685483870967738</c:v>
                </c:pt>
                <c:pt idx="271">
                  <c:v>0.51307847082494973</c:v>
                </c:pt>
                <c:pt idx="272">
                  <c:v>0.51544401544401541</c:v>
                </c:pt>
                <c:pt idx="273">
                  <c:v>0.65437788018433185</c:v>
                </c:pt>
                <c:pt idx="274">
                  <c:v>0.63917525773195871</c:v>
                </c:pt>
                <c:pt idx="275">
                  <c:v>0.5727554179566563</c:v>
                </c:pt>
                <c:pt idx="276">
                  <c:v>0.50156739811912221</c:v>
                </c:pt>
                <c:pt idx="277">
                  <c:v>0.5907590759075908</c:v>
                </c:pt>
                <c:pt idx="278">
                  <c:v>0.68849557522123894</c:v>
                </c:pt>
                <c:pt idx="279">
                  <c:v>0.73476702508960579</c:v>
                </c:pt>
                <c:pt idx="280">
                  <c:v>0.74311926605504586</c:v>
                </c:pt>
                <c:pt idx="281">
                  <c:v>0.77449168207024033</c:v>
                </c:pt>
                <c:pt idx="282">
                  <c:v>0.75600000000000001</c:v>
                </c:pt>
                <c:pt idx="283">
                  <c:v>0.73006134969325154</c:v>
                </c:pt>
                <c:pt idx="284">
                  <c:v>0.64360587002096437</c:v>
                </c:pt>
                <c:pt idx="285">
                  <c:v>0.64075630252100846</c:v>
                </c:pt>
                <c:pt idx="286">
                  <c:v>0.59591836734693882</c:v>
                </c:pt>
                <c:pt idx="287">
                  <c:v>0.62815126050420167</c:v>
                </c:pt>
                <c:pt idx="288">
                  <c:v>0.59599999999999997</c:v>
                </c:pt>
                <c:pt idx="289">
                  <c:v>0.62040816326530612</c:v>
                </c:pt>
                <c:pt idx="290">
                  <c:v>0.6324626865671642</c:v>
                </c:pt>
                <c:pt idx="291">
                  <c:v>0.6440366972477064</c:v>
                </c:pt>
                <c:pt idx="292">
                  <c:v>0.66238532110091741</c:v>
                </c:pt>
                <c:pt idx="293">
                  <c:v>0.66482504604051562</c:v>
                </c:pt>
                <c:pt idx="294">
                  <c:v>0.65845070422535212</c:v>
                </c:pt>
                <c:pt idx="295">
                  <c:v>0.80701754385964908</c:v>
                </c:pt>
                <c:pt idx="296">
                  <c:v>0.89438943894389444</c:v>
                </c:pt>
                <c:pt idx="297">
                  <c:v>0.92096219931271472</c:v>
                </c:pt>
                <c:pt idx="298">
                  <c:v>0.88043478260869568</c:v>
                </c:pt>
                <c:pt idx="299">
                  <c:v>0.89819004524886881</c:v>
                </c:pt>
                <c:pt idx="300">
                  <c:v>0.91163793103448276</c:v>
                </c:pt>
                <c:pt idx="301">
                  <c:v>0.5962264150943396</c:v>
                </c:pt>
                <c:pt idx="302">
                  <c:v>0.71844660194174759</c:v>
                </c:pt>
                <c:pt idx="303">
                  <c:v>0.76950354609929073</c:v>
                </c:pt>
                <c:pt idx="304">
                  <c:v>0.74812030075187974</c:v>
                </c:pt>
                <c:pt idx="305">
                  <c:v>0.67472118959107807</c:v>
                </c:pt>
                <c:pt idx="306">
                  <c:v>0.64640883977900554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7B-4740-AC52-ECFB5EDBD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236416"/>
        <c:axId val="896336096"/>
      </c:scatterChart>
      <c:valAx>
        <c:axId val="687236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336096"/>
        <c:crosses val="autoZero"/>
        <c:crossBetween val="midCat"/>
      </c:valAx>
      <c:valAx>
        <c:axId val="8963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P130 Rasah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288254593175854"/>
                  <c:y val="2.867927967337416E-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RaceWorksheet!$K$2:$K$308</c:f>
              <c:numCache>
                <c:formatCode>0.0%</c:formatCode>
                <c:ptCount val="307"/>
                <c:pt idx="0">
                  <c:v>3.4285714285714287E-2</c:v>
                </c:pt>
                <c:pt idx="1">
                  <c:v>7.7134986225895319E-2</c:v>
                </c:pt>
                <c:pt idx="2">
                  <c:v>2.2038567493112948E-2</c:v>
                </c:pt>
                <c:pt idx="3">
                  <c:v>8.5714285714285719E-3</c:v>
                </c:pt>
                <c:pt idx="4">
                  <c:v>1.2345679012345678E-2</c:v>
                </c:pt>
                <c:pt idx="5">
                  <c:v>6.1728395061728392E-3</c:v>
                </c:pt>
                <c:pt idx="6">
                  <c:v>0.45135135135135135</c:v>
                </c:pt>
                <c:pt idx="7">
                  <c:v>0.3108108108108108</c:v>
                </c:pt>
                <c:pt idx="8">
                  <c:v>0.34864864864864864</c:v>
                </c:pt>
                <c:pt idx="9">
                  <c:v>0.47534246575342465</c:v>
                </c:pt>
                <c:pt idx="10">
                  <c:v>0.35157318741450067</c:v>
                </c:pt>
                <c:pt idx="11">
                  <c:v>0.25307797537619697</c:v>
                </c:pt>
                <c:pt idx="12">
                  <c:v>0.24897400820793433</c:v>
                </c:pt>
                <c:pt idx="13">
                  <c:v>0.15945945945945947</c:v>
                </c:pt>
                <c:pt idx="14">
                  <c:v>0.11621621621621622</c:v>
                </c:pt>
                <c:pt idx="15">
                  <c:v>4.9635036496350364E-2</c:v>
                </c:pt>
                <c:pt idx="16">
                  <c:v>3.6443148688046649E-2</c:v>
                </c:pt>
                <c:pt idx="17">
                  <c:v>1.7492711370262391E-2</c:v>
                </c:pt>
                <c:pt idx="18">
                  <c:v>1.1661807580174927E-2</c:v>
                </c:pt>
                <c:pt idx="19">
                  <c:v>3.783783783783784E-2</c:v>
                </c:pt>
                <c:pt idx="20">
                  <c:v>2.4324324324324326E-2</c:v>
                </c:pt>
                <c:pt idx="21">
                  <c:v>2.7287319422150885E-2</c:v>
                </c:pt>
                <c:pt idx="22">
                  <c:v>1.4446227929373997E-2</c:v>
                </c:pt>
                <c:pt idx="23">
                  <c:v>1.7656500802568219E-2</c:v>
                </c:pt>
                <c:pt idx="24">
                  <c:v>0.11944444444444445</c:v>
                </c:pt>
                <c:pt idx="25">
                  <c:v>0.13055555555555556</c:v>
                </c:pt>
                <c:pt idx="26">
                  <c:v>7.7844311377245512E-2</c:v>
                </c:pt>
                <c:pt idx="27">
                  <c:v>4.9900199600798403E-2</c:v>
                </c:pt>
                <c:pt idx="28">
                  <c:v>2.9940119760479042E-2</c:v>
                </c:pt>
                <c:pt idx="29">
                  <c:v>0.26</c:v>
                </c:pt>
                <c:pt idx="30">
                  <c:v>0.11764705882352941</c:v>
                </c:pt>
                <c:pt idx="31">
                  <c:v>0.16944444444444445</c:v>
                </c:pt>
                <c:pt idx="32">
                  <c:v>0.18888888888888888</c:v>
                </c:pt>
                <c:pt idx="33">
                  <c:v>0.17499999999999999</c:v>
                </c:pt>
                <c:pt idx="34">
                  <c:v>0.14165261382799327</c:v>
                </c:pt>
                <c:pt idx="35">
                  <c:v>0.12478920741989882</c:v>
                </c:pt>
                <c:pt idx="36">
                  <c:v>0.13322091062394603</c:v>
                </c:pt>
                <c:pt idx="37">
                  <c:v>3.87858347386172E-2</c:v>
                </c:pt>
                <c:pt idx="38">
                  <c:v>2.1621621621621623E-2</c:v>
                </c:pt>
                <c:pt idx="39">
                  <c:v>2.1621621621621623E-2</c:v>
                </c:pt>
                <c:pt idx="40">
                  <c:v>5.106382978723404E-2</c:v>
                </c:pt>
                <c:pt idx="41">
                  <c:v>0.1276595744680851</c:v>
                </c:pt>
                <c:pt idx="42">
                  <c:v>0.39166666666666666</c:v>
                </c:pt>
                <c:pt idx="43">
                  <c:v>0.38333333333333336</c:v>
                </c:pt>
                <c:pt idx="44">
                  <c:v>0.35903614457831323</c:v>
                </c:pt>
                <c:pt idx="45">
                  <c:v>0.35576923076923078</c:v>
                </c:pt>
                <c:pt idx="46">
                  <c:v>0.20673076923076922</c:v>
                </c:pt>
                <c:pt idx="47">
                  <c:v>0.125</c:v>
                </c:pt>
                <c:pt idx="48">
                  <c:v>0.17499999999999999</c:v>
                </c:pt>
                <c:pt idx="49">
                  <c:v>0.13321492007104796</c:v>
                </c:pt>
                <c:pt idx="50">
                  <c:v>0.12255772646536411</c:v>
                </c:pt>
                <c:pt idx="51">
                  <c:v>0.15097690941385436</c:v>
                </c:pt>
                <c:pt idx="52">
                  <c:v>0.11190053285968028</c:v>
                </c:pt>
                <c:pt idx="53">
                  <c:v>7.6241134751773049E-2</c:v>
                </c:pt>
                <c:pt idx="54">
                  <c:v>0.17222222222222222</c:v>
                </c:pt>
                <c:pt idx="55">
                  <c:v>9.4444444444444442E-2</c:v>
                </c:pt>
                <c:pt idx="56">
                  <c:v>0.10473457675753228</c:v>
                </c:pt>
                <c:pt idx="57">
                  <c:v>0.18364418938307031</c:v>
                </c:pt>
                <c:pt idx="58">
                  <c:v>0.10171919770773639</c:v>
                </c:pt>
                <c:pt idx="59">
                  <c:v>8.3094555873925502E-2</c:v>
                </c:pt>
                <c:pt idx="60">
                  <c:v>0.3</c:v>
                </c:pt>
                <c:pt idx="61">
                  <c:v>0.27297297297297296</c:v>
                </c:pt>
                <c:pt idx="62">
                  <c:v>0.28918918918918918</c:v>
                </c:pt>
                <c:pt idx="63">
                  <c:v>0.28655834564254062</c:v>
                </c:pt>
                <c:pt idx="64">
                  <c:v>0.28064992614475626</c:v>
                </c:pt>
                <c:pt idx="65">
                  <c:v>0.30280649926144754</c:v>
                </c:pt>
                <c:pt idx="66">
                  <c:v>0.24963072378138848</c:v>
                </c:pt>
                <c:pt idx="67">
                  <c:v>0.25553914327917282</c:v>
                </c:pt>
                <c:pt idx="68">
                  <c:v>0.25849335302806498</c:v>
                </c:pt>
                <c:pt idx="69">
                  <c:v>0.18157894736842106</c:v>
                </c:pt>
                <c:pt idx="70">
                  <c:v>0.18481375358166188</c:v>
                </c:pt>
                <c:pt idx="71">
                  <c:v>0.166189111747851</c:v>
                </c:pt>
                <c:pt idx="72">
                  <c:v>0.22779369627507162</c:v>
                </c:pt>
                <c:pt idx="73">
                  <c:v>0.19484240687679083</c:v>
                </c:pt>
                <c:pt idx="74">
                  <c:v>0.38421052631578945</c:v>
                </c:pt>
                <c:pt idx="75">
                  <c:v>0.3357271095152603</c:v>
                </c:pt>
                <c:pt idx="76">
                  <c:v>0.43548387096774194</c:v>
                </c:pt>
                <c:pt idx="77">
                  <c:v>0.3</c:v>
                </c:pt>
                <c:pt idx="78">
                  <c:v>0.27894736842105261</c:v>
                </c:pt>
                <c:pt idx="79">
                  <c:v>0.29736842105263156</c:v>
                </c:pt>
                <c:pt idx="80">
                  <c:v>0.26415094339622641</c:v>
                </c:pt>
                <c:pt idx="81">
                  <c:v>0.24963715529753266</c:v>
                </c:pt>
                <c:pt idx="82">
                  <c:v>0.2608695652173913</c:v>
                </c:pt>
                <c:pt idx="83">
                  <c:v>0.28695652173913044</c:v>
                </c:pt>
                <c:pt idx="84">
                  <c:v>0.32898550724637682</c:v>
                </c:pt>
                <c:pt idx="85">
                  <c:v>0.42972972972972973</c:v>
                </c:pt>
                <c:pt idx="86">
                  <c:v>0.26756756756756755</c:v>
                </c:pt>
                <c:pt idx="87">
                  <c:v>0.30182926829268292</c:v>
                </c:pt>
                <c:pt idx="88">
                  <c:v>0.32267884322678841</c:v>
                </c:pt>
                <c:pt idx="89">
                  <c:v>0.16730038022813687</c:v>
                </c:pt>
                <c:pt idx="90">
                  <c:v>0.06</c:v>
                </c:pt>
                <c:pt idx="91">
                  <c:v>1.8749999999999999E-2</c:v>
                </c:pt>
                <c:pt idx="92">
                  <c:v>3.7681159420289857E-2</c:v>
                </c:pt>
                <c:pt idx="93">
                  <c:v>0.13333333333333333</c:v>
                </c:pt>
                <c:pt idx="94">
                  <c:v>4.507042253521127E-2</c:v>
                </c:pt>
                <c:pt idx="95">
                  <c:v>0.10704225352112676</c:v>
                </c:pt>
                <c:pt idx="96">
                  <c:v>0.02</c:v>
                </c:pt>
                <c:pt idx="97">
                  <c:v>5.2380952380952382E-2</c:v>
                </c:pt>
                <c:pt idx="98">
                  <c:v>0.24365482233502539</c:v>
                </c:pt>
                <c:pt idx="99">
                  <c:v>0.17258883248730963</c:v>
                </c:pt>
                <c:pt idx="100">
                  <c:v>0.47812500000000002</c:v>
                </c:pt>
                <c:pt idx="101">
                  <c:v>0.421875</c:v>
                </c:pt>
                <c:pt idx="102">
                  <c:v>0.40380047505938244</c:v>
                </c:pt>
                <c:pt idx="103">
                  <c:v>0.29444444444444445</c:v>
                </c:pt>
                <c:pt idx="104">
                  <c:v>0.28611111111111109</c:v>
                </c:pt>
                <c:pt idx="105">
                  <c:v>0.34444444444444444</c:v>
                </c:pt>
                <c:pt idx="106">
                  <c:v>0.2810344827586207</c:v>
                </c:pt>
                <c:pt idx="107">
                  <c:v>0.23235800344234078</c:v>
                </c:pt>
                <c:pt idx="108">
                  <c:v>0.32702237521514632</c:v>
                </c:pt>
                <c:pt idx="109">
                  <c:v>0.33218588640275387</c:v>
                </c:pt>
                <c:pt idx="110">
                  <c:v>0.08</c:v>
                </c:pt>
                <c:pt idx="111">
                  <c:v>4.2986425339366516E-2</c:v>
                </c:pt>
                <c:pt idx="112">
                  <c:v>0.25263157894736843</c:v>
                </c:pt>
                <c:pt idx="113">
                  <c:v>0.27368421052631581</c:v>
                </c:pt>
                <c:pt idx="114">
                  <c:v>0.21578947368421053</c:v>
                </c:pt>
                <c:pt idx="115">
                  <c:v>0.23749999999999999</c:v>
                </c:pt>
                <c:pt idx="116">
                  <c:v>0.18593750000000001</c:v>
                </c:pt>
                <c:pt idx="117">
                  <c:v>0.21996879875195008</c:v>
                </c:pt>
                <c:pt idx="118">
                  <c:v>0.1606864274570983</c:v>
                </c:pt>
                <c:pt idx="119">
                  <c:v>0.1794071762870515</c:v>
                </c:pt>
                <c:pt idx="120">
                  <c:v>0.15675675675675677</c:v>
                </c:pt>
                <c:pt idx="121">
                  <c:v>0.1918918918918919</c:v>
                </c:pt>
                <c:pt idx="122">
                  <c:v>0.17027027027027028</c:v>
                </c:pt>
                <c:pt idx="123">
                  <c:v>0.14084507042253522</c:v>
                </c:pt>
                <c:pt idx="124">
                  <c:v>0.1171875</c:v>
                </c:pt>
                <c:pt idx="125">
                  <c:v>0.12812499999999999</c:v>
                </c:pt>
                <c:pt idx="126">
                  <c:v>0.13750000000000001</c:v>
                </c:pt>
                <c:pt idx="127">
                  <c:v>0.1736842105263158</c:v>
                </c:pt>
                <c:pt idx="128">
                  <c:v>0.16052631578947368</c:v>
                </c:pt>
                <c:pt idx="129">
                  <c:v>0.15526315789473685</c:v>
                </c:pt>
                <c:pt idx="130">
                  <c:v>0.20895522388059701</c:v>
                </c:pt>
                <c:pt idx="131">
                  <c:v>0.14925373134328357</c:v>
                </c:pt>
                <c:pt idx="132">
                  <c:v>0.18005952380952381</c:v>
                </c:pt>
                <c:pt idx="133">
                  <c:v>0.18601190476190477</c:v>
                </c:pt>
                <c:pt idx="134">
                  <c:v>0.14583333333333334</c:v>
                </c:pt>
                <c:pt idx="135">
                  <c:v>0.20263157894736841</c:v>
                </c:pt>
                <c:pt idx="136">
                  <c:v>0.25526315789473686</c:v>
                </c:pt>
                <c:pt idx="137">
                  <c:v>0.20263157894736841</c:v>
                </c:pt>
                <c:pt idx="138">
                  <c:v>0.2</c:v>
                </c:pt>
                <c:pt idx="139">
                  <c:v>0.20806451612903226</c:v>
                </c:pt>
                <c:pt idx="140">
                  <c:v>0.1967741935483871</c:v>
                </c:pt>
                <c:pt idx="141">
                  <c:v>0.18225806451612903</c:v>
                </c:pt>
                <c:pt idx="142">
                  <c:v>0.16935483870967741</c:v>
                </c:pt>
                <c:pt idx="143">
                  <c:v>0.18108108108108109</c:v>
                </c:pt>
                <c:pt idx="144">
                  <c:v>0.18378378378378379</c:v>
                </c:pt>
                <c:pt idx="145">
                  <c:v>0.16607773851590105</c:v>
                </c:pt>
                <c:pt idx="146">
                  <c:v>0.12720848056537101</c:v>
                </c:pt>
                <c:pt idx="147">
                  <c:v>0.13427561837455831</c:v>
                </c:pt>
                <c:pt idx="148">
                  <c:v>0.13250883392226148</c:v>
                </c:pt>
                <c:pt idx="149">
                  <c:v>0.1</c:v>
                </c:pt>
                <c:pt idx="150">
                  <c:v>0.25878594249201275</c:v>
                </c:pt>
                <c:pt idx="151">
                  <c:v>0.15135135135135136</c:v>
                </c:pt>
                <c:pt idx="152">
                  <c:v>0.12702702702702703</c:v>
                </c:pt>
                <c:pt idx="153">
                  <c:v>0.16532258064516128</c:v>
                </c:pt>
                <c:pt idx="154">
                  <c:v>0.13380281690140844</c:v>
                </c:pt>
                <c:pt idx="155">
                  <c:v>0.16901408450704225</c:v>
                </c:pt>
                <c:pt idx="156">
                  <c:v>0.37368421052631579</c:v>
                </c:pt>
                <c:pt idx="157">
                  <c:v>0.37894736842105264</c:v>
                </c:pt>
                <c:pt idx="158">
                  <c:v>0.35526315789473684</c:v>
                </c:pt>
                <c:pt idx="159">
                  <c:v>0.39210526315789473</c:v>
                </c:pt>
                <c:pt idx="160">
                  <c:v>0.37822878228782286</c:v>
                </c:pt>
                <c:pt idx="161">
                  <c:v>0.40774907749077488</c:v>
                </c:pt>
                <c:pt idx="162">
                  <c:v>0.42066420664206644</c:v>
                </c:pt>
                <c:pt idx="163">
                  <c:v>2.8947368421052631E-2</c:v>
                </c:pt>
                <c:pt idx="164">
                  <c:v>4.2105263157894736E-2</c:v>
                </c:pt>
                <c:pt idx="165">
                  <c:v>0.05</c:v>
                </c:pt>
                <c:pt idx="166">
                  <c:v>2.6315789473684209E-2</c:v>
                </c:pt>
                <c:pt idx="167">
                  <c:v>2.7906976744186046E-2</c:v>
                </c:pt>
                <c:pt idx="168">
                  <c:v>4.0310077519379844E-2</c:v>
                </c:pt>
                <c:pt idx="169">
                  <c:v>6.0465116279069767E-2</c:v>
                </c:pt>
                <c:pt idx="170">
                  <c:v>0.24367088607594936</c:v>
                </c:pt>
                <c:pt idx="171">
                  <c:v>0.14826498422712933</c:v>
                </c:pt>
                <c:pt idx="172">
                  <c:v>0.121875</c:v>
                </c:pt>
                <c:pt idx="173">
                  <c:v>8.1250000000000003E-2</c:v>
                </c:pt>
                <c:pt idx="174">
                  <c:v>0.10207612456747404</c:v>
                </c:pt>
                <c:pt idx="175">
                  <c:v>5.8823529411764705E-2</c:v>
                </c:pt>
                <c:pt idx="176">
                  <c:v>7.7720207253886009E-2</c:v>
                </c:pt>
                <c:pt idx="177">
                  <c:v>0.45</c:v>
                </c:pt>
                <c:pt idx="178">
                  <c:v>0.42499999999999999</c:v>
                </c:pt>
                <c:pt idx="179">
                  <c:v>0.40509259259259262</c:v>
                </c:pt>
                <c:pt idx="180">
                  <c:v>0.24736842105263157</c:v>
                </c:pt>
                <c:pt idx="181">
                  <c:v>0.24473684210526317</c:v>
                </c:pt>
                <c:pt idx="182">
                  <c:v>0.23218390804597702</c:v>
                </c:pt>
                <c:pt idx="183">
                  <c:v>0.24082568807339449</c:v>
                </c:pt>
                <c:pt idx="184">
                  <c:v>0.19495412844036697</c:v>
                </c:pt>
                <c:pt idx="185">
                  <c:v>0.47368421052631576</c:v>
                </c:pt>
                <c:pt idx="186">
                  <c:v>0.5368421052631579</c:v>
                </c:pt>
                <c:pt idx="187">
                  <c:v>0.51315789473684215</c:v>
                </c:pt>
                <c:pt idx="188">
                  <c:v>0.2897822445561139</c:v>
                </c:pt>
                <c:pt idx="189">
                  <c:v>0.37520938023450584</c:v>
                </c:pt>
                <c:pt idx="190">
                  <c:v>0.39799331103678931</c:v>
                </c:pt>
                <c:pt idx="191">
                  <c:v>0.50334448160535117</c:v>
                </c:pt>
                <c:pt idx="192">
                  <c:v>0.15135135135135136</c:v>
                </c:pt>
                <c:pt idx="193">
                  <c:v>0.18648018648018649</c:v>
                </c:pt>
                <c:pt idx="194">
                  <c:v>5.128205128205128E-2</c:v>
                </c:pt>
                <c:pt idx="195">
                  <c:v>0.14210526315789473</c:v>
                </c:pt>
                <c:pt idx="196">
                  <c:v>7.1052631578947367E-2</c:v>
                </c:pt>
                <c:pt idx="197">
                  <c:v>8.4210526315789472E-2</c:v>
                </c:pt>
                <c:pt idx="198">
                  <c:v>0.13709677419354838</c:v>
                </c:pt>
                <c:pt idx="199">
                  <c:v>0.18035426731078905</c:v>
                </c:pt>
                <c:pt idx="200">
                  <c:v>0.22222222222222221</c:v>
                </c:pt>
                <c:pt idx="201">
                  <c:v>0.45263157894736844</c:v>
                </c:pt>
                <c:pt idx="202">
                  <c:v>0.47631578947368419</c:v>
                </c:pt>
                <c:pt idx="203">
                  <c:v>0.4631578947368421</c:v>
                </c:pt>
                <c:pt idx="204">
                  <c:v>0.4101694915254237</c:v>
                </c:pt>
                <c:pt idx="205">
                  <c:v>0.4152542372881356</c:v>
                </c:pt>
                <c:pt idx="206">
                  <c:v>0.47457627118644069</c:v>
                </c:pt>
                <c:pt idx="207">
                  <c:v>0.1275</c:v>
                </c:pt>
                <c:pt idx="208">
                  <c:v>0.14735099337748345</c:v>
                </c:pt>
                <c:pt idx="209">
                  <c:v>0.34054054054054056</c:v>
                </c:pt>
                <c:pt idx="210">
                  <c:v>0.28378378378378377</c:v>
                </c:pt>
                <c:pt idx="211">
                  <c:v>0.3</c:v>
                </c:pt>
                <c:pt idx="212">
                  <c:v>0.26216216216216215</c:v>
                </c:pt>
                <c:pt idx="213">
                  <c:v>0.25945945945945947</c:v>
                </c:pt>
                <c:pt idx="214">
                  <c:v>0.26486486486486488</c:v>
                </c:pt>
                <c:pt idx="215">
                  <c:v>0.25405405405405407</c:v>
                </c:pt>
                <c:pt idx="216">
                  <c:v>0.2754158964879852</c:v>
                </c:pt>
                <c:pt idx="217">
                  <c:v>0.29574861367837341</c:v>
                </c:pt>
                <c:pt idx="218">
                  <c:v>0.28096118299445472</c:v>
                </c:pt>
                <c:pt idx="219">
                  <c:v>0.29020332717190389</c:v>
                </c:pt>
                <c:pt idx="220">
                  <c:v>0.25878003696857671</c:v>
                </c:pt>
                <c:pt idx="221">
                  <c:v>0.29944547134935307</c:v>
                </c:pt>
                <c:pt idx="222">
                  <c:v>0.25878003696857671</c:v>
                </c:pt>
                <c:pt idx="223">
                  <c:v>0.23616236162361623</c:v>
                </c:pt>
                <c:pt idx="224">
                  <c:v>0.25645756457564578</c:v>
                </c:pt>
                <c:pt idx="225">
                  <c:v>0.29704797047970477</c:v>
                </c:pt>
                <c:pt idx="226">
                  <c:v>0.34317343173431736</c:v>
                </c:pt>
                <c:pt idx="227">
                  <c:v>0.36531365313653136</c:v>
                </c:pt>
                <c:pt idx="228">
                  <c:v>0.35793357933579334</c:v>
                </c:pt>
                <c:pt idx="229">
                  <c:v>0.25333333333333335</c:v>
                </c:pt>
                <c:pt idx="230">
                  <c:v>0.23278688524590163</c:v>
                </c:pt>
                <c:pt idx="231">
                  <c:v>0.27495908346972175</c:v>
                </c:pt>
                <c:pt idx="232">
                  <c:v>0.47368421052631576</c:v>
                </c:pt>
                <c:pt idx="233">
                  <c:v>0.44473684210526315</c:v>
                </c:pt>
                <c:pt idx="234">
                  <c:v>0.39417177914110429</c:v>
                </c:pt>
                <c:pt idx="235">
                  <c:v>0.39570552147239263</c:v>
                </c:pt>
                <c:pt idx="236">
                  <c:v>0.37883435582822084</c:v>
                </c:pt>
                <c:pt idx="237">
                  <c:v>0.36809815950920244</c:v>
                </c:pt>
                <c:pt idx="238">
                  <c:v>0.1763157894736842</c:v>
                </c:pt>
                <c:pt idx="239">
                  <c:v>0.15789473684210525</c:v>
                </c:pt>
                <c:pt idx="240">
                  <c:v>0.11842105263157894</c:v>
                </c:pt>
                <c:pt idx="241">
                  <c:v>0.12481857764876633</c:v>
                </c:pt>
                <c:pt idx="242">
                  <c:v>0.12191582002902758</c:v>
                </c:pt>
                <c:pt idx="243">
                  <c:v>7.982583454281568E-2</c:v>
                </c:pt>
                <c:pt idx="244">
                  <c:v>0.14078374455732948</c:v>
                </c:pt>
                <c:pt idx="245">
                  <c:v>0.11030478955007257</c:v>
                </c:pt>
                <c:pt idx="246">
                  <c:v>0.10595065312046444</c:v>
                </c:pt>
                <c:pt idx="247">
                  <c:v>0.10885341074020319</c:v>
                </c:pt>
                <c:pt idx="248">
                  <c:v>0.13421052631578947</c:v>
                </c:pt>
                <c:pt idx="249">
                  <c:v>0.15526315789473685</c:v>
                </c:pt>
                <c:pt idx="250">
                  <c:v>0.10963455149501661</c:v>
                </c:pt>
                <c:pt idx="251">
                  <c:v>0.12271973466003316</c:v>
                </c:pt>
                <c:pt idx="252">
                  <c:v>0.13598673300165837</c:v>
                </c:pt>
                <c:pt idx="253">
                  <c:v>0.16583747927031509</c:v>
                </c:pt>
                <c:pt idx="254">
                  <c:v>0.13157894736842105</c:v>
                </c:pt>
                <c:pt idx="255">
                  <c:v>0.11052631578947368</c:v>
                </c:pt>
                <c:pt idx="256">
                  <c:v>0.11842105263157894</c:v>
                </c:pt>
                <c:pt idx="257">
                  <c:v>9.7844112769485903E-2</c:v>
                </c:pt>
                <c:pt idx="258">
                  <c:v>0.12086092715231789</c:v>
                </c:pt>
                <c:pt idx="259">
                  <c:v>0.13741721854304637</c:v>
                </c:pt>
                <c:pt idx="260">
                  <c:v>0.16390728476821192</c:v>
                </c:pt>
                <c:pt idx="261">
                  <c:v>6.0526315789473685E-2</c:v>
                </c:pt>
                <c:pt idx="262">
                  <c:v>3.4210526315789476E-2</c:v>
                </c:pt>
                <c:pt idx="263">
                  <c:v>5.7894736842105263E-2</c:v>
                </c:pt>
                <c:pt idx="264">
                  <c:v>5.4716981132075473E-2</c:v>
                </c:pt>
                <c:pt idx="265">
                  <c:v>7.7212806026365349E-2</c:v>
                </c:pt>
                <c:pt idx="266">
                  <c:v>0.13182674199623351</c:v>
                </c:pt>
                <c:pt idx="267">
                  <c:v>0.44054054054054054</c:v>
                </c:pt>
                <c:pt idx="268">
                  <c:v>0.42162162162162165</c:v>
                </c:pt>
                <c:pt idx="269">
                  <c:v>0.48125000000000001</c:v>
                </c:pt>
                <c:pt idx="270">
                  <c:v>0.45624999999999999</c:v>
                </c:pt>
                <c:pt idx="271">
                  <c:v>0.39531250000000001</c:v>
                </c:pt>
                <c:pt idx="272">
                  <c:v>0.40873634945397813</c:v>
                </c:pt>
                <c:pt idx="273">
                  <c:v>0.34473684210526317</c:v>
                </c:pt>
                <c:pt idx="274">
                  <c:v>0.28421052631578947</c:v>
                </c:pt>
                <c:pt idx="275">
                  <c:v>0.33157894736842103</c:v>
                </c:pt>
                <c:pt idx="276">
                  <c:v>0.26842105263157895</c:v>
                </c:pt>
                <c:pt idx="277">
                  <c:v>0.21843003412969283</c:v>
                </c:pt>
                <c:pt idx="278">
                  <c:v>0.22866894197952217</c:v>
                </c:pt>
                <c:pt idx="279">
                  <c:v>0.34864864864864864</c:v>
                </c:pt>
                <c:pt idx="280">
                  <c:v>0.26756756756756755</c:v>
                </c:pt>
                <c:pt idx="281">
                  <c:v>0.2</c:v>
                </c:pt>
                <c:pt idx="282">
                  <c:v>0.19729729729729731</c:v>
                </c:pt>
                <c:pt idx="283">
                  <c:v>0.23783783783783785</c:v>
                </c:pt>
                <c:pt idx="284">
                  <c:v>0.28231797919762258</c:v>
                </c:pt>
                <c:pt idx="285">
                  <c:v>0.32540861812778604</c:v>
                </c:pt>
                <c:pt idx="286">
                  <c:v>0.34918276374442792</c:v>
                </c:pt>
                <c:pt idx="287">
                  <c:v>0.32243684992570582</c:v>
                </c:pt>
                <c:pt idx="288">
                  <c:v>0.31352154531946508</c:v>
                </c:pt>
                <c:pt idx="289">
                  <c:v>0.28974739970282321</c:v>
                </c:pt>
                <c:pt idx="290">
                  <c:v>0.2288261515601783</c:v>
                </c:pt>
                <c:pt idx="291">
                  <c:v>0.22734026745913818</c:v>
                </c:pt>
                <c:pt idx="292">
                  <c:v>0.24665676077265974</c:v>
                </c:pt>
                <c:pt idx="293">
                  <c:v>0.25519287833827892</c:v>
                </c:pt>
                <c:pt idx="294">
                  <c:v>0.25222551928783382</c:v>
                </c:pt>
                <c:pt idx="295">
                  <c:v>0.25370919881305637</c:v>
                </c:pt>
                <c:pt idx="296">
                  <c:v>0.25964391691394662</c:v>
                </c:pt>
                <c:pt idx="297">
                  <c:v>0.27448071216617209</c:v>
                </c:pt>
                <c:pt idx="298">
                  <c:v>0.29970326409495551</c:v>
                </c:pt>
                <c:pt idx="299">
                  <c:v>0.28931750741839762</c:v>
                </c:pt>
                <c:pt idx="300">
                  <c:v>0.28486646884272998</c:v>
                </c:pt>
                <c:pt idx="301">
                  <c:v>0.49166666666666664</c:v>
                </c:pt>
                <c:pt idx="302">
                  <c:v>0.55833333333333335</c:v>
                </c:pt>
                <c:pt idx="303">
                  <c:v>0.4777777777777778</c:v>
                </c:pt>
                <c:pt idx="304">
                  <c:v>0.56521739130434778</c:v>
                </c:pt>
                <c:pt idx="305">
                  <c:v>0.48550724637681159</c:v>
                </c:pt>
                <c:pt idx="306">
                  <c:v>0.45441389290882778</c:v>
                </c:pt>
              </c:numCache>
            </c:numRef>
          </c:xVal>
          <c:yVal>
            <c:numRef>
              <c:f>RaceWorksheet!$A$2:$A$308</c:f>
              <c:numCache>
                <c:formatCode>0.0%</c:formatCode>
                <c:ptCount val="307"/>
                <c:pt idx="0">
                  <c:v>0.11743772241992882</c:v>
                </c:pt>
                <c:pt idx="1">
                  <c:v>0.13010204081632654</c:v>
                </c:pt>
                <c:pt idx="2">
                  <c:v>0.17349397590361446</c:v>
                </c:pt>
                <c:pt idx="3">
                  <c:v>0.55434782608695654</c:v>
                </c:pt>
                <c:pt idx="4">
                  <c:v>0.46964856230031948</c:v>
                </c:pt>
                <c:pt idx="5">
                  <c:v>0.53020134228187921</c:v>
                </c:pt>
                <c:pt idx="6">
                  <c:v>0.61032028469750887</c:v>
                </c:pt>
                <c:pt idx="7">
                  <c:v>0.56981132075471697</c:v>
                </c:pt>
                <c:pt idx="8">
                  <c:v>0.5</c:v>
                </c:pt>
                <c:pt idx="9">
                  <c:v>0.44186046511627908</c:v>
                </c:pt>
                <c:pt idx="10">
                  <c:v>0.16603773584905659</c:v>
                </c:pt>
                <c:pt idx="11">
                  <c:v>0.18545454545454546</c:v>
                </c:pt>
                <c:pt idx="12">
                  <c:v>0.19155844155844157</c:v>
                </c:pt>
                <c:pt idx="13">
                  <c:v>0.32500000000000001</c:v>
                </c:pt>
                <c:pt idx="14">
                  <c:v>0.27597402597402598</c:v>
                </c:pt>
                <c:pt idx="15">
                  <c:v>0.24015009380863039</c:v>
                </c:pt>
                <c:pt idx="16">
                  <c:v>0.28764478764478763</c:v>
                </c:pt>
                <c:pt idx="17">
                  <c:v>0.39219330855018586</c:v>
                </c:pt>
                <c:pt idx="18">
                  <c:v>0.3634782608695652</c:v>
                </c:pt>
                <c:pt idx="19">
                  <c:v>0.26666666666666666</c:v>
                </c:pt>
                <c:pt idx="20">
                  <c:v>0.26332288401253917</c:v>
                </c:pt>
                <c:pt idx="21">
                  <c:v>0.32220039292730845</c:v>
                </c:pt>
                <c:pt idx="22">
                  <c:v>0.46730769230769231</c:v>
                </c:pt>
                <c:pt idx="23">
                  <c:v>0.3663551401869159</c:v>
                </c:pt>
                <c:pt idx="24">
                  <c:v>0.21478873239436619</c:v>
                </c:pt>
                <c:pt idx="25">
                  <c:v>0.30312499999999998</c:v>
                </c:pt>
                <c:pt idx="26">
                  <c:v>0.22081218274111675</c:v>
                </c:pt>
                <c:pt idx="27">
                  <c:v>0.21105527638190955</c:v>
                </c:pt>
                <c:pt idx="28">
                  <c:v>0.21728971962616822</c:v>
                </c:pt>
                <c:pt idx="29">
                  <c:v>0.47085201793721976</c:v>
                </c:pt>
                <c:pt idx="30">
                  <c:v>0.42753623188405798</c:v>
                </c:pt>
                <c:pt idx="31">
                  <c:v>0.40952380952380951</c:v>
                </c:pt>
                <c:pt idx="32">
                  <c:v>0.51587301587301593</c:v>
                </c:pt>
                <c:pt idx="33">
                  <c:v>0.48024948024948028</c:v>
                </c:pt>
                <c:pt idx="34">
                  <c:v>0.5010570824524313</c:v>
                </c:pt>
                <c:pt idx="35">
                  <c:v>0.50829875518672196</c:v>
                </c:pt>
                <c:pt idx="36">
                  <c:v>0.39763779527559057</c:v>
                </c:pt>
                <c:pt idx="37">
                  <c:v>0.2347560975609756</c:v>
                </c:pt>
                <c:pt idx="38">
                  <c:v>0.54201680672268904</c:v>
                </c:pt>
                <c:pt idx="39">
                  <c:v>0.53947368421052633</c:v>
                </c:pt>
                <c:pt idx="40">
                  <c:v>0.53254437869822491</c:v>
                </c:pt>
                <c:pt idx="41">
                  <c:v>0.59935897435897434</c:v>
                </c:pt>
                <c:pt idx="42">
                  <c:v>0.47770700636942676</c:v>
                </c:pt>
                <c:pt idx="43">
                  <c:v>0.15602836879432624</c:v>
                </c:pt>
                <c:pt idx="44">
                  <c:v>0.17391304347826086</c:v>
                </c:pt>
                <c:pt idx="45">
                  <c:v>0.21369863013698631</c:v>
                </c:pt>
                <c:pt idx="46">
                  <c:v>0.29198966408268734</c:v>
                </c:pt>
                <c:pt idx="47">
                  <c:v>0.25738396624472576</c:v>
                </c:pt>
                <c:pt idx="48">
                  <c:v>0.36912751677852351</c:v>
                </c:pt>
                <c:pt idx="49">
                  <c:v>0.27931769722814498</c:v>
                </c:pt>
                <c:pt idx="50">
                  <c:v>0.28159645232815966</c:v>
                </c:pt>
                <c:pt idx="51">
                  <c:v>0.36160714285714285</c:v>
                </c:pt>
                <c:pt idx="52">
                  <c:v>0.30802603036876358</c:v>
                </c:pt>
                <c:pt idx="53">
                  <c:v>0.22129436325678498</c:v>
                </c:pt>
                <c:pt idx="54">
                  <c:v>0.32246376811594202</c:v>
                </c:pt>
                <c:pt idx="55">
                  <c:v>0.27300613496932513</c:v>
                </c:pt>
                <c:pt idx="56">
                  <c:v>0.23986486486486486</c:v>
                </c:pt>
                <c:pt idx="57">
                  <c:v>0.3448905109489051</c:v>
                </c:pt>
                <c:pt idx="58">
                  <c:v>0.25272727272727274</c:v>
                </c:pt>
                <c:pt idx="59">
                  <c:v>0.18706293706293706</c:v>
                </c:pt>
                <c:pt idx="60">
                  <c:v>0.77850162866449513</c:v>
                </c:pt>
                <c:pt idx="61">
                  <c:v>0.77938517179023503</c:v>
                </c:pt>
                <c:pt idx="62">
                  <c:v>0.77695167286245348</c:v>
                </c:pt>
                <c:pt idx="63">
                  <c:v>0.84344422700587085</c:v>
                </c:pt>
                <c:pt idx="64">
                  <c:v>0.78321678321678323</c:v>
                </c:pt>
                <c:pt idx="65">
                  <c:v>0.81512605042016806</c:v>
                </c:pt>
                <c:pt idx="66">
                  <c:v>0.75083056478405319</c:v>
                </c:pt>
                <c:pt idx="67">
                  <c:v>0.82130584192439859</c:v>
                </c:pt>
                <c:pt idx="68">
                  <c:v>0.84832451499118167</c:v>
                </c:pt>
                <c:pt idx="69">
                  <c:v>0.77884615384615385</c:v>
                </c:pt>
                <c:pt idx="70">
                  <c:v>0.73425196850393704</c:v>
                </c:pt>
                <c:pt idx="71">
                  <c:v>0.76604554865424435</c:v>
                </c:pt>
                <c:pt idx="72">
                  <c:v>0.78612716763005785</c:v>
                </c:pt>
                <c:pt idx="73">
                  <c:v>0.79926335174953955</c:v>
                </c:pt>
                <c:pt idx="74">
                  <c:v>0.84615384615384615</c:v>
                </c:pt>
                <c:pt idx="75">
                  <c:v>0.80126182965299686</c:v>
                </c:pt>
                <c:pt idx="76">
                  <c:v>0.88924050632911389</c:v>
                </c:pt>
                <c:pt idx="77">
                  <c:v>0.88275862068965516</c:v>
                </c:pt>
                <c:pt idx="78">
                  <c:v>0.86531365313653141</c:v>
                </c:pt>
                <c:pt idx="79">
                  <c:v>0.84716981132075475</c:v>
                </c:pt>
                <c:pt idx="80">
                  <c:v>0.84291187739463602</c:v>
                </c:pt>
                <c:pt idx="81">
                  <c:v>0.84629629629629632</c:v>
                </c:pt>
                <c:pt idx="82">
                  <c:v>0.73809523809523814</c:v>
                </c:pt>
                <c:pt idx="83">
                  <c:v>0.70685579196217496</c:v>
                </c:pt>
                <c:pt idx="84">
                  <c:v>0.8032407407407407</c:v>
                </c:pt>
                <c:pt idx="85">
                  <c:v>0.91164658634538154</c:v>
                </c:pt>
                <c:pt idx="86">
                  <c:v>0.90391459074733094</c:v>
                </c:pt>
                <c:pt idx="87">
                  <c:v>0.94646680942184158</c:v>
                </c:pt>
                <c:pt idx="88">
                  <c:v>0.9513184584178499</c:v>
                </c:pt>
                <c:pt idx="89">
                  <c:v>0.88888888888888884</c:v>
                </c:pt>
                <c:pt idx="90">
                  <c:v>0.89932885906040272</c:v>
                </c:pt>
                <c:pt idx="91">
                  <c:v>0.8954545454545455</c:v>
                </c:pt>
                <c:pt idx="92">
                  <c:v>0.967741935483871</c:v>
                </c:pt>
                <c:pt idx="93">
                  <c:v>0.91139240506329111</c:v>
                </c:pt>
                <c:pt idx="94">
                  <c:v>0.9532374100719424</c:v>
                </c:pt>
                <c:pt idx="95">
                  <c:v>0.94052044609665431</c:v>
                </c:pt>
                <c:pt idx="96">
                  <c:v>0.87596899224806202</c:v>
                </c:pt>
                <c:pt idx="97">
                  <c:v>0.95151515151515154</c:v>
                </c:pt>
                <c:pt idx="98">
                  <c:v>0.82905982905982911</c:v>
                </c:pt>
                <c:pt idx="99">
                  <c:v>0.86111111111111116</c:v>
                </c:pt>
                <c:pt idx="100">
                  <c:v>0.80219780219780223</c:v>
                </c:pt>
                <c:pt idx="101">
                  <c:v>0.89682539682539686</c:v>
                </c:pt>
                <c:pt idx="102">
                  <c:v>0.83171521035598706</c:v>
                </c:pt>
                <c:pt idx="103">
                  <c:v>0.8705357142857143</c:v>
                </c:pt>
                <c:pt idx="104">
                  <c:v>0.87632508833922262</c:v>
                </c:pt>
                <c:pt idx="105">
                  <c:v>0.90592334494773519</c:v>
                </c:pt>
                <c:pt idx="106">
                  <c:v>0.94915254237288138</c:v>
                </c:pt>
                <c:pt idx="107">
                  <c:v>0.92783505154639179</c:v>
                </c:pt>
                <c:pt idx="108">
                  <c:v>0.93650793650793651</c:v>
                </c:pt>
                <c:pt idx="109">
                  <c:v>0.88652482269503541</c:v>
                </c:pt>
                <c:pt idx="110">
                  <c:v>0.74315068493150682</c:v>
                </c:pt>
                <c:pt idx="111">
                  <c:v>0.65822784810126578</c:v>
                </c:pt>
                <c:pt idx="112">
                  <c:v>0.64379084967320266</c:v>
                </c:pt>
                <c:pt idx="113">
                  <c:v>0.72247706422018354</c:v>
                </c:pt>
                <c:pt idx="114">
                  <c:v>0.69515011547344108</c:v>
                </c:pt>
                <c:pt idx="115">
                  <c:v>0.64316239316239321</c:v>
                </c:pt>
                <c:pt idx="116">
                  <c:v>0.62761506276150625</c:v>
                </c:pt>
                <c:pt idx="117">
                  <c:v>0.58085106382978724</c:v>
                </c:pt>
                <c:pt idx="118">
                  <c:v>0.72661870503597126</c:v>
                </c:pt>
                <c:pt idx="119">
                  <c:v>0.66987179487179482</c:v>
                </c:pt>
                <c:pt idx="120">
                  <c:v>0.74013157894736847</c:v>
                </c:pt>
                <c:pt idx="121">
                  <c:v>0.72955974842767291</c:v>
                </c:pt>
                <c:pt idx="122">
                  <c:v>0.68243243243243246</c:v>
                </c:pt>
                <c:pt idx="123">
                  <c:v>0.68250539956803458</c:v>
                </c:pt>
                <c:pt idx="124">
                  <c:v>0.62448132780082988</c:v>
                </c:pt>
                <c:pt idx="125">
                  <c:v>0.8392857142857143</c:v>
                </c:pt>
                <c:pt idx="126">
                  <c:v>0.73899371069182385</c:v>
                </c:pt>
                <c:pt idx="127">
                  <c:v>0.79104477611940294</c:v>
                </c:pt>
                <c:pt idx="128">
                  <c:v>0.78557114228456915</c:v>
                </c:pt>
                <c:pt idx="129">
                  <c:v>0.68360277136258663</c:v>
                </c:pt>
                <c:pt idx="130">
                  <c:v>0.71767241379310343</c:v>
                </c:pt>
                <c:pt idx="131">
                  <c:v>0.74798387096774188</c:v>
                </c:pt>
                <c:pt idx="132">
                  <c:v>0.73333333333333328</c:v>
                </c:pt>
                <c:pt idx="133">
                  <c:v>0.76156583629893237</c:v>
                </c:pt>
                <c:pt idx="134">
                  <c:v>0.83557046979865768</c:v>
                </c:pt>
                <c:pt idx="135">
                  <c:v>0.78877887788778878</c:v>
                </c:pt>
                <c:pt idx="136">
                  <c:v>0.69037656903765687</c:v>
                </c:pt>
                <c:pt idx="137">
                  <c:v>0.68837209302325586</c:v>
                </c:pt>
                <c:pt idx="138">
                  <c:v>0.76222222222222225</c:v>
                </c:pt>
                <c:pt idx="139">
                  <c:v>0.75523012552301261</c:v>
                </c:pt>
                <c:pt idx="140">
                  <c:v>0.75739644970414199</c:v>
                </c:pt>
                <c:pt idx="141">
                  <c:v>0.57432432432432434</c:v>
                </c:pt>
                <c:pt idx="142">
                  <c:v>0.70134228187919467</c:v>
                </c:pt>
                <c:pt idx="143">
                  <c:v>0.72413793103448276</c:v>
                </c:pt>
                <c:pt idx="144">
                  <c:v>0.70398009950248752</c:v>
                </c:pt>
                <c:pt idx="145">
                  <c:v>0.71895424836601307</c:v>
                </c:pt>
                <c:pt idx="146">
                  <c:v>0.68776371308016881</c:v>
                </c:pt>
                <c:pt idx="147">
                  <c:v>0.23389830508474577</c:v>
                </c:pt>
                <c:pt idx="148">
                  <c:v>0.19889502762430938</c:v>
                </c:pt>
                <c:pt idx="149">
                  <c:v>0.90186915887850472</c:v>
                </c:pt>
                <c:pt idx="150">
                  <c:v>0.86899563318777295</c:v>
                </c:pt>
                <c:pt idx="151">
                  <c:v>0.86098654708520184</c:v>
                </c:pt>
                <c:pt idx="152">
                  <c:v>0.91958041958041958</c:v>
                </c:pt>
                <c:pt idx="153">
                  <c:v>0.79441624365482233</c:v>
                </c:pt>
                <c:pt idx="154">
                  <c:v>0.90340909090909094</c:v>
                </c:pt>
                <c:pt idx="155">
                  <c:v>0.8779342723004695</c:v>
                </c:pt>
                <c:pt idx="156">
                  <c:v>0.80666666666666664</c:v>
                </c:pt>
                <c:pt idx="157">
                  <c:v>0.84444444444444444</c:v>
                </c:pt>
                <c:pt idx="158">
                  <c:v>0.7967479674796748</c:v>
                </c:pt>
                <c:pt idx="159">
                  <c:v>0.83399209486166004</c:v>
                </c:pt>
                <c:pt idx="160">
                  <c:v>0.80790960451977401</c:v>
                </c:pt>
                <c:pt idx="161">
                  <c:v>0.82</c:v>
                </c:pt>
                <c:pt idx="162">
                  <c:v>0.80323450134770891</c:v>
                </c:pt>
                <c:pt idx="163">
                  <c:v>0.79802955665024633</c:v>
                </c:pt>
                <c:pt idx="164">
                  <c:v>0.86738351254480284</c:v>
                </c:pt>
                <c:pt idx="165">
                  <c:v>0.89456869009584661</c:v>
                </c:pt>
                <c:pt idx="166">
                  <c:v>0.89836065573770496</c:v>
                </c:pt>
                <c:pt idx="167">
                  <c:v>0.94871794871794868</c:v>
                </c:pt>
                <c:pt idx="168">
                  <c:v>0.95151515151515154</c:v>
                </c:pt>
                <c:pt idx="169">
                  <c:v>0.92585170340681366</c:v>
                </c:pt>
                <c:pt idx="170">
                  <c:v>0.3991769547325103</c:v>
                </c:pt>
                <c:pt idx="171">
                  <c:v>0.37164750957854409</c:v>
                </c:pt>
                <c:pt idx="172">
                  <c:v>0.36842105263157893</c:v>
                </c:pt>
                <c:pt idx="173">
                  <c:v>0.36666666666666664</c:v>
                </c:pt>
                <c:pt idx="174">
                  <c:v>0.46666666666666667</c:v>
                </c:pt>
                <c:pt idx="175">
                  <c:v>0.49137931034482757</c:v>
                </c:pt>
                <c:pt idx="176">
                  <c:v>0.49377593360995853</c:v>
                </c:pt>
                <c:pt idx="177">
                  <c:v>0.86868686868686873</c:v>
                </c:pt>
                <c:pt idx="178">
                  <c:v>0.8515625</c:v>
                </c:pt>
                <c:pt idx="179">
                  <c:v>0.82371794871794868</c:v>
                </c:pt>
                <c:pt idx="180">
                  <c:v>0.84507042253521125</c:v>
                </c:pt>
                <c:pt idx="181">
                  <c:v>0.85416666666666663</c:v>
                </c:pt>
                <c:pt idx="182">
                  <c:v>0.83486238532110091</c:v>
                </c:pt>
                <c:pt idx="183">
                  <c:v>0.81188118811881194</c:v>
                </c:pt>
                <c:pt idx="184">
                  <c:v>0.71692307692307689</c:v>
                </c:pt>
                <c:pt idx="185">
                  <c:v>0.68016194331983804</c:v>
                </c:pt>
                <c:pt idx="186">
                  <c:v>0.74426229508196717</c:v>
                </c:pt>
                <c:pt idx="187">
                  <c:v>0.68571428571428572</c:v>
                </c:pt>
                <c:pt idx="188">
                  <c:v>0.55860349127182041</c:v>
                </c:pt>
                <c:pt idx="189">
                  <c:v>0.64523809523809528</c:v>
                </c:pt>
                <c:pt idx="190">
                  <c:v>0.67929292929292928</c:v>
                </c:pt>
                <c:pt idx="191">
                  <c:v>0.72270742358078599</c:v>
                </c:pt>
                <c:pt idx="192">
                  <c:v>0.77153558052434457</c:v>
                </c:pt>
                <c:pt idx="193">
                  <c:v>0.81172839506172845</c:v>
                </c:pt>
                <c:pt idx="194">
                  <c:v>0.82461538461538464</c:v>
                </c:pt>
                <c:pt idx="195">
                  <c:v>0.88304093567251463</c:v>
                </c:pt>
                <c:pt idx="196">
                  <c:v>0.89324618736383443</c:v>
                </c:pt>
                <c:pt idx="197">
                  <c:v>0.84472049689440998</c:v>
                </c:pt>
                <c:pt idx="198">
                  <c:v>0.48943661971830987</c:v>
                </c:pt>
                <c:pt idx="199">
                  <c:v>0.57434402332361512</c:v>
                </c:pt>
                <c:pt idx="200">
                  <c:v>0.33024691358024694</c:v>
                </c:pt>
                <c:pt idx="201">
                  <c:v>0.8203125</c:v>
                </c:pt>
                <c:pt idx="202">
                  <c:v>0.81625441696113077</c:v>
                </c:pt>
                <c:pt idx="203">
                  <c:v>0.83389830508474572</c:v>
                </c:pt>
                <c:pt idx="204">
                  <c:v>0.8482142857142857</c:v>
                </c:pt>
                <c:pt idx="205">
                  <c:v>0.85441527446300713</c:v>
                </c:pt>
                <c:pt idx="206">
                  <c:v>0.852112676056338</c:v>
                </c:pt>
                <c:pt idx="207">
                  <c:v>0.80201342281879195</c:v>
                </c:pt>
                <c:pt idx="208">
                  <c:v>0.76291079812206575</c:v>
                </c:pt>
                <c:pt idx="209">
                  <c:v>0.70157068062827221</c:v>
                </c:pt>
                <c:pt idx="210">
                  <c:v>0.78445229681978801</c:v>
                </c:pt>
                <c:pt idx="211">
                  <c:v>0.74489795918367352</c:v>
                </c:pt>
                <c:pt idx="212">
                  <c:v>0.70707070707070707</c:v>
                </c:pt>
                <c:pt idx="213">
                  <c:v>0.82059800664451832</c:v>
                </c:pt>
                <c:pt idx="214">
                  <c:v>0.81418918918918914</c:v>
                </c:pt>
                <c:pt idx="215">
                  <c:v>0.86734693877551017</c:v>
                </c:pt>
                <c:pt idx="216">
                  <c:v>0.91935483870967738</c:v>
                </c:pt>
                <c:pt idx="217">
                  <c:v>0.8779342723004695</c:v>
                </c:pt>
                <c:pt idx="218">
                  <c:v>0.85613207547169812</c:v>
                </c:pt>
                <c:pt idx="219">
                  <c:v>0.79353233830845771</c:v>
                </c:pt>
                <c:pt idx="220">
                  <c:v>0.77157360406091369</c:v>
                </c:pt>
                <c:pt idx="221">
                  <c:v>0.77722772277227725</c:v>
                </c:pt>
                <c:pt idx="222">
                  <c:v>0.74615384615384617</c:v>
                </c:pt>
                <c:pt idx="223">
                  <c:v>0.74935400516795869</c:v>
                </c:pt>
                <c:pt idx="224">
                  <c:v>0.76092544987146526</c:v>
                </c:pt>
                <c:pt idx="225">
                  <c:v>0.77353689567430028</c:v>
                </c:pt>
                <c:pt idx="226">
                  <c:v>0.8133971291866029</c:v>
                </c:pt>
                <c:pt idx="227">
                  <c:v>0.80885780885780889</c:v>
                </c:pt>
                <c:pt idx="228">
                  <c:v>0.74501108647450109</c:v>
                </c:pt>
                <c:pt idx="229">
                  <c:v>0.8294117647058824</c:v>
                </c:pt>
                <c:pt idx="230">
                  <c:v>0.83518930957683746</c:v>
                </c:pt>
                <c:pt idx="231">
                  <c:v>0.7870967741935484</c:v>
                </c:pt>
                <c:pt idx="232">
                  <c:v>0.87982832618025753</c:v>
                </c:pt>
                <c:pt idx="233">
                  <c:v>0.92281879194630867</c:v>
                </c:pt>
                <c:pt idx="234">
                  <c:v>0.95205479452054798</c:v>
                </c:pt>
                <c:pt idx="235">
                  <c:v>0.94197292069632499</c:v>
                </c:pt>
                <c:pt idx="236">
                  <c:v>0.9498069498069498</c:v>
                </c:pt>
                <c:pt idx="237">
                  <c:v>0.93581780538302273</c:v>
                </c:pt>
                <c:pt idx="238">
                  <c:v>0.94199999999999995</c:v>
                </c:pt>
                <c:pt idx="239">
                  <c:v>0.92600422832980978</c:v>
                </c:pt>
                <c:pt idx="240">
                  <c:v>0.95411089866156784</c:v>
                </c:pt>
                <c:pt idx="241">
                  <c:v>0.94839857651245552</c:v>
                </c:pt>
                <c:pt idx="242">
                  <c:v>0.85251798561151082</c:v>
                </c:pt>
                <c:pt idx="243">
                  <c:v>0.91874999999999996</c:v>
                </c:pt>
                <c:pt idx="244">
                  <c:v>0.93320610687022898</c:v>
                </c:pt>
                <c:pt idx="245">
                  <c:v>0.92213114754098358</c:v>
                </c:pt>
                <c:pt idx="246">
                  <c:v>0.92177589852008457</c:v>
                </c:pt>
                <c:pt idx="247">
                  <c:v>0.92692307692307696</c:v>
                </c:pt>
                <c:pt idx="248">
                  <c:v>0.93133047210300424</c:v>
                </c:pt>
                <c:pt idx="249">
                  <c:v>0.94</c:v>
                </c:pt>
                <c:pt idx="250">
                  <c:v>0.94078947368421051</c:v>
                </c:pt>
                <c:pt idx="251">
                  <c:v>0.92576419213973804</c:v>
                </c:pt>
                <c:pt idx="252">
                  <c:v>0.94252873563218387</c:v>
                </c:pt>
                <c:pt idx="253">
                  <c:v>0.93506493506493504</c:v>
                </c:pt>
                <c:pt idx="254">
                  <c:v>0.89823008849557517</c:v>
                </c:pt>
                <c:pt idx="255">
                  <c:v>0.93939393939393945</c:v>
                </c:pt>
                <c:pt idx="256">
                  <c:v>0.93687707641196016</c:v>
                </c:pt>
                <c:pt idx="257">
                  <c:v>0.92307692307692313</c:v>
                </c:pt>
                <c:pt idx="258">
                  <c:v>0.92380952380952386</c:v>
                </c:pt>
                <c:pt idx="259">
                  <c:v>0.92048192771084336</c:v>
                </c:pt>
                <c:pt idx="260">
                  <c:v>0.86486486486486491</c:v>
                </c:pt>
                <c:pt idx="261">
                  <c:v>0.82727272727272727</c:v>
                </c:pt>
                <c:pt idx="262">
                  <c:v>0.90972222222222221</c:v>
                </c:pt>
                <c:pt idx="263">
                  <c:v>0.9375</c:v>
                </c:pt>
                <c:pt idx="264">
                  <c:v>0.93055555555555558</c:v>
                </c:pt>
                <c:pt idx="265">
                  <c:v>0.94417475728155342</c:v>
                </c:pt>
                <c:pt idx="266">
                  <c:v>0.95704057279236276</c:v>
                </c:pt>
                <c:pt idx="267">
                  <c:v>0.44791666666666669</c:v>
                </c:pt>
                <c:pt idx="268">
                  <c:v>0.49367088607594939</c:v>
                </c:pt>
                <c:pt idx="269">
                  <c:v>0.57414448669201523</c:v>
                </c:pt>
                <c:pt idx="270">
                  <c:v>0.60685483870967738</c:v>
                </c:pt>
                <c:pt idx="271">
                  <c:v>0.51307847082494973</c:v>
                </c:pt>
                <c:pt idx="272">
                  <c:v>0.51544401544401541</c:v>
                </c:pt>
                <c:pt idx="273">
                  <c:v>0.65437788018433185</c:v>
                </c:pt>
                <c:pt idx="274">
                  <c:v>0.63917525773195871</c:v>
                </c:pt>
                <c:pt idx="275">
                  <c:v>0.5727554179566563</c:v>
                </c:pt>
                <c:pt idx="276">
                  <c:v>0.50156739811912221</c:v>
                </c:pt>
                <c:pt idx="277">
                  <c:v>0.5907590759075908</c:v>
                </c:pt>
                <c:pt idx="278">
                  <c:v>0.68849557522123894</c:v>
                </c:pt>
                <c:pt idx="279">
                  <c:v>0.73476702508960579</c:v>
                </c:pt>
                <c:pt idx="280">
                  <c:v>0.74311926605504586</c:v>
                </c:pt>
                <c:pt idx="281">
                  <c:v>0.77449168207024033</c:v>
                </c:pt>
                <c:pt idx="282">
                  <c:v>0.75600000000000001</c:v>
                </c:pt>
                <c:pt idx="283">
                  <c:v>0.73006134969325154</c:v>
                </c:pt>
                <c:pt idx="284">
                  <c:v>0.64360587002096437</c:v>
                </c:pt>
                <c:pt idx="285">
                  <c:v>0.64075630252100846</c:v>
                </c:pt>
                <c:pt idx="286">
                  <c:v>0.59591836734693882</c:v>
                </c:pt>
                <c:pt idx="287">
                  <c:v>0.62815126050420167</c:v>
                </c:pt>
                <c:pt idx="288">
                  <c:v>0.59599999999999997</c:v>
                </c:pt>
                <c:pt idx="289">
                  <c:v>0.62040816326530612</c:v>
                </c:pt>
                <c:pt idx="290">
                  <c:v>0.6324626865671642</c:v>
                </c:pt>
                <c:pt idx="291">
                  <c:v>0.6440366972477064</c:v>
                </c:pt>
                <c:pt idx="292">
                  <c:v>0.66238532110091741</c:v>
                </c:pt>
                <c:pt idx="293">
                  <c:v>0.66482504604051562</c:v>
                </c:pt>
                <c:pt idx="294">
                  <c:v>0.65845070422535212</c:v>
                </c:pt>
                <c:pt idx="295">
                  <c:v>0.80701754385964908</c:v>
                </c:pt>
                <c:pt idx="296">
                  <c:v>0.89438943894389444</c:v>
                </c:pt>
                <c:pt idx="297">
                  <c:v>0.92096219931271472</c:v>
                </c:pt>
                <c:pt idx="298">
                  <c:v>0.88043478260869568</c:v>
                </c:pt>
                <c:pt idx="299">
                  <c:v>0.89819004524886881</c:v>
                </c:pt>
                <c:pt idx="300">
                  <c:v>0.91163793103448276</c:v>
                </c:pt>
                <c:pt idx="301">
                  <c:v>0.5962264150943396</c:v>
                </c:pt>
                <c:pt idx="302">
                  <c:v>0.71844660194174759</c:v>
                </c:pt>
                <c:pt idx="303">
                  <c:v>0.76950354609929073</c:v>
                </c:pt>
                <c:pt idx="304">
                  <c:v>0.74812030075187974</c:v>
                </c:pt>
                <c:pt idx="305">
                  <c:v>0.67472118959107807</c:v>
                </c:pt>
                <c:pt idx="306">
                  <c:v>0.64640883977900554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EB-4809-AE49-F8B33DC79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236416"/>
        <c:axId val="896336096"/>
      </c:scatterChart>
      <c:valAx>
        <c:axId val="687236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336096"/>
        <c:crosses val="autoZero"/>
        <c:crossBetween val="midCat"/>
      </c:valAx>
      <c:valAx>
        <c:axId val="8963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N21BktKepayang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031496062992126E-2"/>
                  <c:y val="0.25592592592592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N21BktKepayang!$E$2:$E$90</c:f>
              <c:numCache>
                <c:formatCode>0.0%</c:formatCode>
                <c:ptCount val="89"/>
                <c:pt idx="0">
                  <c:v>0.14736842105263157</c:v>
                </c:pt>
                <c:pt idx="1">
                  <c:v>0.21203438395415472</c:v>
                </c:pt>
                <c:pt idx="2">
                  <c:v>0.23065902578796563</c:v>
                </c:pt>
                <c:pt idx="3">
                  <c:v>0.20630372492836677</c:v>
                </c:pt>
                <c:pt idx="4">
                  <c:v>0.27650429799426934</c:v>
                </c:pt>
                <c:pt idx="5">
                  <c:v>0.14054054054054055</c:v>
                </c:pt>
                <c:pt idx="6">
                  <c:v>0.22972972972972974</c:v>
                </c:pt>
                <c:pt idx="7">
                  <c:v>0.16756756756756758</c:v>
                </c:pt>
                <c:pt idx="8">
                  <c:v>0.16248153618906944</c:v>
                </c:pt>
                <c:pt idx="9">
                  <c:v>0.22895125553914328</c:v>
                </c:pt>
                <c:pt idx="10">
                  <c:v>0.30576070901033975</c:v>
                </c:pt>
                <c:pt idx="11">
                  <c:v>0.30280649926144754</c:v>
                </c:pt>
                <c:pt idx="12">
                  <c:v>0.3087149187592319</c:v>
                </c:pt>
                <c:pt idx="13">
                  <c:v>0.32791728212703103</c:v>
                </c:pt>
                <c:pt idx="14">
                  <c:v>8.6842105263157901E-2</c:v>
                </c:pt>
                <c:pt idx="15">
                  <c:v>0.19473684210526315</c:v>
                </c:pt>
                <c:pt idx="16">
                  <c:v>9.2105263157894732E-2</c:v>
                </c:pt>
                <c:pt idx="17">
                  <c:v>8.1277213352685049E-2</c:v>
                </c:pt>
                <c:pt idx="18">
                  <c:v>0.13062409288824384</c:v>
                </c:pt>
                <c:pt idx="19">
                  <c:v>0.17826086956521739</c:v>
                </c:pt>
                <c:pt idx="20">
                  <c:v>0.19565217391304349</c:v>
                </c:pt>
                <c:pt idx="21">
                  <c:v>0.18840579710144928</c:v>
                </c:pt>
                <c:pt idx="22">
                  <c:v>0.24210526315789474</c:v>
                </c:pt>
                <c:pt idx="23">
                  <c:v>0.34111310592459604</c:v>
                </c:pt>
                <c:pt idx="24">
                  <c:v>0.28494623655913981</c:v>
                </c:pt>
                <c:pt idx="25">
                  <c:v>1.6216216216216217E-2</c:v>
                </c:pt>
                <c:pt idx="26">
                  <c:v>2.1621621621621623E-2</c:v>
                </c:pt>
                <c:pt idx="27">
                  <c:v>3.6585365853658534E-2</c:v>
                </c:pt>
                <c:pt idx="28">
                  <c:v>5.4794520547945202E-2</c:v>
                </c:pt>
                <c:pt idx="29">
                  <c:v>5.3231939163498096E-2</c:v>
                </c:pt>
                <c:pt idx="30">
                  <c:v>3.3333333333333335E-3</c:v>
                </c:pt>
                <c:pt idx="31">
                  <c:v>1.5625E-2</c:v>
                </c:pt>
                <c:pt idx="32">
                  <c:v>1.1594202898550725E-2</c:v>
                </c:pt>
                <c:pt idx="33">
                  <c:v>1.3333333333333334E-2</c:v>
                </c:pt>
                <c:pt idx="34">
                  <c:v>2.8169014084507044E-3</c:v>
                </c:pt>
                <c:pt idx="35">
                  <c:v>2.5352112676056339E-2</c:v>
                </c:pt>
                <c:pt idx="36">
                  <c:v>0.04</c:v>
                </c:pt>
                <c:pt idx="37">
                  <c:v>2.3809523809523808E-2</c:v>
                </c:pt>
                <c:pt idx="38">
                  <c:v>3.0456852791878174E-2</c:v>
                </c:pt>
                <c:pt idx="39">
                  <c:v>0.10152284263959391</c:v>
                </c:pt>
                <c:pt idx="40" formatCode="General">
                  <c:v>4.6875E-2</c:v>
                </c:pt>
                <c:pt idx="41" formatCode="General">
                  <c:v>6.5625000000000003E-2</c:v>
                </c:pt>
                <c:pt idx="42" formatCode="General">
                  <c:v>0.21377672209026127</c:v>
                </c:pt>
                <c:pt idx="43" formatCode="General">
                  <c:v>1.3888888888888888E-2</c:v>
                </c:pt>
                <c:pt idx="44" formatCode="General">
                  <c:v>4.7222222222222221E-2</c:v>
                </c:pt>
                <c:pt idx="45" formatCode="General">
                  <c:v>3.888888888888889E-2</c:v>
                </c:pt>
                <c:pt idx="46" formatCode="General">
                  <c:v>2.9310344827586206E-2</c:v>
                </c:pt>
                <c:pt idx="47" formatCode="General">
                  <c:v>4.4750430292598967E-2</c:v>
                </c:pt>
                <c:pt idx="48" formatCode="General">
                  <c:v>6.1962134251290879E-2</c:v>
                </c:pt>
                <c:pt idx="49" formatCode="General">
                  <c:v>0.153184165232358</c:v>
                </c:pt>
                <c:pt idx="50" formatCode="General">
                  <c:v>0.24736842105263157</c:v>
                </c:pt>
                <c:pt idx="51" formatCode="General">
                  <c:v>0.32894736842105265</c:v>
                </c:pt>
                <c:pt idx="52" formatCode="General">
                  <c:v>0.4026315789473684</c:v>
                </c:pt>
                <c:pt idx="53" formatCode="General">
                  <c:v>0.31451612903225806</c:v>
                </c:pt>
                <c:pt idx="54" formatCode="General">
                  <c:v>0.38548387096774195</c:v>
                </c:pt>
                <c:pt idx="55" formatCode="General">
                  <c:v>0.49516129032258066</c:v>
                </c:pt>
                <c:pt idx="56" formatCode="General">
                  <c:v>0.53870967741935483</c:v>
                </c:pt>
                <c:pt idx="57" formatCode="General">
                  <c:v>0.54677419354838708</c:v>
                </c:pt>
                <c:pt idx="58" formatCode="General">
                  <c:v>0.27837837837837837</c:v>
                </c:pt>
                <c:pt idx="59" formatCode="General">
                  <c:v>0.36216216216216218</c:v>
                </c:pt>
                <c:pt idx="60" formatCode="General">
                  <c:v>0.3108108108108108</c:v>
                </c:pt>
                <c:pt idx="61" formatCode="General">
                  <c:v>0.30516431924882631</c:v>
                </c:pt>
                <c:pt idx="62" formatCode="General">
                  <c:v>0.41718749999999999</c:v>
                </c:pt>
                <c:pt idx="63" formatCode="General">
                  <c:v>0.4609375</c:v>
                </c:pt>
                <c:pt idx="64" formatCode="General">
                  <c:v>0.46875</c:v>
                </c:pt>
                <c:pt idx="65" formatCode="General">
                  <c:v>0.18157894736842106</c:v>
                </c:pt>
                <c:pt idx="66" formatCode="General">
                  <c:v>0.2868421052631579</c:v>
                </c:pt>
                <c:pt idx="67" formatCode="General">
                  <c:v>0.23684210526315788</c:v>
                </c:pt>
                <c:pt idx="68" formatCode="General">
                  <c:v>0.24029850746268658</c:v>
                </c:pt>
                <c:pt idx="69" formatCode="General">
                  <c:v>0.38059701492537312</c:v>
                </c:pt>
                <c:pt idx="70" formatCode="General">
                  <c:v>0.375</c:v>
                </c:pt>
                <c:pt idx="71" formatCode="General">
                  <c:v>0.35863095238095238</c:v>
                </c:pt>
                <c:pt idx="72" formatCode="General">
                  <c:v>0.39136904761904762</c:v>
                </c:pt>
                <c:pt idx="73" formatCode="General">
                  <c:v>0.3</c:v>
                </c:pt>
                <c:pt idx="74" formatCode="General">
                  <c:v>0.25526315789473686</c:v>
                </c:pt>
                <c:pt idx="75" formatCode="General">
                  <c:v>0.31578947368421051</c:v>
                </c:pt>
                <c:pt idx="76" formatCode="General">
                  <c:v>0.35468749999999999</c:v>
                </c:pt>
                <c:pt idx="77" formatCode="General">
                  <c:v>0.4375</c:v>
                </c:pt>
                <c:pt idx="78" formatCode="General">
                  <c:v>0.40405616224648988</c:v>
                </c:pt>
                <c:pt idx="79" formatCode="General">
                  <c:v>0.46645865834633388</c:v>
                </c:pt>
                <c:pt idx="80" formatCode="General">
                  <c:v>0.44929797191887677</c:v>
                </c:pt>
                <c:pt idx="81" formatCode="General">
                  <c:v>0.4756756756756757</c:v>
                </c:pt>
                <c:pt idx="82" formatCode="General">
                  <c:v>0.35405405405405405</c:v>
                </c:pt>
                <c:pt idx="83" formatCode="General">
                  <c:v>0.34982332155477031</c:v>
                </c:pt>
                <c:pt idx="84" formatCode="General">
                  <c:v>0.45406360424028269</c:v>
                </c:pt>
                <c:pt idx="85" formatCode="General">
                  <c:v>0.4628975265017668</c:v>
                </c:pt>
                <c:pt idx="86" formatCode="General">
                  <c:v>0.47703180212014135</c:v>
                </c:pt>
                <c:pt idx="87" formatCode="General">
                  <c:v>0.87142857142857144</c:v>
                </c:pt>
                <c:pt idx="88" formatCode="General">
                  <c:v>0.9434389140271493</c:v>
                </c:pt>
              </c:numCache>
            </c:numRef>
          </c:xVal>
          <c:yVal>
            <c:numRef>
              <c:f>N21BktKepayang!$A$2:$A$90</c:f>
              <c:numCache>
                <c:formatCode>0.0%</c:formatCode>
                <c:ptCount val="89"/>
                <c:pt idx="0">
                  <c:v>0.80789473684210522</c:v>
                </c:pt>
                <c:pt idx="1">
                  <c:v>0.79226361031518622</c:v>
                </c:pt>
                <c:pt idx="2">
                  <c:v>0.77077363896848139</c:v>
                </c:pt>
                <c:pt idx="3">
                  <c:v>0.73209169054441259</c:v>
                </c:pt>
                <c:pt idx="4">
                  <c:v>0.81948424068767911</c:v>
                </c:pt>
                <c:pt idx="5">
                  <c:v>0.64324324324324322</c:v>
                </c:pt>
                <c:pt idx="6">
                  <c:v>0.81351351351351353</c:v>
                </c:pt>
                <c:pt idx="7">
                  <c:v>0.78648648648648645</c:v>
                </c:pt>
                <c:pt idx="8">
                  <c:v>0.83751846381093054</c:v>
                </c:pt>
                <c:pt idx="9">
                  <c:v>0.76809453471196454</c:v>
                </c:pt>
                <c:pt idx="10">
                  <c:v>0.75036927621861149</c:v>
                </c:pt>
                <c:pt idx="11">
                  <c:v>0.71344165435745943</c:v>
                </c:pt>
                <c:pt idx="12">
                  <c:v>0.76661742983751846</c:v>
                </c:pt>
                <c:pt idx="13">
                  <c:v>0.80206794682422455</c:v>
                </c:pt>
                <c:pt idx="14">
                  <c:v>0.68421052631578949</c:v>
                </c:pt>
                <c:pt idx="15">
                  <c:v>0.83421052631578951</c:v>
                </c:pt>
                <c:pt idx="16">
                  <c:v>0.83157894736842108</c:v>
                </c:pt>
                <c:pt idx="17">
                  <c:v>0.84179970972423801</c:v>
                </c:pt>
                <c:pt idx="18">
                  <c:v>0.7866473149492017</c:v>
                </c:pt>
                <c:pt idx="19">
                  <c:v>0.76811594202898548</c:v>
                </c:pt>
                <c:pt idx="20">
                  <c:v>0.75652173913043474</c:v>
                </c:pt>
                <c:pt idx="21">
                  <c:v>0.78260869565217395</c:v>
                </c:pt>
                <c:pt idx="22">
                  <c:v>0.77368421052631575</c:v>
                </c:pt>
                <c:pt idx="23">
                  <c:v>0.7594254937163375</c:v>
                </c:pt>
                <c:pt idx="24">
                  <c:v>0.77419354838709675</c:v>
                </c:pt>
                <c:pt idx="25">
                  <c:v>0.67297297297297298</c:v>
                </c:pt>
                <c:pt idx="26">
                  <c:v>0.75945945945945947</c:v>
                </c:pt>
                <c:pt idx="27">
                  <c:v>0.71189024390243905</c:v>
                </c:pt>
                <c:pt idx="28">
                  <c:v>0.75038051750380519</c:v>
                </c:pt>
                <c:pt idx="29">
                  <c:v>0.61596958174904948</c:v>
                </c:pt>
                <c:pt idx="30">
                  <c:v>0.49666666666666665</c:v>
                </c:pt>
                <c:pt idx="31">
                  <c:v>0.6875</c:v>
                </c:pt>
                <c:pt idx="32">
                  <c:v>0.71884057971014492</c:v>
                </c:pt>
                <c:pt idx="33">
                  <c:v>0.52666666666666662</c:v>
                </c:pt>
                <c:pt idx="34">
                  <c:v>0.78309859154929573</c:v>
                </c:pt>
                <c:pt idx="35">
                  <c:v>0.75774647887323943</c:v>
                </c:pt>
                <c:pt idx="36">
                  <c:v>0.64500000000000002</c:v>
                </c:pt>
                <c:pt idx="37">
                  <c:v>0.7857142857142857</c:v>
                </c:pt>
                <c:pt idx="38">
                  <c:v>0.59390862944162437</c:v>
                </c:pt>
                <c:pt idx="39">
                  <c:v>0.73096446700507611</c:v>
                </c:pt>
                <c:pt idx="40" formatCode="General">
                  <c:v>0.56874999999999998</c:v>
                </c:pt>
                <c:pt idx="41" formatCode="General">
                  <c:v>0.78749999999999998</c:v>
                </c:pt>
                <c:pt idx="42" formatCode="General">
                  <c:v>0.73396674584323041</c:v>
                </c:pt>
                <c:pt idx="43" formatCode="General">
                  <c:v>0.62222222222222223</c:v>
                </c:pt>
                <c:pt idx="44" formatCode="General">
                  <c:v>0.78611111111111109</c:v>
                </c:pt>
                <c:pt idx="45" formatCode="General">
                  <c:v>0.79722222222222228</c:v>
                </c:pt>
                <c:pt idx="46" formatCode="General">
                  <c:v>0.71206896551724141</c:v>
                </c:pt>
                <c:pt idx="47" formatCode="General">
                  <c:v>0.66781411359724607</c:v>
                </c:pt>
                <c:pt idx="48" formatCode="General">
                  <c:v>0.6506024096385542</c:v>
                </c:pt>
                <c:pt idx="49" formatCode="General">
                  <c:v>0.72805507745266784</c:v>
                </c:pt>
                <c:pt idx="50" formatCode="General">
                  <c:v>0.76842105263157889</c:v>
                </c:pt>
                <c:pt idx="51" formatCode="General">
                  <c:v>0.83157894736842108</c:v>
                </c:pt>
                <c:pt idx="52" formatCode="General">
                  <c:v>0.80526315789473679</c:v>
                </c:pt>
                <c:pt idx="53" formatCode="General">
                  <c:v>0.70322580645161292</c:v>
                </c:pt>
                <c:pt idx="54" formatCode="General">
                  <c:v>0.69838709677419353</c:v>
                </c:pt>
                <c:pt idx="55" formatCode="General">
                  <c:v>0.75483870967741939</c:v>
                </c:pt>
                <c:pt idx="56" formatCode="General">
                  <c:v>0.7709677419354839</c:v>
                </c:pt>
                <c:pt idx="57" formatCode="General">
                  <c:v>0.75806451612903225</c:v>
                </c:pt>
                <c:pt idx="58" formatCode="General">
                  <c:v>0.75135135135135134</c:v>
                </c:pt>
                <c:pt idx="59" formatCode="General">
                  <c:v>0.84324324324324329</c:v>
                </c:pt>
                <c:pt idx="60" formatCode="General">
                  <c:v>0.82162162162162167</c:v>
                </c:pt>
                <c:pt idx="61" formatCode="General">
                  <c:v>0.74647887323943662</c:v>
                </c:pt>
                <c:pt idx="62" formatCode="General">
                  <c:v>0.69374999999999998</c:v>
                </c:pt>
                <c:pt idx="63" formatCode="General">
                  <c:v>0.72343749999999996</c:v>
                </c:pt>
                <c:pt idx="64" formatCode="General">
                  <c:v>0.75312500000000004</c:v>
                </c:pt>
                <c:pt idx="65" formatCode="General">
                  <c:v>0.73684210526315785</c:v>
                </c:pt>
                <c:pt idx="66" formatCode="General">
                  <c:v>0.83684210526315794</c:v>
                </c:pt>
                <c:pt idx="67" formatCode="General">
                  <c:v>0.88157894736842102</c:v>
                </c:pt>
                <c:pt idx="68" formatCode="General">
                  <c:v>0.74477611940298505</c:v>
                </c:pt>
                <c:pt idx="69" formatCode="General">
                  <c:v>0.64626865671641787</c:v>
                </c:pt>
                <c:pt idx="70" formatCode="General">
                  <c:v>0.69047619047619047</c:v>
                </c:pt>
                <c:pt idx="71" formatCode="General">
                  <c:v>0.73809523809523814</c:v>
                </c:pt>
                <c:pt idx="72" formatCode="General">
                  <c:v>0.78125</c:v>
                </c:pt>
                <c:pt idx="73" formatCode="General">
                  <c:v>0.73947368421052628</c:v>
                </c:pt>
                <c:pt idx="74" formatCode="General">
                  <c:v>0.78421052631578947</c:v>
                </c:pt>
                <c:pt idx="75" formatCode="General">
                  <c:v>0.79736842105263162</c:v>
                </c:pt>
                <c:pt idx="76" formatCode="General">
                  <c:v>0.74687499999999996</c:v>
                </c:pt>
                <c:pt idx="77" formatCode="General">
                  <c:v>0.671875</c:v>
                </c:pt>
                <c:pt idx="78" formatCode="General">
                  <c:v>0.70202808112324488</c:v>
                </c:pt>
                <c:pt idx="79" formatCode="General">
                  <c:v>0.74570982839313571</c:v>
                </c:pt>
                <c:pt idx="80" formatCode="General">
                  <c:v>0.7909516380655226</c:v>
                </c:pt>
                <c:pt idx="81" formatCode="General">
                  <c:v>0.8</c:v>
                </c:pt>
                <c:pt idx="82" formatCode="General">
                  <c:v>0.80540540540540539</c:v>
                </c:pt>
                <c:pt idx="83" formatCode="General">
                  <c:v>0.71731448763250882</c:v>
                </c:pt>
                <c:pt idx="84" formatCode="General">
                  <c:v>0.71024734982332161</c:v>
                </c:pt>
                <c:pt idx="85" formatCode="General">
                  <c:v>0.81095406360424027</c:v>
                </c:pt>
                <c:pt idx="86" formatCode="General">
                  <c:v>0.83745583038869253</c:v>
                </c:pt>
                <c:pt idx="87" formatCode="General">
                  <c:v>0.84285714285714286</c:v>
                </c:pt>
                <c:pt idx="88" formatCode="General">
                  <c:v>0.8190045248868778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6-47A2-9CF7-E3A98F768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45199"/>
        <c:axId val="2031497071"/>
      </c:scatterChart>
      <c:valAx>
        <c:axId val="4843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97071"/>
        <c:crosses val="autoZero"/>
        <c:crossBetween val="midCat"/>
      </c:valAx>
      <c:valAx>
        <c:axId val="20314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4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N21BktKepayang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031496062992126E-2"/>
                  <c:y val="0.25592592592592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N21BktKepayang!$F$2:$F$90</c:f>
              <c:numCache>
                <c:formatCode>0.0%</c:formatCode>
                <c:ptCount val="89"/>
                <c:pt idx="0">
                  <c:v>0.65789473684210531</c:v>
                </c:pt>
                <c:pt idx="1">
                  <c:v>0.57736389684813749</c:v>
                </c:pt>
                <c:pt idx="2">
                  <c:v>0.57879656160458448</c:v>
                </c:pt>
                <c:pt idx="3">
                  <c:v>0.56303724928366761</c:v>
                </c:pt>
                <c:pt idx="4">
                  <c:v>0.52435530085959881</c:v>
                </c:pt>
                <c:pt idx="5">
                  <c:v>0.54594594594594592</c:v>
                </c:pt>
                <c:pt idx="6">
                  <c:v>0.48648648648648651</c:v>
                </c:pt>
                <c:pt idx="7">
                  <c:v>0.52972972972972976</c:v>
                </c:pt>
                <c:pt idx="8">
                  <c:v>0.52584933530280653</c:v>
                </c:pt>
                <c:pt idx="9">
                  <c:v>0.48744460856720828</c:v>
                </c:pt>
                <c:pt idx="10">
                  <c:v>0.38700147710487443</c:v>
                </c:pt>
                <c:pt idx="11">
                  <c:v>0.44017725258493351</c:v>
                </c:pt>
                <c:pt idx="12">
                  <c:v>0.4342688330871492</c:v>
                </c:pt>
                <c:pt idx="13">
                  <c:v>0.41358936484490399</c:v>
                </c:pt>
                <c:pt idx="14">
                  <c:v>0.59736842105263155</c:v>
                </c:pt>
                <c:pt idx="15">
                  <c:v>0.52105263157894732</c:v>
                </c:pt>
                <c:pt idx="16">
                  <c:v>0.59736842105263155</c:v>
                </c:pt>
                <c:pt idx="17">
                  <c:v>0.65312046444121918</c:v>
                </c:pt>
                <c:pt idx="18">
                  <c:v>0.61538461538461542</c:v>
                </c:pt>
                <c:pt idx="19">
                  <c:v>0.55797101449275366</c:v>
                </c:pt>
                <c:pt idx="20">
                  <c:v>0.5130434782608696</c:v>
                </c:pt>
                <c:pt idx="21">
                  <c:v>0.4826086956521739</c:v>
                </c:pt>
                <c:pt idx="22">
                  <c:v>0.36842105263157893</c:v>
                </c:pt>
                <c:pt idx="23">
                  <c:v>0.31777378815080792</c:v>
                </c:pt>
                <c:pt idx="24">
                  <c:v>0.27777777777777779</c:v>
                </c:pt>
                <c:pt idx="25">
                  <c:v>0.54594594594594592</c:v>
                </c:pt>
                <c:pt idx="26">
                  <c:v>0.69459459459459461</c:v>
                </c:pt>
                <c:pt idx="27">
                  <c:v>0.65548780487804881</c:v>
                </c:pt>
                <c:pt idx="28">
                  <c:v>0.61796042617960423</c:v>
                </c:pt>
                <c:pt idx="29">
                  <c:v>0.7756653992395437</c:v>
                </c:pt>
                <c:pt idx="30">
                  <c:v>0.93666666666666665</c:v>
                </c:pt>
                <c:pt idx="31">
                  <c:v>0.96250000000000002</c:v>
                </c:pt>
                <c:pt idx="32">
                  <c:v>0.95072463768115945</c:v>
                </c:pt>
                <c:pt idx="33">
                  <c:v>0.85</c:v>
                </c:pt>
                <c:pt idx="34">
                  <c:v>0.95211267605633798</c:v>
                </c:pt>
                <c:pt idx="35">
                  <c:v>0.86760563380281686</c:v>
                </c:pt>
                <c:pt idx="36">
                  <c:v>0.94</c:v>
                </c:pt>
                <c:pt idx="37">
                  <c:v>0.92380952380952386</c:v>
                </c:pt>
                <c:pt idx="38">
                  <c:v>0.71573604060913709</c:v>
                </c:pt>
                <c:pt idx="39">
                  <c:v>0.71573604060913709</c:v>
                </c:pt>
                <c:pt idx="40" formatCode="General">
                  <c:v>0.43437500000000001</c:v>
                </c:pt>
                <c:pt idx="41" formatCode="General">
                  <c:v>0.49375000000000002</c:v>
                </c:pt>
                <c:pt idx="42" formatCode="General">
                  <c:v>0.36817102137767221</c:v>
                </c:pt>
                <c:pt idx="43" formatCode="General">
                  <c:v>0.68333333333333335</c:v>
                </c:pt>
                <c:pt idx="44" formatCode="General">
                  <c:v>0.66111111111111109</c:v>
                </c:pt>
                <c:pt idx="45" formatCode="General">
                  <c:v>0.59722222222222221</c:v>
                </c:pt>
                <c:pt idx="46" formatCode="General">
                  <c:v>0.67586206896551726</c:v>
                </c:pt>
                <c:pt idx="47" formatCode="General">
                  <c:v>0.71772805507745263</c:v>
                </c:pt>
                <c:pt idx="48" formatCode="General">
                  <c:v>0.60585197934595525</c:v>
                </c:pt>
                <c:pt idx="49" formatCode="General">
                  <c:v>0.5129087779690189</c:v>
                </c:pt>
                <c:pt idx="50" formatCode="General">
                  <c:v>0.5368421052631579</c:v>
                </c:pt>
                <c:pt idx="51" formatCode="General">
                  <c:v>0.41052631578947368</c:v>
                </c:pt>
                <c:pt idx="52" formatCode="General">
                  <c:v>0.38157894736842107</c:v>
                </c:pt>
                <c:pt idx="53" formatCode="General">
                  <c:v>0.47419354838709676</c:v>
                </c:pt>
                <c:pt idx="54" formatCode="General">
                  <c:v>0.39677419354838711</c:v>
                </c:pt>
                <c:pt idx="55" formatCode="General">
                  <c:v>0.30483870967741933</c:v>
                </c:pt>
                <c:pt idx="56" formatCode="General">
                  <c:v>0.27741935483870966</c:v>
                </c:pt>
                <c:pt idx="57" formatCode="General">
                  <c:v>0.28387096774193549</c:v>
                </c:pt>
                <c:pt idx="58" formatCode="General">
                  <c:v>0.56216216216216219</c:v>
                </c:pt>
                <c:pt idx="59" formatCode="General">
                  <c:v>0.44054054054054054</c:v>
                </c:pt>
                <c:pt idx="60" formatCode="General">
                  <c:v>0.51081081081081081</c:v>
                </c:pt>
                <c:pt idx="61" formatCode="General">
                  <c:v>0.54929577464788737</c:v>
                </c:pt>
                <c:pt idx="62" formatCode="General">
                  <c:v>0.46406249999999999</c:v>
                </c:pt>
                <c:pt idx="63" formatCode="General">
                  <c:v>0.41093750000000001</c:v>
                </c:pt>
                <c:pt idx="64" formatCode="General">
                  <c:v>0.39218750000000002</c:v>
                </c:pt>
                <c:pt idx="65" formatCode="General">
                  <c:v>0.63421052631578945</c:v>
                </c:pt>
                <c:pt idx="66" formatCode="General">
                  <c:v>0.54473684210526319</c:v>
                </c:pt>
                <c:pt idx="67" formatCode="General">
                  <c:v>0.60263157894736841</c:v>
                </c:pt>
                <c:pt idx="68" formatCode="General">
                  <c:v>0.54477611940298509</c:v>
                </c:pt>
                <c:pt idx="69" formatCode="General">
                  <c:v>0.46716417910447761</c:v>
                </c:pt>
                <c:pt idx="70" formatCode="General">
                  <c:v>0.4419642857142857</c:v>
                </c:pt>
                <c:pt idx="71" formatCode="General">
                  <c:v>0.45535714285714285</c:v>
                </c:pt>
                <c:pt idx="72" formatCode="General">
                  <c:v>0.46279761904761907</c:v>
                </c:pt>
                <c:pt idx="73" formatCode="General">
                  <c:v>0.4263157894736842</c:v>
                </c:pt>
                <c:pt idx="74" formatCode="General">
                  <c:v>0.44210526315789472</c:v>
                </c:pt>
                <c:pt idx="75" formatCode="General">
                  <c:v>0.44736842105263158</c:v>
                </c:pt>
                <c:pt idx="76" formatCode="General">
                  <c:v>0.39687499999999998</c:v>
                </c:pt>
                <c:pt idx="77" formatCode="General">
                  <c:v>0.36406250000000001</c:v>
                </c:pt>
                <c:pt idx="78" formatCode="General">
                  <c:v>0.36193447737909518</c:v>
                </c:pt>
                <c:pt idx="79" formatCode="General">
                  <c:v>0.36349453978159124</c:v>
                </c:pt>
                <c:pt idx="80" formatCode="General">
                  <c:v>0.36661466458658348</c:v>
                </c:pt>
                <c:pt idx="81" formatCode="General">
                  <c:v>0.33513513513513515</c:v>
                </c:pt>
                <c:pt idx="82" formatCode="General">
                  <c:v>0.45405405405405408</c:v>
                </c:pt>
                <c:pt idx="83" formatCode="General">
                  <c:v>0.47526501766784451</c:v>
                </c:pt>
                <c:pt idx="84" formatCode="General">
                  <c:v>0.41342756183745583</c:v>
                </c:pt>
                <c:pt idx="85" formatCode="General">
                  <c:v>0.40282685512367489</c:v>
                </c:pt>
                <c:pt idx="86" formatCode="General">
                  <c:v>0.39045936395759717</c:v>
                </c:pt>
                <c:pt idx="87" formatCode="General">
                  <c:v>0.04</c:v>
                </c:pt>
                <c:pt idx="88" formatCode="General">
                  <c:v>1.3574660633484163E-2</c:v>
                </c:pt>
              </c:numCache>
            </c:numRef>
          </c:xVal>
          <c:yVal>
            <c:numRef>
              <c:f>N21BktKepayang!$A$2:$A$90</c:f>
              <c:numCache>
                <c:formatCode>0.0%</c:formatCode>
                <c:ptCount val="89"/>
                <c:pt idx="0">
                  <c:v>0.80789473684210522</c:v>
                </c:pt>
                <c:pt idx="1">
                  <c:v>0.79226361031518622</c:v>
                </c:pt>
                <c:pt idx="2">
                  <c:v>0.77077363896848139</c:v>
                </c:pt>
                <c:pt idx="3">
                  <c:v>0.73209169054441259</c:v>
                </c:pt>
                <c:pt idx="4">
                  <c:v>0.81948424068767911</c:v>
                </c:pt>
                <c:pt idx="5">
                  <c:v>0.64324324324324322</c:v>
                </c:pt>
                <c:pt idx="6">
                  <c:v>0.81351351351351353</c:v>
                </c:pt>
                <c:pt idx="7">
                  <c:v>0.78648648648648645</c:v>
                </c:pt>
                <c:pt idx="8">
                  <c:v>0.83751846381093054</c:v>
                </c:pt>
                <c:pt idx="9">
                  <c:v>0.76809453471196454</c:v>
                </c:pt>
                <c:pt idx="10">
                  <c:v>0.75036927621861149</c:v>
                </c:pt>
                <c:pt idx="11">
                  <c:v>0.71344165435745943</c:v>
                </c:pt>
                <c:pt idx="12">
                  <c:v>0.76661742983751846</c:v>
                </c:pt>
                <c:pt idx="13">
                  <c:v>0.80206794682422455</c:v>
                </c:pt>
                <c:pt idx="14">
                  <c:v>0.68421052631578949</c:v>
                </c:pt>
                <c:pt idx="15">
                  <c:v>0.83421052631578951</c:v>
                </c:pt>
                <c:pt idx="16">
                  <c:v>0.83157894736842108</c:v>
                </c:pt>
                <c:pt idx="17">
                  <c:v>0.84179970972423801</c:v>
                </c:pt>
                <c:pt idx="18">
                  <c:v>0.7866473149492017</c:v>
                </c:pt>
                <c:pt idx="19">
                  <c:v>0.76811594202898548</c:v>
                </c:pt>
                <c:pt idx="20">
                  <c:v>0.75652173913043474</c:v>
                </c:pt>
                <c:pt idx="21">
                  <c:v>0.78260869565217395</c:v>
                </c:pt>
                <c:pt idx="22">
                  <c:v>0.77368421052631575</c:v>
                </c:pt>
                <c:pt idx="23">
                  <c:v>0.7594254937163375</c:v>
                </c:pt>
                <c:pt idx="24">
                  <c:v>0.77419354838709675</c:v>
                </c:pt>
                <c:pt idx="25">
                  <c:v>0.67297297297297298</c:v>
                </c:pt>
                <c:pt idx="26">
                  <c:v>0.75945945945945947</c:v>
                </c:pt>
                <c:pt idx="27">
                  <c:v>0.71189024390243905</c:v>
                </c:pt>
                <c:pt idx="28">
                  <c:v>0.75038051750380519</c:v>
                </c:pt>
                <c:pt idx="29">
                  <c:v>0.61596958174904948</c:v>
                </c:pt>
                <c:pt idx="30">
                  <c:v>0.49666666666666665</c:v>
                </c:pt>
                <c:pt idx="31">
                  <c:v>0.6875</c:v>
                </c:pt>
                <c:pt idx="32">
                  <c:v>0.71884057971014492</c:v>
                </c:pt>
                <c:pt idx="33">
                  <c:v>0.52666666666666662</c:v>
                </c:pt>
                <c:pt idx="34">
                  <c:v>0.78309859154929573</c:v>
                </c:pt>
                <c:pt idx="35">
                  <c:v>0.75774647887323943</c:v>
                </c:pt>
                <c:pt idx="36">
                  <c:v>0.64500000000000002</c:v>
                </c:pt>
                <c:pt idx="37">
                  <c:v>0.7857142857142857</c:v>
                </c:pt>
                <c:pt idx="38">
                  <c:v>0.59390862944162437</c:v>
                </c:pt>
                <c:pt idx="39">
                  <c:v>0.73096446700507611</c:v>
                </c:pt>
                <c:pt idx="40" formatCode="General">
                  <c:v>0.56874999999999998</c:v>
                </c:pt>
                <c:pt idx="41" formatCode="General">
                  <c:v>0.78749999999999998</c:v>
                </c:pt>
                <c:pt idx="42" formatCode="General">
                  <c:v>0.73396674584323041</c:v>
                </c:pt>
                <c:pt idx="43" formatCode="General">
                  <c:v>0.62222222222222223</c:v>
                </c:pt>
                <c:pt idx="44" formatCode="General">
                  <c:v>0.78611111111111109</c:v>
                </c:pt>
                <c:pt idx="45" formatCode="General">
                  <c:v>0.79722222222222228</c:v>
                </c:pt>
                <c:pt idx="46" formatCode="General">
                  <c:v>0.71206896551724141</c:v>
                </c:pt>
                <c:pt idx="47" formatCode="General">
                  <c:v>0.66781411359724607</c:v>
                </c:pt>
                <c:pt idx="48" formatCode="General">
                  <c:v>0.6506024096385542</c:v>
                </c:pt>
                <c:pt idx="49" formatCode="General">
                  <c:v>0.72805507745266784</c:v>
                </c:pt>
                <c:pt idx="50" formatCode="General">
                  <c:v>0.76842105263157889</c:v>
                </c:pt>
                <c:pt idx="51" formatCode="General">
                  <c:v>0.83157894736842108</c:v>
                </c:pt>
                <c:pt idx="52" formatCode="General">
                  <c:v>0.80526315789473679</c:v>
                </c:pt>
                <c:pt idx="53" formatCode="General">
                  <c:v>0.70322580645161292</c:v>
                </c:pt>
                <c:pt idx="54" formatCode="General">
                  <c:v>0.69838709677419353</c:v>
                </c:pt>
                <c:pt idx="55" formatCode="General">
                  <c:v>0.75483870967741939</c:v>
                </c:pt>
                <c:pt idx="56" formatCode="General">
                  <c:v>0.7709677419354839</c:v>
                </c:pt>
                <c:pt idx="57" formatCode="General">
                  <c:v>0.75806451612903225</c:v>
                </c:pt>
                <c:pt idx="58" formatCode="General">
                  <c:v>0.75135135135135134</c:v>
                </c:pt>
                <c:pt idx="59" formatCode="General">
                  <c:v>0.84324324324324329</c:v>
                </c:pt>
                <c:pt idx="60" formatCode="General">
                  <c:v>0.82162162162162167</c:v>
                </c:pt>
                <c:pt idx="61" formatCode="General">
                  <c:v>0.74647887323943662</c:v>
                </c:pt>
                <c:pt idx="62" formatCode="General">
                  <c:v>0.69374999999999998</c:v>
                </c:pt>
                <c:pt idx="63" formatCode="General">
                  <c:v>0.72343749999999996</c:v>
                </c:pt>
                <c:pt idx="64" formatCode="General">
                  <c:v>0.75312500000000004</c:v>
                </c:pt>
                <c:pt idx="65" formatCode="General">
                  <c:v>0.73684210526315785</c:v>
                </c:pt>
                <c:pt idx="66" formatCode="General">
                  <c:v>0.83684210526315794</c:v>
                </c:pt>
                <c:pt idx="67" formatCode="General">
                  <c:v>0.88157894736842102</c:v>
                </c:pt>
                <c:pt idx="68" formatCode="General">
                  <c:v>0.74477611940298505</c:v>
                </c:pt>
                <c:pt idx="69" formatCode="General">
                  <c:v>0.64626865671641787</c:v>
                </c:pt>
                <c:pt idx="70" formatCode="General">
                  <c:v>0.69047619047619047</c:v>
                </c:pt>
                <c:pt idx="71" formatCode="General">
                  <c:v>0.73809523809523814</c:v>
                </c:pt>
                <c:pt idx="72" formatCode="General">
                  <c:v>0.78125</c:v>
                </c:pt>
                <c:pt idx="73" formatCode="General">
                  <c:v>0.73947368421052628</c:v>
                </c:pt>
                <c:pt idx="74" formatCode="General">
                  <c:v>0.78421052631578947</c:v>
                </c:pt>
                <c:pt idx="75" formatCode="General">
                  <c:v>0.79736842105263162</c:v>
                </c:pt>
                <c:pt idx="76" formatCode="General">
                  <c:v>0.74687499999999996</c:v>
                </c:pt>
                <c:pt idx="77" formatCode="General">
                  <c:v>0.671875</c:v>
                </c:pt>
                <c:pt idx="78" formatCode="General">
                  <c:v>0.70202808112324488</c:v>
                </c:pt>
                <c:pt idx="79" formatCode="General">
                  <c:v>0.74570982839313571</c:v>
                </c:pt>
                <c:pt idx="80" formatCode="General">
                  <c:v>0.7909516380655226</c:v>
                </c:pt>
                <c:pt idx="81" formatCode="General">
                  <c:v>0.8</c:v>
                </c:pt>
                <c:pt idx="82" formatCode="General">
                  <c:v>0.80540540540540539</c:v>
                </c:pt>
                <c:pt idx="83" formatCode="General">
                  <c:v>0.71731448763250882</c:v>
                </c:pt>
                <c:pt idx="84" formatCode="General">
                  <c:v>0.71024734982332161</c:v>
                </c:pt>
                <c:pt idx="85" formatCode="General">
                  <c:v>0.81095406360424027</c:v>
                </c:pt>
                <c:pt idx="86" formatCode="General">
                  <c:v>0.83745583038869253</c:v>
                </c:pt>
                <c:pt idx="87" formatCode="General">
                  <c:v>0.84285714285714286</c:v>
                </c:pt>
                <c:pt idx="88" formatCode="General">
                  <c:v>0.8190045248868778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CE-48C1-B9A4-B9541F379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45199"/>
        <c:axId val="2031497071"/>
      </c:scatterChart>
      <c:valAx>
        <c:axId val="4843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97071"/>
        <c:crosses val="autoZero"/>
        <c:crossBetween val="midCat"/>
      </c:valAx>
      <c:valAx>
        <c:axId val="20314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4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N21BktKepayang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031496062992126E-2"/>
                  <c:y val="0.25592592592592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N21BktKepayang!$G$2:$G$90</c:f>
              <c:numCache>
                <c:formatCode>0.0%</c:formatCode>
                <c:ptCount val="89"/>
                <c:pt idx="0">
                  <c:v>0.18157894736842106</c:v>
                </c:pt>
                <c:pt idx="1">
                  <c:v>0.18481375358166188</c:v>
                </c:pt>
                <c:pt idx="2">
                  <c:v>0.166189111747851</c:v>
                </c:pt>
                <c:pt idx="3">
                  <c:v>0.22779369627507162</c:v>
                </c:pt>
                <c:pt idx="4">
                  <c:v>0.19484240687679083</c:v>
                </c:pt>
                <c:pt idx="5">
                  <c:v>0.3</c:v>
                </c:pt>
                <c:pt idx="6">
                  <c:v>0.27297297297297296</c:v>
                </c:pt>
                <c:pt idx="7">
                  <c:v>0.28918918918918918</c:v>
                </c:pt>
                <c:pt idx="8">
                  <c:v>0.28655834564254062</c:v>
                </c:pt>
                <c:pt idx="9">
                  <c:v>0.28064992614475626</c:v>
                </c:pt>
                <c:pt idx="10">
                  <c:v>0.30280649926144754</c:v>
                </c:pt>
                <c:pt idx="11">
                  <c:v>0.24963072378138848</c:v>
                </c:pt>
                <c:pt idx="12">
                  <c:v>0.25553914327917282</c:v>
                </c:pt>
                <c:pt idx="13">
                  <c:v>0.25849335302806498</c:v>
                </c:pt>
                <c:pt idx="14">
                  <c:v>0.3</c:v>
                </c:pt>
                <c:pt idx="15">
                  <c:v>0.27894736842105261</c:v>
                </c:pt>
                <c:pt idx="16">
                  <c:v>0.29736842105263156</c:v>
                </c:pt>
                <c:pt idx="17">
                  <c:v>0.26415094339622641</c:v>
                </c:pt>
                <c:pt idx="18">
                  <c:v>0.24963715529753266</c:v>
                </c:pt>
                <c:pt idx="19">
                  <c:v>0.2608695652173913</c:v>
                </c:pt>
                <c:pt idx="20">
                  <c:v>0.28695652173913044</c:v>
                </c:pt>
                <c:pt idx="21">
                  <c:v>0.32898550724637682</c:v>
                </c:pt>
                <c:pt idx="22">
                  <c:v>0.38421052631578945</c:v>
                </c:pt>
                <c:pt idx="23">
                  <c:v>0.3357271095152603</c:v>
                </c:pt>
                <c:pt idx="24">
                  <c:v>0.43548387096774194</c:v>
                </c:pt>
                <c:pt idx="25">
                  <c:v>0.42972972972972973</c:v>
                </c:pt>
                <c:pt idx="26">
                  <c:v>0.26756756756756755</c:v>
                </c:pt>
                <c:pt idx="27">
                  <c:v>0.30182926829268292</c:v>
                </c:pt>
                <c:pt idx="28">
                  <c:v>0.32267884322678841</c:v>
                </c:pt>
                <c:pt idx="29">
                  <c:v>0.16730038022813687</c:v>
                </c:pt>
                <c:pt idx="30">
                  <c:v>0.06</c:v>
                </c:pt>
                <c:pt idx="31">
                  <c:v>1.8749999999999999E-2</c:v>
                </c:pt>
                <c:pt idx="32">
                  <c:v>3.7681159420289857E-2</c:v>
                </c:pt>
                <c:pt idx="33">
                  <c:v>0.13333333333333333</c:v>
                </c:pt>
                <c:pt idx="34">
                  <c:v>4.507042253521127E-2</c:v>
                </c:pt>
                <c:pt idx="35">
                  <c:v>0.10704225352112676</c:v>
                </c:pt>
                <c:pt idx="36">
                  <c:v>0.02</c:v>
                </c:pt>
                <c:pt idx="37">
                  <c:v>5.2380952380952382E-2</c:v>
                </c:pt>
                <c:pt idx="38">
                  <c:v>0.24365482233502539</c:v>
                </c:pt>
                <c:pt idx="39">
                  <c:v>0.17258883248730963</c:v>
                </c:pt>
                <c:pt idx="40" formatCode="General">
                  <c:v>0.47812500000000002</c:v>
                </c:pt>
                <c:pt idx="41" formatCode="General">
                  <c:v>0.421875</c:v>
                </c:pt>
                <c:pt idx="42" formatCode="General">
                  <c:v>0.40380047505938244</c:v>
                </c:pt>
                <c:pt idx="43" formatCode="General">
                  <c:v>0.29444444444444445</c:v>
                </c:pt>
                <c:pt idx="44" formatCode="General">
                  <c:v>0.28611111111111109</c:v>
                </c:pt>
                <c:pt idx="45" formatCode="General">
                  <c:v>0.34444444444444444</c:v>
                </c:pt>
                <c:pt idx="46" formatCode="General">
                  <c:v>0.2810344827586207</c:v>
                </c:pt>
                <c:pt idx="47" formatCode="General">
                  <c:v>0.23235800344234078</c:v>
                </c:pt>
                <c:pt idx="48" formatCode="General">
                  <c:v>0.32702237521514632</c:v>
                </c:pt>
                <c:pt idx="49" formatCode="General">
                  <c:v>0.33218588640275387</c:v>
                </c:pt>
                <c:pt idx="50" formatCode="General">
                  <c:v>0.20263157894736841</c:v>
                </c:pt>
                <c:pt idx="51" formatCode="General">
                  <c:v>0.25526315789473686</c:v>
                </c:pt>
                <c:pt idx="52" formatCode="General">
                  <c:v>0.20263157894736841</c:v>
                </c:pt>
                <c:pt idx="53" formatCode="General">
                  <c:v>0.2</c:v>
                </c:pt>
                <c:pt idx="54" formatCode="General">
                  <c:v>0.20806451612903226</c:v>
                </c:pt>
                <c:pt idx="55" formatCode="General">
                  <c:v>0.1967741935483871</c:v>
                </c:pt>
                <c:pt idx="56" formatCode="General">
                  <c:v>0.18225806451612903</c:v>
                </c:pt>
                <c:pt idx="57" formatCode="General">
                  <c:v>0.16935483870967741</c:v>
                </c:pt>
                <c:pt idx="58" formatCode="General">
                  <c:v>0.15675675675675677</c:v>
                </c:pt>
                <c:pt idx="59" formatCode="General">
                  <c:v>0.1918918918918919</c:v>
                </c:pt>
                <c:pt idx="60" formatCode="General">
                  <c:v>0.17027027027027028</c:v>
                </c:pt>
                <c:pt idx="61" formatCode="General">
                  <c:v>0.14084507042253522</c:v>
                </c:pt>
                <c:pt idx="62" formatCode="General">
                  <c:v>0.1171875</c:v>
                </c:pt>
                <c:pt idx="63" formatCode="General">
                  <c:v>0.12812499999999999</c:v>
                </c:pt>
                <c:pt idx="64" formatCode="General">
                  <c:v>0.13750000000000001</c:v>
                </c:pt>
                <c:pt idx="65" formatCode="General">
                  <c:v>0.1736842105263158</c:v>
                </c:pt>
                <c:pt idx="66" formatCode="General">
                  <c:v>0.16052631578947368</c:v>
                </c:pt>
                <c:pt idx="67" formatCode="General">
                  <c:v>0.15526315789473685</c:v>
                </c:pt>
                <c:pt idx="68" formatCode="General">
                  <c:v>0.20895522388059701</c:v>
                </c:pt>
                <c:pt idx="69" formatCode="General">
                  <c:v>0.14925373134328357</c:v>
                </c:pt>
                <c:pt idx="70" formatCode="General">
                  <c:v>0.18005952380952381</c:v>
                </c:pt>
                <c:pt idx="71" formatCode="General">
                  <c:v>0.18601190476190477</c:v>
                </c:pt>
                <c:pt idx="72" formatCode="General">
                  <c:v>0.14583333333333334</c:v>
                </c:pt>
                <c:pt idx="73" formatCode="General">
                  <c:v>0.25263157894736843</c:v>
                </c:pt>
                <c:pt idx="74" formatCode="General">
                  <c:v>0.27368421052631581</c:v>
                </c:pt>
                <c:pt idx="75" formatCode="General">
                  <c:v>0.21578947368421053</c:v>
                </c:pt>
                <c:pt idx="76" formatCode="General">
                  <c:v>0.23749999999999999</c:v>
                </c:pt>
                <c:pt idx="77" formatCode="General">
                  <c:v>0.18593750000000001</c:v>
                </c:pt>
                <c:pt idx="78" formatCode="General">
                  <c:v>0.21996879875195008</c:v>
                </c:pt>
                <c:pt idx="79" formatCode="General">
                  <c:v>0.1606864274570983</c:v>
                </c:pt>
                <c:pt idx="80" formatCode="General">
                  <c:v>0.1794071762870515</c:v>
                </c:pt>
                <c:pt idx="81" formatCode="General">
                  <c:v>0.18108108108108109</c:v>
                </c:pt>
                <c:pt idx="82" formatCode="General">
                  <c:v>0.18378378378378379</c:v>
                </c:pt>
                <c:pt idx="83" formatCode="General">
                  <c:v>0.16607773851590105</c:v>
                </c:pt>
                <c:pt idx="84" formatCode="General">
                  <c:v>0.12720848056537101</c:v>
                </c:pt>
                <c:pt idx="85" formatCode="General">
                  <c:v>0.13427561837455831</c:v>
                </c:pt>
                <c:pt idx="86" formatCode="General">
                  <c:v>0.13250883392226148</c:v>
                </c:pt>
                <c:pt idx="87" formatCode="General">
                  <c:v>0.08</c:v>
                </c:pt>
                <c:pt idx="88" formatCode="General">
                  <c:v>4.2986425339366516E-2</c:v>
                </c:pt>
              </c:numCache>
            </c:numRef>
          </c:xVal>
          <c:yVal>
            <c:numRef>
              <c:f>N21BktKepayang!$A$2:$A$90</c:f>
              <c:numCache>
                <c:formatCode>0.0%</c:formatCode>
                <c:ptCount val="89"/>
                <c:pt idx="0">
                  <c:v>0.80789473684210522</c:v>
                </c:pt>
                <c:pt idx="1">
                  <c:v>0.79226361031518622</c:v>
                </c:pt>
                <c:pt idx="2">
                  <c:v>0.77077363896848139</c:v>
                </c:pt>
                <c:pt idx="3">
                  <c:v>0.73209169054441259</c:v>
                </c:pt>
                <c:pt idx="4">
                  <c:v>0.81948424068767911</c:v>
                </c:pt>
                <c:pt idx="5">
                  <c:v>0.64324324324324322</c:v>
                </c:pt>
                <c:pt idx="6">
                  <c:v>0.81351351351351353</c:v>
                </c:pt>
                <c:pt idx="7">
                  <c:v>0.78648648648648645</c:v>
                </c:pt>
                <c:pt idx="8">
                  <c:v>0.83751846381093054</c:v>
                </c:pt>
                <c:pt idx="9">
                  <c:v>0.76809453471196454</c:v>
                </c:pt>
                <c:pt idx="10">
                  <c:v>0.75036927621861149</c:v>
                </c:pt>
                <c:pt idx="11">
                  <c:v>0.71344165435745943</c:v>
                </c:pt>
                <c:pt idx="12">
                  <c:v>0.76661742983751846</c:v>
                </c:pt>
                <c:pt idx="13">
                  <c:v>0.80206794682422455</c:v>
                </c:pt>
                <c:pt idx="14">
                  <c:v>0.68421052631578949</c:v>
                </c:pt>
                <c:pt idx="15">
                  <c:v>0.83421052631578951</c:v>
                </c:pt>
                <c:pt idx="16">
                  <c:v>0.83157894736842108</c:v>
                </c:pt>
                <c:pt idx="17">
                  <c:v>0.84179970972423801</c:v>
                </c:pt>
                <c:pt idx="18">
                  <c:v>0.7866473149492017</c:v>
                </c:pt>
                <c:pt idx="19">
                  <c:v>0.76811594202898548</c:v>
                </c:pt>
                <c:pt idx="20">
                  <c:v>0.75652173913043474</c:v>
                </c:pt>
                <c:pt idx="21">
                  <c:v>0.78260869565217395</c:v>
                </c:pt>
                <c:pt idx="22">
                  <c:v>0.77368421052631575</c:v>
                </c:pt>
                <c:pt idx="23">
                  <c:v>0.7594254937163375</c:v>
                </c:pt>
                <c:pt idx="24">
                  <c:v>0.77419354838709675</c:v>
                </c:pt>
                <c:pt idx="25">
                  <c:v>0.67297297297297298</c:v>
                </c:pt>
                <c:pt idx="26">
                  <c:v>0.75945945945945947</c:v>
                </c:pt>
                <c:pt idx="27">
                  <c:v>0.71189024390243905</c:v>
                </c:pt>
                <c:pt idx="28">
                  <c:v>0.75038051750380519</c:v>
                </c:pt>
                <c:pt idx="29">
                  <c:v>0.61596958174904948</c:v>
                </c:pt>
                <c:pt idx="30">
                  <c:v>0.49666666666666665</c:v>
                </c:pt>
                <c:pt idx="31">
                  <c:v>0.6875</c:v>
                </c:pt>
                <c:pt idx="32">
                  <c:v>0.71884057971014492</c:v>
                </c:pt>
                <c:pt idx="33">
                  <c:v>0.52666666666666662</c:v>
                </c:pt>
                <c:pt idx="34">
                  <c:v>0.78309859154929573</c:v>
                </c:pt>
                <c:pt idx="35">
                  <c:v>0.75774647887323943</c:v>
                </c:pt>
                <c:pt idx="36">
                  <c:v>0.64500000000000002</c:v>
                </c:pt>
                <c:pt idx="37">
                  <c:v>0.7857142857142857</c:v>
                </c:pt>
                <c:pt idx="38">
                  <c:v>0.59390862944162437</c:v>
                </c:pt>
                <c:pt idx="39">
                  <c:v>0.73096446700507611</c:v>
                </c:pt>
                <c:pt idx="40" formatCode="General">
                  <c:v>0.56874999999999998</c:v>
                </c:pt>
                <c:pt idx="41" formatCode="General">
                  <c:v>0.78749999999999998</c:v>
                </c:pt>
                <c:pt idx="42" formatCode="General">
                  <c:v>0.73396674584323041</c:v>
                </c:pt>
                <c:pt idx="43" formatCode="General">
                  <c:v>0.62222222222222223</c:v>
                </c:pt>
                <c:pt idx="44" formatCode="General">
                  <c:v>0.78611111111111109</c:v>
                </c:pt>
                <c:pt idx="45" formatCode="General">
                  <c:v>0.79722222222222228</c:v>
                </c:pt>
                <c:pt idx="46" formatCode="General">
                  <c:v>0.71206896551724141</c:v>
                </c:pt>
                <c:pt idx="47" formatCode="General">
                  <c:v>0.66781411359724607</c:v>
                </c:pt>
                <c:pt idx="48" formatCode="General">
                  <c:v>0.6506024096385542</c:v>
                </c:pt>
                <c:pt idx="49" formatCode="General">
                  <c:v>0.72805507745266784</c:v>
                </c:pt>
                <c:pt idx="50" formatCode="General">
                  <c:v>0.76842105263157889</c:v>
                </c:pt>
                <c:pt idx="51" formatCode="General">
                  <c:v>0.83157894736842108</c:v>
                </c:pt>
                <c:pt idx="52" formatCode="General">
                  <c:v>0.80526315789473679</c:v>
                </c:pt>
                <c:pt idx="53" formatCode="General">
                  <c:v>0.70322580645161292</c:v>
                </c:pt>
                <c:pt idx="54" formatCode="General">
                  <c:v>0.69838709677419353</c:v>
                </c:pt>
                <c:pt idx="55" formatCode="General">
                  <c:v>0.75483870967741939</c:v>
                </c:pt>
                <c:pt idx="56" formatCode="General">
                  <c:v>0.7709677419354839</c:v>
                </c:pt>
                <c:pt idx="57" formatCode="General">
                  <c:v>0.75806451612903225</c:v>
                </c:pt>
                <c:pt idx="58" formatCode="General">
                  <c:v>0.75135135135135134</c:v>
                </c:pt>
                <c:pt idx="59" formatCode="General">
                  <c:v>0.84324324324324329</c:v>
                </c:pt>
                <c:pt idx="60" formatCode="General">
                  <c:v>0.82162162162162167</c:v>
                </c:pt>
                <c:pt idx="61" formatCode="General">
                  <c:v>0.74647887323943662</c:v>
                </c:pt>
                <c:pt idx="62" formatCode="General">
                  <c:v>0.69374999999999998</c:v>
                </c:pt>
                <c:pt idx="63" formatCode="General">
                  <c:v>0.72343749999999996</c:v>
                </c:pt>
                <c:pt idx="64" formatCode="General">
                  <c:v>0.75312500000000004</c:v>
                </c:pt>
                <c:pt idx="65" formatCode="General">
                  <c:v>0.73684210526315785</c:v>
                </c:pt>
                <c:pt idx="66" formatCode="General">
                  <c:v>0.83684210526315794</c:v>
                </c:pt>
                <c:pt idx="67" formatCode="General">
                  <c:v>0.88157894736842102</c:v>
                </c:pt>
                <c:pt idx="68" formatCode="General">
                  <c:v>0.74477611940298505</c:v>
                </c:pt>
                <c:pt idx="69" formatCode="General">
                  <c:v>0.64626865671641787</c:v>
                </c:pt>
                <c:pt idx="70" formatCode="General">
                  <c:v>0.69047619047619047</c:v>
                </c:pt>
                <c:pt idx="71" formatCode="General">
                  <c:v>0.73809523809523814</c:v>
                </c:pt>
                <c:pt idx="72" formatCode="General">
                  <c:v>0.78125</c:v>
                </c:pt>
                <c:pt idx="73" formatCode="General">
                  <c:v>0.73947368421052628</c:v>
                </c:pt>
                <c:pt idx="74" formatCode="General">
                  <c:v>0.78421052631578947</c:v>
                </c:pt>
                <c:pt idx="75" formatCode="General">
                  <c:v>0.79736842105263162</c:v>
                </c:pt>
                <c:pt idx="76" formatCode="General">
                  <c:v>0.74687499999999996</c:v>
                </c:pt>
                <c:pt idx="77" formatCode="General">
                  <c:v>0.671875</c:v>
                </c:pt>
                <c:pt idx="78" formatCode="General">
                  <c:v>0.70202808112324488</c:v>
                </c:pt>
                <c:pt idx="79" formatCode="General">
                  <c:v>0.74570982839313571</c:v>
                </c:pt>
                <c:pt idx="80" formatCode="General">
                  <c:v>0.7909516380655226</c:v>
                </c:pt>
                <c:pt idx="81" formatCode="General">
                  <c:v>0.8</c:v>
                </c:pt>
                <c:pt idx="82" formatCode="General">
                  <c:v>0.80540540540540539</c:v>
                </c:pt>
                <c:pt idx="83" formatCode="General">
                  <c:v>0.71731448763250882</c:v>
                </c:pt>
                <c:pt idx="84" formatCode="General">
                  <c:v>0.71024734982332161</c:v>
                </c:pt>
                <c:pt idx="85" formatCode="General">
                  <c:v>0.81095406360424027</c:v>
                </c:pt>
                <c:pt idx="86" formatCode="General">
                  <c:v>0.83745583038869253</c:v>
                </c:pt>
                <c:pt idx="87" formatCode="General">
                  <c:v>0.84285714285714286</c:v>
                </c:pt>
                <c:pt idx="88" formatCode="General">
                  <c:v>0.8190045248868778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9B-42EF-B321-74CF9B4D9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45199"/>
        <c:axId val="2031497071"/>
      </c:scatterChart>
      <c:valAx>
        <c:axId val="4843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97071"/>
        <c:crosses val="autoZero"/>
        <c:crossBetween val="midCat"/>
      </c:valAx>
      <c:valAx>
        <c:axId val="20314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4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N21BktKepayang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5651793525809274E-2"/>
                  <c:y val="-0.320652522601341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N21BktKepayang!$E$2:$E$90</c:f>
              <c:numCache>
                <c:formatCode>0.0%</c:formatCode>
                <c:ptCount val="89"/>
                <c:pt idx="0">
                  <c:v>0.14736842105263157</c:v>
                </c:pt>
                <c:pt idx="1">
                  <c:v>0.21203438395415472</c:v>
                </c:pt>
                <c:pt idx="2">
                  <c:v>0.23065902578796563</c:v>
                </c:pt>
                <c:pt idx="3">
                  <c:v>0.20630372492836677</c:v>
                </c:pt>
                <c:pt idx="4">
                  <c:v>0.27650429799426934</c:v>
                </c:pt>
                <c:pt idx="5">
                  <c:v>0.14054054054054055</c:v>
                </c:pt>
                <c:pt idx="6">
                  <c:v>0.22972972972972974</c:v>
                </c:pt>
                <c:pt idx="7">
                  <c:v>0.16756756756756758</c:v>
                </c:pt>
                <c:pt idx="8">
                  <c:v>0.16248153618906944</c:v>
                </c:pt>
                <c:pt idx="9">
                  <c:v>0.22895125553914328</c:v>
                </c:pt>
                <c:pt idx="10">
                  <c:v>0.30576070901033975</c:v>
                </c:pt>
                <c:pt idx="11">
                  <c:v>0.30280649926144754</c:v>
                </c:pt>
                <c:pt idx="12">
                  <c:v>0.3087149187592319</c:v>
                </c:pt>
                <c:pt idx="13">
                  <c:v>0.32791728212703103</c:v>
                </c:pt>
                <c:pt idx="14">
                  <c:v>8.6842105263157901E-2</c:v>
                </c:pt>
                <c:pt idx="15">
                  <c:v>0.19473684210526315</c:v>
                </c:pt>
                <c:pt idx="16">
                  <c:v>9.2105263157894732E-2</c:v>
                </c:pt>
                <c:pt idx="17">
                  <c:v>8.1277213352685049E-2</c:v>
                </c:pt>
                <c:pt idx="18">
                  <c:v>0.13062409288824384</c:v>
                </c:pt>
                <c:pt idx="19">
                  <c:v>0.17826086956521739</c:v>
                </c:pt>
                <c:pt idx="20">
                  <c:v>0.19565217391304349</c:v>
                </c:pt>
                <c:pt idx="21">
                  <c:v>0.18840579710144928</c:v>
                </c:pt>
                <c:pt idx="22">
                  <c:v>0.24210526315789474</c:v>
                </c:pt>
                <c:pt idx="23">
                  <c:v>0.34111310592459604</c:v>
                </c:pt>
                <c:pt idx="24">
                  <c:v>0.28494623655913981</c:v>
                </c:pt>
                <c:pt idx="25">
                  <c:v>1.6216216216216217E-2</c:v>
                </c:pt>
                <c:pt idx="26">
                  <c:v>2.1621621621621623E-2</c:v>
                </c:pt>
                <c:pt idx="27">
                  <c:v>3.6585365853658534E-2</c:v>
                </c:pt>
                <c:pt idx="28">
                  <c:v>5.4794520547945202E-2</c:v>
                </c:pt>
                <c:pt idx="29">
                  <c:v>5.3231939163498096E-2</c:v>
                </c:pt>
                <c:pt idx="30">
                  <c:v>3.3333333333333335E-3</c:v>
                </c:pt>
                <c:pt idx="31">
                  <c:v>1.5625E-2</c:v>
                </c:pt>
                <c:pt idx="32">
                  <c:v>1.1594202898550725E-2</c:v>
                </c:pt>
                <c:pt idx="33">
                  <c:v>1.3333333333333334E-2</c:v>
                </c:pt>
                <c:pt idx="34">
                  <c:v>2.8169014084507044E-3</c:v>
                </c:pt>
                <c:pt idx="35">
                  <c:v>2.5352112676056339E-2</c:v>
                </c:pt>
                <c:pt idx="36">
                  <c:v>0.04</c:v>
                </c:pt>
                <c:pt idx="37">
                  <c:v>2.3809523809523808E-2</c:v>
                </c:pt>
                <c:pt idx="38">
                  <c:v>3.0456852791878174E-2</c:v>
                </c:pt>
                <c:pt idx="39">
                  <c:v>0.10152284263959391</c:v>
                </c:pt>
                <c:pt idx="40" formatCode="General">
                  <c:v>4.6875E-2</c:v>
                </c:pt>
                <c:pt idx="41" formatCode="General">
                  <c:v>6.5625000000000003E-2</c:v>
                </c:pt>
                <c:pt idx="42" formatCode="General">
                  <c:v>0.21377672209026127</c:v>
                </c:pt>
                <c:pt idx="43" formatCode="General">
                  <c:v>1.3888888888888888E-2</c:v>
                </c:pt>
                <c:pt idx="44" formatCode="General">
                  <c:v>4.7222222222222221E-2</c:v>
                </c:pt>
                <c:pt idx="45" formatCode="General">
                  <c:v>3.888888888888889E-2</c:v>
                </c:pt>
                <c:pt idx="46" formatCode="General">
                  <c:v>2.9310344827586206E-2</c:v>
                </c:pt>
                <c:pt idx="47" formatCode="General">
                  <c:v>4.4750430292598967E-2</c:v>
                </c:pt>
                <c:pt idx="48" formatCode="General">
                  <c:v>6.1962134251290879E-2</c:v>
                </c:pt>
                <c:pt idx="49" formatCode="General">
                  <c:v>0.153184165232358</c:v>
                </c:pt>
                <c:pt idx="50" formatCode="General">
                  <c:v>0.24736842105263157</c:v>
                </c:pt>
                <c:pt idx="51" formatCode="General">
                  <c:v>0.32894736842105265</c:v>
                </c:pt>
                <c:pt idx="52" formatCode="General">
                  <c:v>0.4026315789473684</c:v>
                </c:pt>
                <c:pt idx="53" formatCode="General">
                  <c:v>0.31451612903225806</c:v>
                </c:pt>
                <c:pt idx="54" formatCode="General">
                  <c:v>0.38548387096774195</c:v>
                </c:pt>
                <c:pt idx="55" formatCode="General">
                  <c:v>0.49516129032258066</c:v>
                </c:pt>
                <c:pt idx="56" formatCode="General">
                  <c:v>0.53870967741935483</c:v>
                </c:pt>
                <c:pt idx="57" formatCode="General">
                  <c:v>0.54677419354838708</c:v>
                </c:pt>
                <c:pt idx="58" formatCode="General">
                  <c:v>0.27837837837837837</c:v>
                </c:pt>
                <c:pt idx="59" formatCode="General">
                  <c:v>0.36216216216216218</c:v>
                </c:pt>
                <c:pt idx="60" formatCode="General">
                  <c:v>0.3108108108108108</c:v>
                </c:pt>
                <c:pt idx="61" formatCode="General">
                  <c:v>0.30516431924882631</c:v>
                </c:pt>
                <c:pt idx="62" formatCode="General">
                  <c:v>0.41718749999999999</c:v>
                </c:pt>
                <c:pt idx="63" formatCode="General">
                  <c:v>0.4609375</c:v>
                </c:pt>
                <c:pt idx="64" formatCode="General">
                  <c:v>0.46875</c:v>
                </c:pt>
                <c:pt idx="65" formatCode="General">
                  <c:v>0.18157894736842106</c:v>
                </c:pt>
                <c:pt idx="66" formatCode="General">
                  <c:v>0.2868421052631579</c:v>
                </c:pt>
                <c:pt idx="67" formatCode="General">
                  <c:v>0.23684210526315788</c:v>
                </c:pt>
                <c:pt idx="68" formatCode="General">
                  <c:v>0.24029850746268658</c:v>
                </c:pt>
                <c:pt idx="69" formatCode="General">
                  <c:v>0.38059701492537312</c:v>
                </c:pt>
                <c:pt idx="70" formatCode="General">
                  <c:v>0.375</c:v>
                </c:pt>
                <c:pt idx="71" formatCode="General">
                  <c:v>0.35863095238095238</c:v>
                </c:pt>
                <c:pt idx="72" formatCode="General">
                  <c:v>0.39136904761904762</c:v>
                </c:pt>
                <c:pt idx="73" formatCode="General">
                  <c:v>0.3</c:v>
                </c:pt>
                <c:pt idx="74" formatCode="General">
                  <c:v>0.25526315789473686</c:v>
                </c:pt>
                <c:pt idx="75" formatCode="General">
                  <c:v>0.31578947368421051</c:v>
                </c:pt>
                <c:pt idx="76" formatCode="General">
                  <c:v>0.35468749999999999</c:v>
                </c:pt>
                <c:pt idx="77" formatCode="General">
                  <c:v>0.4375</c:v>
                </c:pt>
                <c:pt idx="78" formatCode="General">
                  <c:v>0.40405616224648988</c:v>
                </c:pt>
                <c:pt idx="79" formatCode="General">
                  <c:v>0.46645865834633388</c:v>
                </c:pt>
                <c:pt idx="80" formatCode="General">
                  <c:v>0.44929797191887677</c:v>
                </c:pt>
                <c:pt idx="81" formatCode="General">
                  <c:v>0.4756756756756757</c:v>
                </c:pt>
                <c:pt idx="82" formatCode="General">
                  <c:v>0.35405405405405405</c:v>
                </c:pt>
                <c:pt idx="83" formatCode="General">
                  <c:v>0.34982332155477031</c:v>
                </c:pt>
                <c:pt idx="84" formatCode="General">
                  <c:v>0.45406360424028269</c:v>
                </c:pt>
                <c:pt idx="85" formatCode="General">
                  <c:v>0.4628975265017668</c:v>
                </c:pt>
                <c:pt idx="86" formatCode="General">
                  <c:v>0.47703180212014135</c:v>
                </c:pt>
                <c:pt idx="87" formatCode="General">
                  <c:v>0.87142857142857144</c:v>
                </c:pt>
                <c:pt idx="88" formatCode="General">
                  <c:v>0.9434389140271493</c:v>
                </c:pt>
              </c:numCache>
            </c:numRef>
          </c:xVal>
          <c:yVal>
            <c:numRef>
              <c:f>N21BktKepayang!$B$2:$B$90</c:f>
              <c:numCache>
                <c:formatCode>0.0%</c:formatCode>
                <c:ptCount val="89"/>
                <c:pt idx="0">
                  <c:v>0.77850162866449513</c:v>
                </c:pt>
                <c:pt idx="1">
                  <c:v>0.77938517179023503</c:v>
                </c:pt>
                <c:pt idx="2">
                  <c:v>0.77695167286245348</c:v>
                </c:pt>
                <c:pt idx="3">
                  <c:v>0.84344422700587085</c:v>
                </c:pt>
                <c:pt idx="4">
                  <c:v>0.78321678321678323</c:v>
                </c:pt>
                <c:pt idx="5">
                  <c:v>0.81512605042016806</c:v>
                </c:pt>
                <c:pt idx="6">
                  <c:v>0.75083056478405319</c:v>
                </c:pt>
                <c:pt idx="7">
                  <c:v>0.82130584192439859</c:v>
                </c:pt>
                <c:pt idx="8">
                  <c:v>0.84832451499118167</c:v>
                </c:pt>
                <c:pt idx="9">
                  <c:v>0.77884615384615385</c:v>
                </c:pt>
                <c:pt idx="10">
                  <c:v>0.73425196850393704</c:v>
                </c:pt>
                <c:pt idx="11">
                  <c:v>0.76604554865424435</c:v>
                </c:pt>
                <c:pt idx="12">
                  <c:v>0.78612716763005785</c:v>
                </c:pt>
                <c:pt idx="13">
                  <c:v>0.79926335174953955</c:v>
                </c:pt>
                <c:pt idx="14">
                  <c:v>0.84615384615384615</c:v>
                </c:pt>
                <c:pt idx="15">
                  <c:v>0.80126182965299686</c:v>
                </c:pt>
                <c:pt idx="16">
                  <c:v>0.88924050632911389</c:v>
                </c:pt>
                <c:pt idx="17">
                  <c:v>0.88275862068965516</c:v>
                </c:pt>
                <c:pt idx="18">
                  <c:v>0.86531365313653141</c:v>
                </c:pt>
                <c:pt idx="19">
                  <c:v>0.84716981132075475</c:v>
                </c:pt>
                <c:pt idx="20">
                  <c:v>0.84291187739463602</c:v>
                </c:pt>
                <c:pt idx="21">
                  <c:v>0.84629629629629632</c:v>
                </c:pt>
                <c:pt idx="22">
                  <c:v>0.73809523809523814</c:v>
                </c:pt>
                <c:pt idx="23">
                  <c:v>0.70685579196217496</c:v>
                </c:pt>
                <c:pt idx="24">
                  <c:v>0.8032407407407407</c:v>
                </c:pt>
                <c:pt idx="25">
                  <c:v>0.91164658634538154</c:v>
                </c:pt>
                <c:pt idx="26">
                  <c:v>0.90391459074733094</c:v>
                </c:pt>
                <c:pt idx="27">
                  <c:v>0.94646680942184158</c:v>
                </c:pt>
                <c:pt idx="28">
                  <c:v>0.9513184584178499</c:v>
                </c:pt>
                <c:pt idx="29">
                  <c:v>0.88888888888888884</c:v>
                </c:pt>
                <c:pt idx="30">
                  <c:v>0.89932885906040272</c:v>
                </c:pt>
                <c:pt idx="31">
                  <c:v>0.8954545454545455</c:v>
                </c:pt>
                <c:pt idx="32">
                  <c:v>0.967741935483871</c:v>
                </c:pt>
                <c:pt idx="33">
                  <c:v>0.91139240506329111</c:v>
                </c:pt>
                <c:pt idx="34">
                  <c:v>0.9532374100719424</c:v>
                </c:pt>
                <c:pt idx="35">
                  <c:v>0.94052044609665431</c:v>
                </c:pt>
                <c:pt idx="36">
                  <c:v>0.87596899224806202</c:v>
                </c:pt>
                <c:pt idx="37">
                  <c:v>0.95151515151515154</c:v>
                </c:pt>
                <c:pt idx="38">
                  <c:v>0.82905982905982911</c:v>
                </c:pt>
                <c:pt idx="39">
                  <c:v>0.86111111111111116</c:v>
                </c:pt>
                <c:pt idx="40" formatCode="General">
                  <c:v>0.80219780219780223</c:v>
                </c:pt>
                <c:pt idx="41" formatCode="General">
                  <c:v>0.89682539682539686</c:v>
                </c:pt>
                <c:pt idx="42" formatCode="General">
                  <c:v>0.83171521035598706</c:v>
                </c:pt>
                <c:pt idx="43" formatCode="General">
                  <c:v>0.8705357142857143</c:v>
                </c:pt>
                <c:pt idx="44" formatCode="General">
                  <c:v>0.87632508833922262</c:v>
                </c:pt>
                <c:pt idx="45" formatCode="General">
                  <c:v>0.90592334494773519</c:v>
                </c:pt>
                <c:pt idx="46" formatCode="General">
                  <c:v>0.94915254237288138</c:v>
                </c:pt>
                <c:pt idx="47" formatCode="General">
                  <c:v>0.92783505154639179</c:v>
                </c:pt>
                <c:pt idx="48" formatCode="General">
                  <c:v>0.93650793650793651</c:v>
                </c:pt>
                <c:pt idx="49" formatCode="General">
                  <c:v>0.88652482269503541</c:v>
                </c:pt>
                <c:pt idx="50" formatCode="General">
                  <c:v>0.74315068493150682</c:v>
                </c:pt>
                <c:pt idx="51" formatCode="General">
                  <c:v>0.65822784810126578</c:v>
                </c:pt>
                <c:pt idx="52" formatCode="General">
                  <c:v>0.64379084967320266</c:v>
                </c:pt>
                <c:pt idx="53" formatCode="General">
                  <c:v>0.72247706422018354</c:v>
                </c:pt>
                <c:pt idx="54" formatCode="General">
                  <c:v>0.69515011547344108</c:v>
                </c:pt>
                <c:pt idx="55" formatCode="General">
                  <c:v>0.64316239316239321</c:v>
                </c:pt>
                <c:pt idx="56" formatCode="General">
                  <c:v>0.62761506276150625</c:v>
                </c:pt>
                <c:pt idx="57" formatCode="General">
                  <c:v>0.58085106382978724</c:v>
                </c:pt>
                <c:pt idx="58" formatCode="General">
                  <c:v>0.72661870503597126</c:v>
                </c:pt>
                <c:pt idx="59" formatCode="General">
                  <c:v>0.66987179487179482</c:v>
                </c:pt>
                <c:pt idx="60" formatCode="General">
                  <c:v>0.74013157894736847</c:v>
                </c:pt>
                <c:pt idx="61" formatCode="General">
                  <c:v>0.72955974842767291</c:v>
                </c:pt>
                <c:pt idx="62" formatCode="General">
                  <c:v>0.68243243243243246</c:v>
                </c:pt>
                <c:pt idx="63" formatCode="General">
                  <c:v>0.68250539956803458</c:v>
                </c:pt>
                <c:pt idx="64" formatCode="General">
                  <c:v>0.62448132780082988</c:v>
                </c:pt>
                <c:pt idx="65" formatCode="General">
                  <c:v>0.8392857142857143</c:v>
                </c:pt>
                <c:pt idx="66" formatCode="General">
                  <c:v>0.73899371069182385</c:v>
                </c:pt>
                <c:pt idx="67" formatCode="General">
                  <c:v>0.79104477611940294</c:v>
                </c:pt>
                <c:pt idx="68" formatCode="General">
                  <c:v>0.78557114228456915</c:v>
                </c:pt>
                <c:pt idx="69" formatCode="General">
                  <c:v>0.68360277136258663</c:v>
                </c:pt>
                <c:pt idx="70" formatCode="General">
                  <c:v>0.71767241379310343</c:v>
                </c:pt>
                <c:pt idx="71" formatCode="General">
                  <c:v>0.74798387096774188</c:v>
                </c:pt>
                <c:pt idx="72" formatCode="General">
                  <c:v>0.73333333333333328</c:v>
                </c:pt>
                <c:pt idx="73" formatCode="General">
                  <c:v>0.76156583629893237</c:v>
                </c:pt>
                <c:pt idx="74" formatCode="General">
                  <c:v>0.83557046979865768</c:v>
                </c:pt>
                <c:pt idx="75" formatCode="General">
                  <c:v>0.78877887788778878</c:v>
                </c:pt>
                <c:pt idx="76" formatCode="General">
                  <c:v>0.69037656903765687</c:v>
                </c:pt>
                <c:pt idx="77" formatCode="General">
                  <c:v>0.68837209302325586</c:v>
                </c:pt>
                <c:pt idx="78" formatCode="General">
                  <c:v>0.76222222222222225</c:v>
                </c:pt>
                <c:pt idx="79" formatCode="General">
                  <c:v>0.75523012552301261</c:v>
                </c:pt>
                <c:pt idx="80" formatCode="General">
                  <c:v>0.75739644970414199</c:v>
                </c:pt>
                <c:pt idx="81" formatCode="General">
                  <c:v>0.57432432432432434</c:v>
                </c:pt>
                <c:pt idx="82" formatCode="General">
                  <c:v>0.70134228187919467</c:v>
                </c:pt>
                <c:pt idx="83" formatCode="General">
                  <c:v>0.72413793103448276</c:v>
                </c:pt>
                <c:pt idx="84" formatCode="General">
                  <c:v>0.70398009950248752</c:v>
                </c:pt>
                <c:pt idx="85" formatCode="General">
                  <c:v>0.71895424836601307</c:v>
                </c:pt>
                <c:pt idx="86" formatCode="General">
                  <c:v>0.68776371308016881</c:v>
                </c:pt>
                <c:pt idx="87" formatCode="General">
                  <c:v>0.23389830508474577</c:v>
                </c:pt>
                <c:pt idx="88" formatCode="General">
                  <c:v>0.19889502762430938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06-40D3-9D93-E8142E605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45199"/>
        <c:axId val="2031497071"/>
      </c:scatterChart>
      <c:valAx>
        <c:axId val="4843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97071"/>
        <c:crosses val="autoZero"/>
        <c:crossBetween val="midCat"/>
      </c:valAx>
      <c:valAx>
        <c:axId val="20314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4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N21BktKepayang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031496062992126E-2"/>
                  <c:y val="0.25592592592592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N21BktKepayang!$F$2:$F$90</c:f>
              <c:numCache>
                <c:formatCode>0.0%</c:formatCode>
                <c:ptCount val="89"/>
                <c:pt idx="0">
                  <c:v>0.65789473684210531</c:v>
                </c:pt>
                <c:pt idx="1">
                  <c:v>0.57736389684813749</c:v>
                </c:pt>
                <c:pt idx="2">
                  <c:v>0.57879656160458448</c:v>
                </c:pt>
                <c:pt idx="3">
                  <c:v>0.56303724928366761</c:v>
                </c:pt>
                <c:pt idx="4">
                  <c:v>0.52435530085959881</c:v>
                </c:pt>
                <c:pt idx="5">
                  <c:v>0.54594594594594592</c:v>
                </c:pt>
                <c:pt idx="6">
                  <c:v>0.48648648648648651</c:v>
                </c:pt>
                <c:pt idx="7">
                  <c:v>0.52972972972972976</c:v>
                </c:pt>
                <c:pt idx="8">
                  <c:v>0.52584933530280653</c:v>
                </c:pt>
                <c:pt idx="9">
                  <c:v>0.48744460856720828</c:v>
                </c:pt>
                <c:pt idx="10">
                  <c:v>0.38700147710487443</c:v>
                </c:pt>
                <c:pt idx="11">
                  <c:v>0.44017725258493351</c:v>
                </c:pt>
                <c:pt idx="12">
                  <c:v>0.4342688330871492</c:v>
                </c:pt>
                <c:pt idx="13">
                  <c:v>0.41358936484490399</c:v>
                </c:pt>
                <c:pt idx="14">
                  <c:v>0.59736842105263155</c:v>
                </c:pt>
                <c:pt idx="15">
                  <c:v>0.52105263157894732</c:v>
                </c:pt>
                <c:pt idx="16">
                  <c:v>0.59736842105263155</c:v>
                </c:pt>
                <c:pt idx="17">
                  <c:v>0.65312046444121918</c:v>
                </c:pt>
                <c:pt idx="18">
                  <c:v>0.61538461538461542</c:v>
                </c:pt>
                <c:pt idx="19">
                  <c:v>0.55797101449275366</c:v>
                </c:pt>
                <c:pt idx="20">
                  <c:v>0.5130434782608696</c:v>
                </c:pt>
                <c:pt idx="21">
                  <c:v>0.4826086956521739</c:v>
                </c:pt>
                <c:pt idx="22">
                  <c:v>0.36842105263157893</c:v>
                </c:pt>
                <c:pt idx="23">
                  <c:v>0.31777378815080792</c:v>
                </c:pt>
                <c:pt idx="24">
                  <c:v>0.27777777777777779</c:v>
                </c:pt>
                <c:pt idx="25">
                  <c:v>0.54594594594594592</c:v>
                </c:pt>
                <c:pt idx="26">
                  <c:v>0.69459459459459461</c:v>
                </c:pt>
                <c:pt idx="27">
                  <c:v>0.65548780487804881</c:v>
                </c:pt>
                <c:pt idx="28">
                  <c:v>0.61796042617960423</c:v>
                </c:pt>
                <c:pt idx="29">
                  <c:v>0.7756653992395437</c:v>
                </c:pt>
                <c:pt idx="30">
                  <c:v>0.93666666666666665</c:v>
                </c:pt>
                <c:pt idx="31">
                  <c:v>0.96250000000000002</c:v>
                </c:pt>
                <c:pt idx="32">
                  <c:v>0.95072463768115945</c:v>
                </c:pt>
                <c:pt idx="33">
                  <c:v>0.85</c:v>
                </c:pt>
                <c:pt idx="34">
                  <c:v>0.95211267605633798</c:v>
                </c:pt>
                <c:pt idx="35">
                  <c:v>0.86760563380281686</c:v>
                </c:pt>
                <c:pt idx="36">
                  <c:v>0.94</c:v>
                </c:pt>
                <c:pt idx="37">
                  <c:v>0.92380952380952386</c:v>
                </c:pt>
                <c:pt idx="38">
                  <c:v>0.71573604060913709</c:v>
                </c:pt>
                <c:pt idx="39">
                  <c:v>0.71573604060913709</c:v>
                </c:pt>
                <c:pt idx="40" formatCode="General">
                  <c:v>0.43437500000000001</c:v>
                </c:pt>
                <c:pt idx="41" formatCode="General">
                  <c:v>0.49375000000000002</c:v>
                </c:pt>
                <c:pt idx="42" formatCode="General">
                  <c:v>0.36817102137767221</c:v>
                </c:pt>
                <c:pt idx="43" formatCode="General">
                  <c:v>0.68333333333333335</c:v>
                </c:pt>
                <c:pt idx="44" formatCode="General">
                  <c:v>0.66111111111111109</c:v>
                </c:pt>
                <c:pt idx="45" formatCode="General">
                  <c:v>0.59722222222222221</c:v>
                </c:pt>
                <c:pt idx="46" formatCode="General">
                  <c:v>0.67586206896551726</c:v>
                </c:pt>
                <c:pt idx="47" formatCode="General">
                  <c:v>0.71772805507745263</c:v>
                </c:pt>
                <c:pt idx="48" formatCode="General">
                  <c:v>0.60585197934595525</c:v>
                </c:pt>
                <c:pt idx="49" formatCode="General">
                  <c:v>0.5129087779690189</c:v>
                </c:pt>
                <c:pt idx="50" formatCode="General">
                  <c:v>0.5368421052631579</c:v>
                </c:pt>
                <c:pt idx="51" formatCode="General">
                  <c:v>0.41052631578947368</c:v>
                </c:pt>
                <c:pt idx="52" formatCode="General">
                  <c:v>0.38157894736842107</c:v>
                </c:pt>
                <c:pt idx="53" formatCode="General">
                  <c:v>0.47419354838709676</c:v>
                </c:pt>
                <c:pt idx="54" formatCode="General">
                  <c:v>0.39677419354838711</c:v>
                </c:pt>
                <c:pt idx="55" formatCode="General">
                  <c:v>0.30483870967741933</c:v>
                </c:pt>
                <c:pt idx="56" formatCode="General">
                  <c:v>0.27741935483870966</c:v>
                </c:pt>
                <c:pt idx="57" formatCode="General">
                  <c:v>0.28387096774193549</c:v>
                </c:pt>
                <c:pt idx="58" formatCode="General">
                  <c:v>0.56216216216216219</c:v>
                </c:pt>
                <c:pt idx="59" formatCode="General">
                  <c:v>0.44054054054054054</c:v>
                </c:pt>
                <c:pt idx="60" formatCode="General">
                  <c:v>0.51081081081081081</c:v>
                </c:pt>
                <c:pt idx="61" formatCode="General">
                  <c:v>0.54929577464788737</c:v>
                </c:pt>
                <c:pt idx="62" formatCode="General">
                  <c:v>0.46406249999999999</c:v>
                </c:pt>
                <c:pt idx="63" formatCode="General">
                  <c:v>0.41093750000000001</c:v>
                </c:pt>
                <c:pt idx="64" formatCode="General">
                  <c:v>0.39218750000000002</c:v>
                </c:pt>
                <c:pt idx="65" formatCode="General">
                  <c:v>0.63421052631578945</c:v>
                </c:pt>
                <c:pt idx="66" formatCode="General">
                  <c:v>0.54473684210526319</c:v>
                </c:pt>
                <c:pt idx="67" formatCode="General">
                  <c:v>0.60263157894736841</c:v>
                </c:pt>
                <c:pt idx="68" formatCode="General">
                  <c:v>0.54477611940298509</c:v>
                </c:pt>
                <c:pt idx="69" formatCode="General">
                  <c:v>0.46716417910447761</c:v>
                </c:pt>
                <c:pt idx="70" formatCode="General">
                  <c:v>0.4419642857142857</c:v>
                </c:pt>
                <c:pt idx="71" formatCode="General">
                  <c:v>0.45535714285714285</c:v>
                </c:pt>
                <c:pt idx="72" formatCode="General">
                  <c:v>0.46279761904761907</c:v>
                </c:pt>
                <c:pt idx="73" formatCode="General">
                  <c:v>0.4263157894736842</c:v>
                </c:pt>
                <c:pt idx="74" formatCode="General">
                  <c:v>0.44210526315789472</c:v>
                </c:pt>
                <c:pt idx="75" formatCode="General">
                  <c:v>0.44736842105263158</c:v>
                </c:pt>
                <c:pt idx="76" formatCode="General">
                  <c:v>0.39687499999999998</c:v>
                </c:pt>
                <c:pt idx="77" formatCode="General">
                  <c:v>0.36406250000000001</c:v>
                </c:pt>
                <c:pt idx="78" formatCode="General">
                  <c:v>0.36193447737909518</c:v>
                </c:pt>
                <c:pt idx="79" formatCode="General">
                  <c:v>0.36349453978159124</c:v>
                </c:pt>
                <c:pt idx="80" formatCode="General">
                  <c:v>0.36661466458658348</c:v>
                </c:pt>
                <c:pt idx="81" formatCode="General">
                  <c:v>0.33513513513513515</c:v>
                </c:pt>
                <c:pt idx="82" formatCode="General">
                  <c:v>0.45405405405405408</c:v>
                </c:pt>
                <c:pt idx="83" formatCode="General">
                  <c:v>0.47526501766784451</c:v>
                </c:pt>
                <c:pt idx="84" formatCode="General">
                  <c:v>0.41342756183745583</c:v>
                </c:pt>
                <c:pt idx="85" formatCode="General">
                  <c:v>0.40282685512367489</c:v>
                </c:pt>
                <c:pt idx="86" formatCode="General">
                  <c:v>0.39045936395759717</c:v>
                </c:pt>
                <c:pt idx="87" formatCode="General">
                  <c:v>0.04</c:v>
                </c:pt>
                <c:pt idx="88" formatCode="General">
                  <c:v>1.3574660633484163E-2</c:v>
                </c:pt>
              </c:numCache>
            </c:numRef>
          </c:xVal>
          <c:yVal>
            <c:numRef>
              <c:f>N21BktKepayang!$B$2:$B$90</c:f>
              <c:numCache>
                <c:formatCode>0.0%</c:formatCode>
                <c:ptCount val="89"/>
                <c:pt idx="0">
                  <c:v>0.77850162866449513</c:v>
                </c:pt>
                <c:pt idx="1">
                  <c:v>0.77938517179023503</c:v>
                </c:pt>
                <c:pt idx="2">
                  <c:v>0.77695167286245348</c:v>
                </c:pt>
                <c:pt idx="3">
                  <c:v>0.84344422700587085</c:v>
                </c:pt>
                <c:pt idx="4">
                  <c:v>0.78321678321678323</c:v>
                </c:pt>
                <c:pt idx="5">
                  <c:v>0.81512605042016806</c:v>
                </c:pt>
                <c:pt idx="6">
                  <c:v>0.75083056478405319</c:v>
                </c:pt>
                <c:pt idx="7">
                  <c:v>0.82130584192439859</c:v>
                </c:pt>
                <c:pt idx="8">
                  <c:v>0.84832451499118167</c:v>
                </c:pt>
                <c:pt idx="9">
                  <c:v>0.77884615384615385</c:v>
                </c:pt>
                <c:pt idx="10">
                  <c:v>0.73425196850393704</c:v>
                </c:pt>
                <c:pt idx="11">
                  <c:v>0.76604554865424435</c:v>
                </c:pt>
                <c:pt idx="12">
                  <c:v>0.78612716763005785</c:v>
                </c:pt>
                <c:pt idx="13">
                  <c:v>0.79926335174953955</c:v>
                </c:pt>
                <c:pt idx="14">
                  <c:v>0.84615384615384615</c:v>
                </c:pt>
                <c:pt idx="15">
                  <c:v>0.80126182965299686</c:v>
                </c:pt>
                <c:pt idx="16">
                  <c:v>0.88924050632911389</c:v>
                </c:pt>
                <c:pt idx="17">
                  <c:v>0.88275862068965516</c:v>
                </c:pt>
                <c:pt idx="18">
                  <c:v>0.86531365313653141</c:v>
                </c:pt>
                <c:pt idx="19">
                  <c:v>0.84716981132075475</c:v>
                </c:pt>
                <c:pt idx="20">
                  <c:v>0.84291187739463602</c:v>
                </c:pt>
                <c:pt idx="21">
                  <c:v>0.84629629629629632</c:v>
                </c:pt>
                <c:pt idx="22">
                  <c:v>0.73809523809523814</c:v>
                </c:pt>
                <c:pt idx="23">
                  <c:v>0.70685579196217496</c:v>
                </c:pt>
                <c:pt idx="24">
                  <c:v>0.8032407407407407</c:v>
                </c:pt>
                <c:pt idx="25">
                  <c:v>0.91164658634538154</c:v>
                </c:pt>
                <c:pt idx="26">
                  <c:v>0.90391459074733094</c:v>
                </c:pt>
                <c:pt idx="27">
                  <c:v>0.94646680942184158</c:v>
                </c:pt>
                <c:pt idx="28">
                  <c:v>0.9513184584178499</c:v>
                </c:pt>
                <c:pt idx="29">
                  <c:v>0.88888888888888884</c:v>
                </c:pt>
                <c:pt idx="30">
                  <c:v>0.89932885906040272</c:v>
                </c:pt>
                <c:pt idx="31">
                  <c:v>0.8954545454545455</c:v>
                </c:pt>
                <c:pt idx="32">
                  <c:v>0.967741935483871</c:v>
                </c:pt>
                <c:pt idx="33">
                  <c:v>0.91139240506329111</c:v>
                </c:pt>
                <c:pt idx="34">
                  <c:v>0.9532374100719424</c:v>
                </c:pt>
                <c:pt idx="35">
                  <c:v>0.94052044609665431</c:v>
                </c:pt>
                <c:pt idx="36">
                  <c:v>0.87596899224806202</c:v>
                </c:pt>
                <c:pt idx="37">
                  <c:v>0.95151515151515154</c:v>
                </c:pt>
                <c:pt idx="38">
                  <c:v>0.82905982905982911</c:v>
                </c:pt>
                <c:pt idx="39">
                  <c:v>0.86111111111111116</c:v>
                </c:pt>
                <c:pt idx="40" formatCode="General">
                  <c:v>0.80219780219780223</c:v>
                </c:pt>
                <c:pt idx="41" formatCode="General">
                  <c:v>0.89682539682539686</c:v>
                </c:pt>
                <c:pt idx="42" formatCode="General">
                  <c:v>0.83171521035598706</c:v>
                </c:pt>
                <c:pt idx="43" formatCode="General">
                  <c:v>0.8705357142857143</c:v>
                </c:pt>
                <c:pt idx="44" formatCode="General">
                  <c:v>0.87632508833922262</c:v>
                </c:pt>
                <c:pt idx="45" formatCode="General">
                  <c:v>0.90592334494773519</c:v>
                </c:pt>
                <c:pt idx="46" formatCode="General">
                  <c:v>0.94915254237288138</c:v>
                </c:pt>
                <c:pt idx="47" formatCode="General">
                  <c:v>0.92783505154639179</c:v>
                </c:pt>
                <c:pt idx="48" formatCode="General">
                  <c:v>0.93650793650793651</c:v>
                </c:pt>
                <c:pt idx="49" formatCode="General">
                  <c:v>0.88652482269503541</c:v>
                </c:pt>
                <c:pt idx="50" formatCode="General">
                  <c:v>0.74315068493150682</c:v>
                </c:pt>
                <c:pt idx="51" formatCode="General">
                  <c:v>0.65822784810126578</c:v>
                </c:pt>
                <c:pt idx="52" formatCode="General">
                  <c:v>0.64379084967320266</c:v>
                </c:pt>
                <c:pt idx="53" formatCode="General">
                  <c:v>0.72247706422018354</c:v>
                </c:pt>
                <c:pt idx="54" formatCode="General">
                  <c:v>0.69515011547344108</c:v>
                </c:pt>
                <c:pt idx="55" formatCode="General">
                  <c:v>0.64316239316239321</c:v>
                </c:pt>
                <c:pt idx="56" formatCode="General">
                  <c:v>0.62761506276150625</c:v>
                </c:pt>
                <c:pt idx="57" formatCode="General">
                  <c:v>0.58085106382978724</c:v>
                </c:pt>
                <c:pt idx="58" formatCode="General">
                  <c:v>0.72661870503597126</c:v>
                </c:pt>
                <c:pt idx="59" formatCode="General">
                  <c:v>0.66987179487179482</c:v>
                </c:pt>
                <c:pt idx="60" formatCode="General">
                  <c:v>0.74013157894736847</c:v>
                </c:pt>
                <c:pt idx="61" formatCode="General">
                  <c:v>0.72955974842767291</c:v>
                </c:pt>
                <c:pt idx="62" formatCode="General">
                  <c:v>0.68243243243243246</c:v>
                </c:pt>
                <c:pt idx="63" formatCode="General">
                  <c:v>0.68250539956803458</c:v>
                </c:pt>
                <c:pt idx="64" formatCode="General">
                  <c:v>0.62448132780082988</c:v>
                </c:pt>
                <c:pt idx="65" formatCode="General">
                  <c:v>0.8392857142857143</c:v>
                </c:pt>
                <c:pt idx="66" formatCode="General">
                  <c:v>0.73899371069182385</c:v>
                </c:pt>
                <c:pt idx="67" formatCode="General">
                  <c:v>0.79104477611940294</c:v>
                </c:pt>
                <c:pt idx="68" formatCode="General">
                  <c:v>0.78557114228456915</c:v>
                </c:pt>
                <c:pt idx="69" formatCode="General">
                  <c:v>0.68360277136258663</c:v>
                </c:pt>
                <c:pt idx="70" formatCode="General">
                  <c:v>0.71767241379310343</c:v>
                </c:pt>
                <c:pt idx="71" formatCode="General">
                  <c:v>0.74798387096774188</c:v>
                </c:pt>
                <c:pt idx="72" formatCode="General">
                  <c:v>0.73333333333333328</c:v>
                </c:pt>
                <c:pt idx="73" formatCode="General">
                  <c:v>0.76156583629893237</c:v>
                </c:pt>
                <c:pt idx="74" formatCode="General">
                  <c:v>0.83557046979865768</c:v>
                </c:pt>
                <c:pt idx="75" formatCode="General">
                  <c:v>0.78877887788778878</c:v>
                </c:pt>
                <c:pt idx="76" formatCode="General">
                  <c:v>0.69037656903765687</c:v>
                </c:pt>
                <c:pt idx="77" formatCode="General">
                  <c:v>0.68837209302325586</c:v>
                </c:pt>
                <c:pt idx="78" formatCode="General">
                  <c:v>0.76222222222222225</c:v>
                </c:pt>
                <c:pt idx="79" formatCode="General">
                  <c:v>0.75523012552301261</c:v>
                </c:pt>
                <c:pt idx="80" formatCode="General">
                  <c:v>0.75739644970414199</c:v>
                </c:pt>
                <c:pt idx="81" formatCode="General">
                  <c:v>0.57432432432432434</c:v>
                </c:pt>
                <c:pt idx="82" formatCode="General">
                  <c:v>0.70134228187919467</c:v>
                </c:pt>
                <c:pt idx="83" formatCode="General">
                  <c:v>0.72413793103448276</c:v>
                </c:pt>
                <c:pt idx="84" formatCode="General">
                  <c:v>0.70398009950248752</c:v>
                </c:pt>
                <c:pt idx="85" formatCode="General">
                  <c:v>0.71895424836601307</c:v>
                </c:pt>
                <c:pt idx="86" formatCode="General">
                  <c:v>0.68776371308016881</c:v>
                </c:pt>
                <c:pt idx="87" formatCode="General">
                  <c:v>0.23389830508474577</c:v>
                </c:pt>
                <c:pt idx="88" formatCode="General">
                  <c:v>0.19889502762430938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9F-4362-80A1-897E82173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45199"/>
        <c:axId val="2031497071"/>
      </c:scatterChart>
      <c:valAx>
        <c:axId val="4843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97071"/>
        <c:crosses val="autoZero"/>
        <c:crossBetween val="midCat"/>
      </c:valAx>
      <c:valAx>
        <c:axId val="20314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4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N21BktKepayang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031496062992126E-2"/>
                  <c:y val="0.25592592592592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N21BktKepayang!$G$2:$G$90</c:f>
              <c:numCache>
                <c:formatCode>0.0%</c:formatCode>
                <c:ptCount val="89"/>
                <c:pt idx="0">
                  <c:v>0.18157894736842106</c:v>
                </c:pt>
                <c:pt idx="1">
                  <c:v>0.18481375358166188</c:v>
                </c:pt>
                <c:pt idx="2">
                  <c:v>0.166189111747851</c:v>
                </c:pt>
                <c:pt idx="3">
                  <c:v>0.22779369627507162</c:v>
                </c:pt>
                <c:pt idx="4">
                  <c:v>0.19484240687679083</c:v>
                </c:pt>
                <c:pt idx="5">
                  <c:v>0.3</c:v>
                </c:pt>
                <c:pt idx="6">
                  <c:v>0.27297297297297296</c:v>
                </c:pt>
                <c:pt idx="7">
                  <c:v>0.28918918918918918</c:v>
                </c:pt>
                <c:pt idx="8">
                  <c:v>0.28655834564254062</c:v>
                </c:pt>
                <c:pt idx="9">
                  <c:v>0.28064992614475626</c:v>
                </c:pt>
                <c:pt idx="10">
                  <c:v>0.30280649926144754</c:v>
                </c:pt>
                <c:pt idx="11">
                  <c:v>0.24963072378138848</c:v>
                </c:pt>
                <c:pt idx="12">
                  <c:v>0.25553914327917282</c:v>
                </c:pt>
                <c:pt idx="13">
                  <c:v>0.25849335302806498</c:v>
                </c:pt>
                <c:pt idx="14">
                  <c:v>0.3</c:v>
                </c:pt>
                <c:pt idx="15">
                  <c:v>0.27894736842105261</c:v>
                </c:pt>
                <c:pt idx="16">
                  <c:v>0.29736842105263156</c:v>
                </c:pt>
                <c:pt idx="17">
                  <c:v>0.26415094339622641</c:v>
                </c:pt>
                <c:pt idx="18">
                  <c:v>0.24963715529753266</c:v>
                </c:pt>
                <c:pt idx="19">
                  <c:v>0.2608695652173913</c:v>
                </c:pt>
                <c:pt idx="20">
                  <c:v>0.28695652173913044</c:v>
                </c:pt>
                <c:pt idx="21">
                  <c:v>0.32898550724637682</c:v>
                </c:pt>
                <c:pt idx="22">
                  <c:v>0.38421052631578945</c:v>
                </c:pt>
                <c:pt idx="23">
                  <c:v>0.3357271095152603</c:v>
                </c:pt>
                <c:pt idx="24">
                  <c:v>0.43548387096774194</c:v>
                </c:pt>
                <c:pt idx="25">
                  <c:v>0.42972972972972973</c:v>
                </c:pt>
                <c:pt idx="26">
                  <c:v>0.26756756756756755</c:v>
                </c:pt>
                <c:pt idx="27">
                  <c:v>0.30182926829268292</c:v>
                </c:pt>
                <c:pt idx="28">
                  <c:v>0.32267884322678841</c:v>
                </c:pt>
                <c:pt idx="29">
                  <c:v>0.16730038022813687</c:v>
                </c:pt>
                <c:pt idx="30">
                  <c:v>0.06</c:v>
                </c:pt>
                <c:pt idx="31">
                  <c:v>1.8749999999999999E-2</c:v>
                </c:pt>
                <c:pt idx="32">
                  <c:v>3.7681159420289857E-2</c:v>
                </c:pt>
                <c:pt idx="33">
                  <c:v>0.13333333333333333</c:v>
                </c:pt>
                <c:pt idx="34">
                  <c:v>4.507042253521127E-2</c:v>
                </c:pt>
                <c:pt idx="35">
                  <c:v>0.10704225352112676</c:v>
                </c:pt>
                <c:pt idx="36">
                  <c:v>0.02</c:v>
                </c:pt>
                <c:pt idx="37">
                  <c:v>5.2380952380952382E-2</c:v>
                </c:pt>
                <c:pt idx="38">
                  <c:v>0.24365482233502539</c:v>
                </c:pt>
                <c:pt idx="39">
                  <c:v>0.17258883248730963</c:v>
                </c:pt>
                <c:pt idx="40" formatCode="General">
                  <c:v>0.47812500000000002</c:v>
                </c:pt>
                <c:pt idx="41" formatCode="General">
                  <c:v>0.421875</c:v>
                </c:pt>
                <c:pt idx="42" formatCode="General">
                  <c:v>0.40380047505938244</c:v>
                </c:pt>
                <c:pt idx="43" formatCode="General">
                  <c:v>0.29444444444444445</c:v>
                </c:pt>
                <c:pt idx="44" formatCode="General">
                  <c:v>0.28611111111111109</c:v>
                </c:pt>
                <c:pt idx="45" formatCode="General">
                  <c:v>0.34444444444444444</c:v>
                </c:pt>
                <c:pt idx="46" formatCode="General">
                  <c:v>0.2810344827586207</c:v>
                </c:pt>
                <c:pt idx="47" formatCode="General">
                  <c:v>0.23235800344234078</c:v>
                </c:pt>
                <c:pt idx="48" formatCode="General">
                  <c:v>0.32702237521514632</c:v>
                </c:pt>
                <c:pt idx="49" formatCode="General">
                  <c:v>0.33218588640275387</c:v>
                </c:pt>
                <c:pt idx="50" formatCode="General">
                  <c:v>0.20263157894736841</c:v>
                </c:pt>
                <c:pt idx="51" formatCode="General">
                  <c:v>0.25526315789473686</c:v>
                </c:pt>
                <c:pt idx="52" formatCode="General">
                  <c:v>0.20263157894736841</c:v>
                </c:pt>
                <c:pt idx="53" formatCode="General">
                  <c:v>0.2</c:v>
                </c:pt>
                <c:pt idx="54" formatCode="General">
                  <c:v>0.20806451612903226</c:v>
                </c:pt>
                <c:pt idx="55" formatCode="General">
                  <c:v>0.1967741935483871</c:v>
                </c:pt>
                <c:pt idx="56" formatCode="General">
                  <c:v>0.18225806451612903</c:v>
                </c:pt>
                <c:pt idx="57" formatCode="General">
                  <c:v>0.16935483870967741</c:v>
                </c:pt>
                <c:pt idx="58" formatCode="General">
                  <c:v>0.15675675675675677</c:v>
                </c:pt>
                <c:pt idx="59" formatCode="General">
                  <c:v>0.1918918918918919</c:v>
                </c:pt>
                <c:pt idx="60" formatCode="General">
                  <c:v>0.17027027027027028</c:v>
                </c:pt>
                <c:pt idx="61" formatCode="General">
                  <c:v>0.14084507042253522</c:v>
                </c:pt>
                <c:pt idx="62" formatCode="General">
                  <c:v>0.1171875</c:v>
                </c:pt>
                <c:pt idx="63" formatCode="General">
                  <c:v>0.12812499999999999</c:v>
                </c:pt>
                <c:pt idx="64" formatCode="General">
                  <c:v>0.13750000000000001</c:v>
                </c:pt>
                <c:pt idx="65" formatCode="General">
                  <c:v>0.1736842105263158</c:v>
                </c:pt>
                <c:pt idx="66" formatCode="General">
                  <c:v>0.16052631578947368</c:v>
                </c:pt>
                <c:pt idx="67" formatCode="General">
                  <c:v>0.15526315789473685</c:v>
                </c:pt>
                <c:pt idx="68" formatCode="General">
                  <c:v>0.20895522388059701</c:v>
                </c:pt>
                <c:pt idx="69" formatCode="General">
                  <c:v>0.14925373134328357</c:v>
                </c:pt>
                <c:pt idx="70" formatCode="General">
                  <c:v>0.18005952380952381</c:v>
                </c:pt>
                <c:pt idx="71" formatCode="General">
                  <c:v>0.18601190476190477</c:v>
                </c:pt>
                <c:pt idx="72" formatCode="General">
                  <c:v>0.14583333333333334</c:v>
                </c:pt>
                <c:pt idx="73" formatCode="General">
                  <c:v>0.25263157894736843</c:v>
                </c:pt>
                <c:pt idx="74" formatCode="General">
                  <c:v>0.27368421052631581</c:v>
                </c:pt>
                <c:pt idx="75" formatCode="General">
                  <c:v>0.21578947368421053</c:v>
                </c:pt>
                <c:pt idx="76" formatCode="General">
                  <c:v>0.23749999999999999</c:v>
                </c:pt>
                <c:pt idx="77" formatCode="General">
                  <c:v>0.18593750000000001</c:v>
                </c:pt>
                <c:pt idx="78" formatCode="General">
                  <c:v>0.21996879875195008</c:v>
                </c:pt>
                <c:pt idx="79" formatCode="General">
                  <c:v>0.1606864274570983</c:v>
                </c:pt>
                <c:pt idx="80" formatCode="General">
                  <c:v>0.1794071762870515</c:v>
                </c:pt>
                <c:pt idx="81" formatCode="General">
                  <c:v>0.18108108108108109</c:v>
                </c:pt>
                <c:pt idx="82" formatCode="General">
                  <c:v>0.18378378378378379</c:v>
                </c:pt>
                <c:pt idx="83" formatCode="General">
                  <c:v>0.16607773851590105</c:v>
                </c:pt>
                <c:pt idx="84" formatCode="General">
                  <c:v>0.12720848056537101</c:v>
                </c:pt>
                <c:pt idx="85" formatCode="General">
                  <c:v>0.13427561837455831</c:v>
                </c:pt>
                <c:pt idx="86" formatCode="General">
                  <c:v>0.13250883392226148</c:v>
                </c:pt>
                <c:pt idx="87" formatCode="General">
                  <c:v>0.08</c:v>
                </c:pt>
                <c:pt idx="88" formatCode="General">
                  <c:v>4.2986425339366516E-2</c:v>
                </c:pt>
              </c:numCache>
            </c:numRef>
          </c:xVal>
          <c:yVal>
            <c:numRef>
              <c:f>N21BktKepayang!$B$2:$B$90</c:f>
              <c:numCache>
                <c:formatCode>0.0%</c:formatCode>
                <c:ptCount val="89"/>
                <c:pt idx="0">
                  <c:v>0.77850162866449513</c:v>
                </c:pt>
                <c:pt idx="1">
                  <c:v>0.77938517179023503</c:v>
                </c:pt>
                <c:pt idx="2">
                  <c:v>0.77695167286245348</c:v>
                </c:pt>
                <c:pt idx="3">
                  <c:v>0.84344422700587085</c:v>
                </c:pt>
                <c:pt idx="4">
                  <c:v>0.78321678321678323</c:v>
                </c:pt>
                <c:pt idx="5">
                  <c:v>0.81512605042016806</c:v>
                </c:pt>
                <c:pt idx="6">
                  <c:v>0.75083056478405319</c:v>
                </c:pt>
                <c:pt idx="7">
                  <c:v>0.82130584192439859</c:v>
                </c:pt>
                <c:pt idx="8">
                  <c:v>0.84832451499118167</c:v>
                </c:pt>
                <c:pt idx="9">
                  <c:v>0.77884615384615385</c:v>
                </c:pt>
                <c:pt idx="10">
                  <c:v>0.73425196850393704</c:v>
                </c:pt>
                <c:pt idx="11">
                  <c:v>0.76604554865424435</c:v>
                </c:pt>
                <c:pt idx="12">
                  <c:v>0.78612716763005785</c:v>
                </c:pt>
                <c:pt idx="13">
                  <c:v>0.79926335174953955</c:v>
                </c:pt>
                <c:pt idx="14">
                  <c:v>0.84615384615384615</c:v>
                </c:pt>
                <c:pt idx="15">
                  <c:v>0.80126182965299686</c:v>
                </c:pt>
                <c:pt idx="16">
                  <c:v>0.88924050632911389</c:v>
                </c:pt>
                <c:pt idx="17">
                  <c:v>0.88275862068965516</c:v>
                </c:pt>
                <c:pt idx="18">
                  <c:v>0.86531365313653141</c:v>
                </c:pt>
                <c:pt idx="19">
                  <c:v>0.84716981132075475</c:v>
                </c:pt>
                <c:pt idx="20">
                  <c:v>0.84291187739463602</c:v>
                </c:pt>
                <c:pt idx="21">
                  <c:v>0.84629629629629632</c:v>
                </c:pt>
                <c:pt idx="22">
                  <c:v>0.73809523809523814</c:v>
                </c:pt>
                <c:pt idx="23">
                  <c:v>0.70685579196217496</c:v>
                </c:pt>
                <c:pt idx="24">
                  <c:v>0.8032407407407407</c:v>
                </c:pt>
                <c:pt idx="25">
                  <c:v>0.91164658634538154</c:v>
                </c:pt>
                <c:pt idx="26">
                  <c:v>0.90391459074733094</c:v>
                </c:pt>
                <c:pt idx="27">
                  <c:v>0.94646680942184158</c:v>
                </c:pt>
                <c:pt idx="28">
                  <c:v>0.9513184584178499</c:v>
                </c:pt>
                <c:pt idx="29">
                  <c:v>0.88888888888888884</c:v>
                </c:pt>
                <c:pt idx="30">
                  <c:v>0.89932885906040272</c:v>
                </c:pt>
                <c:pt idx="31">
                  <c:v>0.8954545454545455</c:v>
                </c:pt>
                <c:pt idx="32">
                  <c:v>0.967741935483871</c:v>
                </c:pt>
                <c:pt idx="33">
                  <c:v>0.91139240506329111</c:v>
                </c:pt>
                <c:pt idx="34">
                  <c:v>0.9532374100719424</c:v>
                </c:pt>
                <c:pt idx="35">
                  <c:v>0.94052044609665431</c:v>
                </c:pt>
                <c:pt idx="36">
                  <c:v>0.87596899224806202</c:v>
                </c:pt>
                <c:pt idx="37">
                  <c:v>0.95151515151515154</c:v>
                </c:pt>
                <c:pt idx="38">
                  <c:v>0.82905982905982911</c:v>
                </c:pt>
                <c:pt idx="39">
                  <c:v>0.86111111111111116</c:v>
                </c:pt>
                <c:pt idx="40" formatCode="General">
                  <c:v>0.80219780219780223</c:v>
                </c:pt>
                <c:pt idx="41" formatCode="General">
                  <c:v>0.89682539682539686</c:v>
                </c:pt>
                <c:pt idx="42" formatCode="General">
                  <c:v>0.83171521035598706</c:v>
                </c:pt>
                <c:pt idx="43" formatCode="General">
                  <c:v>0.8705357142857143</c:v>
                </c:pt>
                <c:pt idx="44" formatCode="General">
                  <c:v>0.87632508833922262</c:v>
                </c:pt>
                <c:pt idx="45" formatCode="General">
                  <c:v>0.90592334494773519</c:v>
                </c:pt>
                <c:pt idx="46" formatCode="General">
                  <c:v>0.94915254237288138</c:v>
                </c:pt>
                <c:pt idx="47" formatCode="General">
                  <c:v>0.92783505154639179</c:v>
                </c:pt>
                <c:pt idx="48" formatCode="General">
                  <c:v>0.93650793650793651</c:v>
                </c:pt>
                <c:pt idx="49" formatCode="General">
                  <c:v>0.88652482269503541</c:v>
                </c:pt>
                <c:pt idx="50" formatCode="General">
                  <c:v>0.74315068493150682</c:v>
                </c:pt>
                <c:pt idx="51" formatCode="General">
                  <c:v>0.65822784810126578</c:v>
                </c:pt>
                <c:pt idx="52" formatCode="General">
                  <c:v>0.64379084967320266</c:v>
                </c:pt>
                <c:pt idx="53" formatCode="General">
                  <c:v>0.72247706422018354</c:v>
                </c:pt>
                <c:pt idx="54" formatCode="General">
                  <c:v>0.69515011547344108</c:v>
                </c:pt>
                <c:pt idx="55" formatCode="General">
                  <c:v>0.64316239316239321</c:v>
                </c:pt>
                <c:pt idx="56" formatCode="General">
                  <c:v>0.62761506276150625</c:v>
                </c:pt>
                <c:pt idx="57" formatCode="General">
                  <c:v>0.58085106382978724</c:v>
                </c:pt>
                <c:pt idx="58" formatCode="General">
                  <c:v>0.72661870503597126</c:v>
                </c:pt>
                <c:pt idx="59" formatCode="General">
                  <c:v>0.66987179487179482</c:v>
                </c:pt>
                <c:pt idx="60" formatCode="General">
                  <c:v>0.74013157894736847</c:v>
                </c:pt>
                <c:pt idx="61" formatCode="General">
                  <c:v>0.72955974842767291</c:v>
                </c:pt>
                <c:pt idx="62" formatCode="General">
                  <c:v>0.68243243243243246</c:v>
                </c:pt>
                <c:pt idx="63" formatCode="General">
                  <c:v>0.68250539956803458</c:v>
                </c:pt>
                <c:pt idx="64" formatCode="General">
                  <c:v>0.62448132780082988</c:v>
                </c:pt>
                <c:pt idx="65" formatCode="General">
                  <c:v>0.8392857142857143</c:v>
                </c:pt>
                <c:pt idx="66" formatCode="General">
                  <c:v>0.73899371069182385</c:v>
                </c:pt>
                <c:pt idx="67" formatCode="General">
                  <c:v>0.79104477611940294</c:v>
                </c:pt>
                <c:pt idx="68" formatCode="General">
                  <c:v>0.78557114228456915</c:v>
                </c:pt>
                <c:pt idx="69" formatCode="General">
                  <c:v>0.68360277136258663</c:v>
                </c:pt>
                <c:pt idx="70" formatCode="General">
                  <c:v>0.71767241379310343</c:v>
                </c:pt>
                <c:pt idx="71" formatCode="General">
                  <c:v>0.74798387096774188</c:v>
                </c:pt>
                <c:pt idx="72" formatCode="General">
                  <c:v>0.73333333333333328</c:v>
                </c:pt>
                <c:pt idx="73" formatCode="General">
                  <c:v>0.76156583629893237</c:v>
                </c:pt>
                <c:pt idx="74" formatCode="General">
                  <c:v>0.83557046979865768</c:v>
                </c:pt>
                <c:pt idx="75" formatCode="General">
                  <c:v>0.78877887788778878</c:v>
                </c:pt>
                <c:pt idx="76" formatCode="General">
                  <c:v>0.69037656903765687</c:v>
                </c:pt>
                <c:pt idx="77" formatCode="General">
                  <c:v>0.68837209302325586</c:v>
                </c:pt>
                <c:pt idx="78" formatCode="General">
                  <c:v>0.76222222222222225</c:v>
                </c:pt>
                <c:pt idx="79" formatCode="General">
                  <c:v>0.75523012552301261</c:v>
                </c:pt>
                <c:pt idx="80" formatCode="General">
                  <c:v>0.75739644970414199</c:v>
                </c:pt>
                <c:pt idx="81" formatCode="General">
                  <c:v>0.57432432432432434</c:v>
                </c:pt>
                <c:pt idx="82" formatCode="General">
                  <c:v>0.70134228187919467</c:v>
                </c:pt>
                <c:pt idx="83" formatCode="General">
                  <c:v>0.72413793103448276</c:v>
                </c:pt>
                <c:pt idx="84" formatCode="General">
                  <c:v>0.70398009950248752</c:v>
                </c:pt>
                <c:pt idx="85" formatCode="General">
                  <c:v>0.71895424836601307</c:v>
                </c:pt>
                <c:pt idx="86" formatCode="General">
                  <c:v>0.68776371308016881</c:v>
                </c:pt>
                <c:pt idx="87" formatCode="General">
                  <c:v>0.23389830508474577</c:v>
                </c:pt>
                <c:pt idx="88" formatCode="General">
                  <c:v>0.19889502762430938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64-4305-9880-ED4AEBF03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45199"/>
        <c:axId val="2031497071"/>
      </c:scatterChart>
      <c:valAx>
        <c:axId val="4843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97071"/>
        <c:crosses val="autoZero"/>
        <c:crossBetween val="midCat"/>
      </c:valAx>
      <c:valAx>
        <c:axId val="20314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4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N22Rahang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43503937007874E-2"/>
                  <c:y val="0.199807524059492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N22Rahang!$E$2:$E$44</c:f>
              <c:numCache>
                <c:formatCode>0.0%</c:formatCode>
                <c:ptCount val="43"/>
                <c:pt idx="0">
                  <c:v>4.1379310344827586E-2</c:v>
                </c:pt>
                <c:pt idx="1">
                  <c:v>0.13738019169329074</c:v>
                </c:pt>
                <c:pt idx="2">
                  <c:v>2.9729729729729731E-2</c:v>
                </c:pt>
                <c:pt idx="3">
                  <c:v>4.0540540540540543E-2</c:v>
                </c:pt>
                <c:pt idx="4">
                  <c:v>0.18548387096774194</c:v>
                </c:pt>
                <c:pt idx="5">
                  <c:v>3.5211267605633804E-2</c:v>
                </c:pt>
                <c:pt idx="6">
                  <c:v>0.13732394366197184</c:v>
                </c:pt>
                <c:pt idx="7">
                  <c:v>6.5789473684210523E-2</c:v>
                </c:pt>
                <c:pt idx="8">
                  <c:v>6.3157894736842107E-2</c:v>
                </c:pt>
                <c:pt idx="9">
                  <c:v>0.10263157894736842</c:v>
                </c:pt>
                <c:pt idx="10">
                  <c:v>0.11315789473684211</c:v>
                </c:pt>
                <c:pt idx="11">
                  <c:v>0.14760147601476015</c:v>
                </c:pt>
                <c:pt idx="12">
                  <c:v>0.18450184501845018</c:v>
                </c:pt>
                <c:pt idx="13">
                  <c:v>0.22693726937269373</c:v>
                </c:pt>
                <c:pt idx="14">
                  <c:v>7.8947368421052634E-3</c:v>
                </c:pt>
                <c:pt idx="15">
                  <c:v>5.263157894736842E-3</c:v>
                </c:pt>
                <c:pt idx="16">
                  <c:v>2.631578947368421E-3</c:v>
                </c:pt>
                <c:pt idx="17">
                  <c:v>2.1052631578947368E-2</c:v>
                </c:pt>
                <c:pt idx="18">
                  <c:v>7.7519379844961239E-3</c:v>
                </c:pt>
                <c:pt idx="19">
                  <c:v>1.8604651162790697E-2</c:v>
                </c:pt>
                <c:pt idx="20">
                  <c:v>6.6666666666666666E-2</c:v>
                </c:pt>
                <c:pt idx="21">
                  <c:v>0.72812500000000002</c:v>
                </c:pt>
                <c:pt idx="22">
                  <c:v>0.82187500000000002</c:v>
                </c:pt>
                <c:pt idx="23">
                  <c:v>0.76297577854671284</c:v>
                </c:pt>
                <c:pt idx="24">
                  <c:v>0.88927335640138405</c:v>
                </c:pt>
                <c:pt idx="25">
                  <c:v>0.82210708117443865</c:v>
                </c:pt>
                <c:pt idx="26">
                  <c:v>0.54113924050632911</c:v>
                </c:pt>
                <c:pt idx="27">
                  <c:v>0.66561514195583593</c:v>
                </c:pt>
                <c:pt idx="28">
                  <c:v>8.4375000000000006E-2</c:v>
                </c:pt>
                <c:pt idx="29">
                  <c:v>0.11874999999999999</c:v>
                </c:pt>
                <c:pt idx="30">
                  <c:v>0.17824074074074073</c:v>
                </c:pt>
                <c:pt idx="31">
                  <c:v>7.1052631578947367E-2</c:v>
                </c:pt>
                <c:pt idx="32">
                  <c:v>0.11052631578947368</c:v>
                </c:pt>
                <c:pt idx="33">
                  <c:v>0.10344827586206896</c:v>
                </c:pt>
                <c:pt idx="34">
                  <c:v>0.15137614678899083</c:v>
                </c:pt>
                <c:pt idx="35">
                  <c:v>0.28669724770642202</c:v>
                </c:pt>
                <c:pt idx="36">
                  <c:v>0.1736842105263158</c:v>
                </c:pt>
                <c:pt idx="37">
                  <c:v>0.20263157894736841</c:v>
                </c:pt>
                <c:pt idx="38">
                  <c:v>0.24210526315789474</c:v>
                </c:pt>
                <c:pt idx="39">
                  <c:v>0.46231155778894473</c:v>
                </c:pt>
                <c:pt idx="40">
                  <c:v>0.43718592964824121</c:v>
                </c:pt>
                <c:pt idx="41">
                  <c:v>0.44816053511705684</c:v>
                </c:pt>
                <c:pt idx="42">
                  <c:v>0.3511705685618729</c:v>
                </c:pt>
              </c:numCache>
            </c:numRef>
          </c:xVal>
          <c:yVal>
            <c:numRef>
              <c:f>N22Rahang!$A$2:$A$44</c:f>
              <c:numCache>
                <c:formatCode>0.0%</c:formatCode>
                <c:ptCount val="43"/>
                <c:pt idx="0">
                  <c:v>0.73793103448275865</c:v>
                </c:pt>
                <c:pt idx="1">
                  <c:v>0.73162939297124596</c:v>
                </c:pt>
                <c:pt idx="2">
                  <c:v>0.60270270270270265</c:v>
                </c:pt>
                <c:pt idx="3">
                  <c:v>0.77297297297297296</c:v>
                </c:pt>
                <c:pt idx="4">
                  <c:v>0.79435483870967738</c:v>
                </c:pt>
                <c:pt idx="5">
                  <c:v>0.61971830985915488</c:v>
                </c:pt>
                <c:pt idx="6">
                  <c:v>0.75</c:v>
                </c:pt>
                <c:pt idx="7">
                  <c:v>0.39473684210526316</c:v>
                </c:pt>
                <c:pt idx="8">
                  <c:v>0.59210526315789469</c:v>
                </c:pt>
                <c:pt idx="9">
                  <c:v>0.64736842105263159</c:v>
                </c:pt>
                <c:pt idx="10">
                  <c:v>0.66578947368421049</c:v>
                </c:pt>
                <c:pt idx="11">
                  <c:v>0.65313653136531369</c:v>
                </c:pt>
                <c:pt idx="12">
                  <c:v>0.64575645756457567</c:v>
                </c:pt>
                <c:pt idx="13">
                  <c:v>0.68450184501845024</c:v>
                </c:pt>
                <c:pt idx="14">
                  <c:v>0.53421052631578947</c:v>
                </c:pt>
                <c:pt idx="15">
                  <c:v>0.73421052631578942</c:v>
                </c:pt>
                <c:pt idx="16">
                  <c:v>0.8236842105263158</c:v>
                </c:pt>
                <c:pt idx="17">
                  <c:v>0.80263157894736847</c:v>
                </c:pt>
                <c:pt idx="18">
                  <c:v>0.84651162790697676</c:v>
                </c:pt>
                <c:pt idx="19">
                  <c:v>0.76744186046511631</c:v>
                </c:pt>
                <c:pt idx="20">
                  <c:v>0.77364341085271315</c:v>
                </c:pt>
                <c:pt idx="21">
                  <c:v>0.75937500000000002</c:v>
                </c:pt>
                <c:pt idx="22">
                  <c:v>0.81562500000000004</c:v>
                </c:pt>
                <c:pt idx="23">
                  <c:v>0.72318339100346019</c:v>
                </c:pt>
                <c:pt idx="24">
                  <c:v>0.77854671280276821</c:v>
                </c:pt>
                <c:pt idx="25">
                  <c:v>0.80310880829015541</c:v>
                </c:pt>
                <c:pt idx="26">
                  <c:v>0.73417721518987344</c:v>
                </c:pt>
                <c:pt idx="27">
                  <c:v>0.76025236593059942</c:v>
                </c:pt>
                <c:pt idx="28">
                  <c:v>0.61875000000000002</c:v>
                </c:pt>
                <c:pt idx="29">
                  <c:v>0.8</c:v>
                </c:pt>
                <c:pt idx="30">
                  <c:v>0.72222222222222221</c:v>
                </c:pt>
                <c:pt idx="31">
                  <c:v>0.56052631578947365</c:v>
                </c:pt>
                <c:pt idx="32">
                  <c:v>0.75789473684210529</c:v>
                </c:pt>
                <c:pt idx="33">
                  <c:v>0.75172413793103443</c:v>
                </c:pt>
                <c:pt idx="34">
                  <c:v>0.69495412844036697</c:v>
                </c:pt>
                <c:pt idx="35">
                  <c:v>0.74541284403669728</c:v>
                </c:pt>
                <c:pt idx="36">
                  <c:v>0.65</c:v>
                </c:pt>
                <c:pt idx="37">
                  <c:v>0.80263157894736847</c:v>
                </c:pt>
                <c:pt idx="38">
                  <c:v>0.82894736842105265</c:v>
                </c:pt>
                <c:pt idx="39">
                  <c:v>0.67169179229480735</c:v>
                </c:pt>
                <c:pt idx="40">
                  <c:v>0.70351758793969854</c:v>
                </c:pt>
                <c:pt idx="41">
                  <c:v>0.66220735785953178</c:v>
                </c:pt>
                <c:pt idx="42">
                  <c:v>0.76588628762541811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2-48C7-9856-29FF79FBB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07535"/>
        <c:axId val="1290842335"/>
      </c:scatterChart>
      <c:valAx>
        <c:axId val="121410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42335"/>
        <c:crosses val="autoZero"/>
        <c:crossBetween val="midCat"/>
      </c:valAx>
      <c:valAx>
        <c:axId val="12908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0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N22Rahang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43503937007874E-2"/>
                  <c:y val="0.199807524059492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N22Rahang!$F$2:$F$44</c:f>
              <c:numCache>
                <c:formatCode>0.0%</c:formatCode>
                <c:ptCount val="43"/>
                <c:pt idx="0">
                  <c:v>0.85172413793103452</c:v>
                </c:pt>
                <c:pt idx="1">
                  <c:v>0.60383386581469645</c:v>
                </c:pt>
                <c:pt idx="2">
                  <c:v>0.81081081081081086</c:v>
                </c:pt>
                <c:pt idx="3">
                  <c:v>0.82432432432432434</c:v>
                </c:pt>
                <c:pt idx="4">
                  <c:v>0.64314516129032262</c:v>
                </c:pt>
                <c:pt idx="5">
                  <c:v>0.81690140845070425</c:v>
                </c:pt>
                <c:pt idx="6">
                  <c:v>0.68661971830985913</c:v>
                </c:pt>
                <c:pt idx="7">
                  <c:v>0.50263157894736843</c:v>
                </c:pt>
                <c:pt idx="8">
                  <c:v>0.52368421052631575</c:v>
                </c:pt>
                <c:pt idx="9">
                  <c:v>0.52105263157894732</c:v>
                </c:pt>
                <c:pt idx="10">
                  <c:v>0.47368421052631576</c:v>
                </c:pt>
                <c:pt idx="11">
                  <c:v>0.45018450184501846</c:v>
                </c:pt>
                <c:pt idx="12">
                  <c:v>0.4059040590405904</c:v>
                </c:pt>
                <c:pt idx="13">
                  <c:v>0.34870848708487084</c:v>
                </c:pt>
                <c:pt idx="14">
                  <c:v>0.95789473684210524</c:v>
                </c:pt>
                <c:pt idx="15">
                  <c:v>0.94736842105263153</c:v>
                </c:pt>
                <c:pt idx="16">
                  <c:v>0.94210526315789478</c:v>
                </c:pt>
                <c:pt idx="17">
                  <c:v>0.95</c:v>
                </c:pt>
                <c:pt idx="18">
                  <c:v>0.96279069767441861</c:v>
                </c:pt>
                <c:pt idx="19">
                  <c:v>0.94108527131782949</c:v>
                </c:pt>
                <c:pt idx="20">
                  <c:v>0.87131782945736436</c:v>
                </c:pt>
                <c:pt idx="21">
                  <c:v>0.140625</c:v>
                </c:pt>
                <c:pt idx="22">
                  <c:v>8.7499999999999994E-2</c:v>
                </c:pt>
                <c:pt idx="23">
                  <c:v>0.13148788927335639</c:v>
                </c:pt>
                <c:pt idx="24">
                  <c:v>5.1903114186851208E-2</c:v>
                </c:pt>
                <c:pt idx="25">
                  <c:v>9.8445595854922283E-2</c:v>
                </c:pt>
                <c:pt idx="26">
                  <c:v>0.20569620253164558</c:v>
                </c:pt>
                <c:pt idx="27">
                  <c:v>0.18611987381703471</c:v>
                </c:pt>
                <c:pt idx="28">
                  <c:v>0.421875</c:v>
                </c:pt>
                <c:pt idx="29">
                  <c:v>0.4</c:v>
                </c:pt>
                <c:pt idx="30">
                  <c:v>0.40277777777777779</c:v>
                </c:pt>
                <c:pt idx="31">
                  <c:v>0.66052631578947374</c:v>
                </c:pt>
                <c:pt idx="32">
                  <c:v>0.62894736842105259</c:v>
                </c:pt>
                <c:pt idx="33">
                  <c:v>0.6344827586206897</c:v>
                </c:pt>
                <c:pt idx="34">
                  <c:v>0.59174311926605505</c:v>
                </c:pt>
                <c:pt idx="35">
                  <c:v>0.49311926605504586</c:v>
                </c:pt>
                <c:pt idx="36">
                  <c:v>0.33157894736842103</c:v>
                </c:pt>
                <c:pt idx="37">
                  <c:v>0.23947368421052631</c:v>
                </c:pt>
                <c:pt idx="38">
                  <c:v>0.21578947368421053</c:v>
                </c:pt>
                <c:pt idx="39">
                  <c:v>0.22613065326633167</c:v>
                </c:pt>
                <c:pt idx="40">
                  <c:v>0.16582914572864321</c:v>
                </c:pt>
                <c:pt idx="41">
                  <c:v>0.13712374581939799</c:v>
                </c:pt>
                <c:pt idx="42">
                  <c:v>0.14548494983277591</c:v>
                </c:pt>
              </c:numCache>
            </c:numRef>
          </c:xVal>
          <c:yVal>
            <c:numRef>
              <c:f>N22Rahang!$A$2:$A$44</c:f>
              <c:numCache>
                <c:formatCode>0.0%</c:formatCode>
                <c:ptCount val="43"/>
                <c:pt idx="0">
                  <c:v>0.73793103448275865</c:v>
                </c:pt>
                <c:pt idx="1">
                  <c:v>0.73162939297124596</c:v>
                </c:pt>
                <c:pt idx="2">
                  <c:v>0.60270270270270265</c:v>
                </c:pt>
                <c:pt idx="3">
                  <c:v>0.77297297297297296</c:v>
                </c:pt>
                <c:pt idx="4">
                  <c:v>0.79435483870967738</c:v>
                </c:pt>
                <c:pt idx="5">
                  <c:v>0.61971830985915488</c:v>
                </c:pt>
                <c:pt idx="6">
                  <c:v>0.75</c:v>
                </c:pt>
                <c:pt idx="7">
                  <c:v>0.39473684210526316</c:v>
                </c:pt>
                <c:pt idx="8">
                  <c:v>0.59210526315789469</c:v>
                </c:pt>
                <c:pt idx="9">
                  <c:v>0.64736842105263159</c:v>
                </c:pt>
                <c:pt idx="10">
                  <c:v>0.66578947368421049</c:v>
                </c:pt>
                <c:pt idx="11">
                  <c:v>0.65313653136531369</c:v>
                </c:pt>
                <c:pt idx="12">
                  <c:v>0.64575645756457567</c:v>
                </c:pt>
                <c:pt idx="13">
                  <c:v>0.68450184501845024</c:v>
                </c:pt>
                <c:pt idx="14">
                  <c:v>0.53421052631578947</c:v>
                </c:pt>
                <c:pt idx="15">
                  <c:v>0.73421052631578942</c:v>
                </c:pt>
                <c:pt idx="16">
                  <c:v>0.8236842105263158</c:v>
                </c:pt>
                <c:pt idx="17">
                  <c:v>0.80263157894736847</c:v>
                </c:pt>
                <c:pt idx="18">
                  <c:v>0.84651162790697676</c:v>
                </c:pt>
                <c:pt idx="19">
                  <c:v>0.76744186046511631</c:v>
                </c:pt>
                <c:pt idx="20">
                  <c:v>0.77364341085271315</c:v>
                </c:pt>
                <c:pt idx="21">
                  <c:v>0.75937500000000002</c:v>
                </c:pt>
                <c:pt idx="22">
                  <c:v>0.81562500000000004</c:v>
                </c:pt>
                <c:pt idx="23">
                  <c:v>0.72318339100346019</c:v>
                </c:pt>
                <c:pt idx="24">
                  <c:v>0.77854671280276821</c:v>
                </c:pt>
                <c:pt idx="25">
                  <c:v>0.80310880829015541</c:v>
                </c:pt>
                <c:pt idx="26">
                  <c:v>0.73417721518987344</c:v>
                </c:pt>
                <c:pt idx="27">
                  <c:v>0.76025236593059942</c:v>
                </c:pt>
                <c:pt idx="28">
                  <c:v>0.61875000000000002</c:v>
                </c:pt>
                <c:pt idx="29">
                  <c:v>0.8</c:v>
                </c:pt>
                <c:pt idx="30">
                  <c:v>0.72222222222222221</c:v>
                </c:pt>
                <c:pt idx="31">
                  <c:v>0.56052631578947365</c:v>
                </c:pt>
                <c:pt idx="32">
                  <c:v>0.75789473684210529</c:v>
                </c:pt>
                <c:pt idx="33">
                  <c:v>0.75172413793103443</c:v>
                </c:pt>
                <c:pt idx="34">
                  <c:v>0.69495412844036697</c:v>
                </c:pt>
                <c:pt idx="35">
                  <c:v>0.74541284403669728</c:v>
                </c:pt>
                <c:pt idx="36">
                  <c:v>0.65</c:v>
                </c:pt>
                <c:pt idx="37">
                  <c:v>0.80263157894736847</c:v>
                </c:pt>
                <c:pt idx="38">
                  <c:v>0.82894736842105265</c:v>
                </c:pt>
                <c:pt idx="39">
                  <c:v>0.67169179229480735</c:v>
                </c:pt>
                <c:pt idx="40">
                  <c:v>0.70351758793969854</c:v>
                </c:pt>
                <c:pt idx="41">
                  <c:v>0.66220735785953178</c:v>
                </c:pt>
                <c:pt idx="42">
                  <c:v>0.76588628762541811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0A-47F5-85A9-633F89B24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07535"/>
        <c:axId val="1290842335"/>
      </c:scatterChart>
      <c:valAx>
        <c:axId val="121410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42335"/>
        <c:crosses val="autoZero"/>
        <c:crossBetween val="midCat"/>
      </c:valAx>
      <c:valAx>
        <c:axId val="12908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0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N22Rahang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43503937007874E-2"/>
                  <c:y val="0.199807524059492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N22Rahang!$G$2:$G$44</c:f>
              <c:numCache>
                <c:formatCode>0.0%</c:formatCode>
                <c:ptCount val="43"/>
                <c:pt idx="0">
                  <c:v>0.1</c:v>
                </c:pt>
                <c:pt idx="1">
                  <c:v>0.25878594249201275</c:v>
                </c:pt>
                <c:pt idx="2">
                  <c:v>0.15135135135135136</c:v>
                </c:pt>
                <c:pt idx="3">
                  <c:v>0.12702702702702703</c:v>
                </c:pt>
                <c:pt idx="4">
                  <c:v>0.16532258064516128</c:v>
                </c:pt>
                <c:pt idx="5">
                  <c:v>0.13380281690140844</c:v>
                </c:pt>
                <c:pt idx="6">
                  <c:v>0.16901408450704225</c:v>
                </c:pt>
                <c:pt idx="7">
                  <c:v>0.37368421052631579</c:v>
                </c:pt>
                <c:pt idx="8">
                  <c:v>0.37894736842105264</c:v>
                </c:pt>
                <c:pt idx="9">
                  <c:v>0.35526315789473684</c:v>
                </c:pt>
                <c:pt idx="10">
                  <c:v>0.39210526315789473</c:v>
                </c:pt>
                <c:pt idx="11">
                  <c:v>0.37822878228782286</c:v>
                </c:pt>
                <c:pt idx="12">
                  <c:v>0.40774907749077488</c:v>
                </c:pt>
                <c:pt idx="13">
                  <c:v>0.42066420664206644</c:v>
                </c:pt>
                <c:pt idx="14">
                  <c:v>2.8947368421052631E-2</c:v>
                </c:pt>
                <c:pt idx="15">
                  <c:v>4.2105263157894736E-2</c:v>
                </c:pt>
                <c:pt idx="16">
                  <c:v>0.05</c:v>
                </c:pt>
                <c:pt idx="17">
                  <c:v>2.6315789473684209E-2</c:v>
                </c:pt>
                <c:pt idx="18">
                  <c:v>2.7906976744186046E-2</c:v>
                </c:pt>
                <c:pt idx="19">
                  <c:v>4.0310077519379844E-2</c:v>
                </c:pt>
                <c:pt idx="20">
                  <c:v>6.0465116279069767E-2</c:v>
                </c:pt>
                <c:pt idx="21">
                  <c:v>0.121875</c:v>
                </c:pt>
                <c:pt idx="22">
                  <c:v>8.1250000000000003E-2</c:v>
                </c:pt>
                <c:pt idx="23">
                  <c:v>0.10207612456747404</c:v>
                </c:pt>
                <c:pt idx="24">
                  <c:v>5.8823529411764705E-2</c:v>
                </c:pt>
                <c:pt idx="25">
                  <c:v>7.7720207253886009E-2</c:v>
                </c:pt>
                <c:pt idx="26">
                  <c:v>0.24367088607594936</c:v>
                </c:pt>
                <c:pt idx="27">
                  <c:v>0.14826498422712933</c:v>
                </c:pt>
                <c:pt idx="28">
                  <c:v>0.45</c:v>
                </c:pt>
                <c:pt idx="29">
                  <c:v>0.42499999999999999</c:v>
                </c:pt>
                <c:pt idx="30">
                  <c:v>0.40509259259259262</c:v>
                </c:pt>
                <c:pt idx="31">
                  <c:v>0.24736842105263157</c:v>
                </c:pt>
                <c:pt idx="32">
                  <c:v>0.24473684210526317</c:v>
                </c:pt>
                <c:pt idx="33">
                  <c:v>0.23218390804597702</c:v>
                </c:pt>
                <c:pt idx="34">
                  <c:v>0.24082568807339449</c:v>
                </c:pt>
                <c:pt idx="35">
                  <c:v>0.19495412844036697</c:v>
                </c:pt>
                <c:pt idx="36">
                  <c:v>0.47368421052631576</c:v>
                </c:pt>
                <c:pt idx="37">
                  <c:v>0.5368421052631579</c:v>
                </c:pt>
                <c:pt idx="38">
                  <c:v>0.51315789473684215</c:v>
                </c:pt>
                <c:pt idx="39">
                  <c:v>0.2897822445561139</c:v>
                </c:pt>
                <c:pt idx="40">
                  <c:v>0.37520938023450584</c:v>
                </c:pt>
                <c:pt idx="41">
                  <c:v>0.39799331103678931</c:v>
                </c:pt>
                <c:pt idx="42">
                  <c:v>0.50334448160535117</c:v>
                </c:pt>
              </c:numCache>
            </c:numRef>
          </c:xVal>
          <c:yVal>
            <c:numRef>
              <c:f>N22Rahang!$A$2:$A$44</c:f>
              <c:numCache>
                <c:formatCode>0.0%</c:formatCode>
                <c:ptCount val="43"/>
                <c:pt idx="0">
                  <c:v>0.73793103448275865</c:v>
                </c:pt>
                <c:pt idx="1">
                  <c:v>0.73162939297124596</c:v>
                </c:pt>
                <c:pt idx="2">
                  <c:v>0.60270270270270265</c:v>
                </c:pt>
                <c:pt idx="3">
                  <c:v>0.77297297297297296</c:v>
                </c:pt>
                <c:pt idx="4">
                  <c:v>0.79435483870967738</c:v>
                </c:pt>
                <c:pt idx="5">
                  <c:v>0.61971830985915488</c:v>
                </c:pt>
                <c:pt idx="6">
                  <c:v>0.75</c:v>
                </c:pt>
                <c:pt idx="7">
                  <c:v>0.39473684210526316</c:v>
                </c:pt>
                <c:pt idx="8">
                  <c:v>0.59210526315789469</c:v>
                </c:pt>
                <c:pt idx="9">
                  <c:v>0.64736842105263159</c:v>
                </c:pt>
                <c:pt idx="10">
                  <c:v>0.66578947368421049</c:v>
                </c:pt>
                <c:pt idx="11">
                  <c:v>0.65313653136531369</c:v>
                </c:pt>
                <c:pt idx="12">
                  <c:v>0.64575645756457567</c:v>
                </c:pt>
                <c:pt idx="13">
                  <c:v>0.68450184501845024</c:v>
                </c:pt>
                <c:pt idx="14">
                  <c:v>0.53421052631578947</c:v>
                </c:pt>
                <c:pt idx="15">
                  <c:v>0.73421052631578942</c:v>
                </c:pt>
                <c:pt idx="16">
                  <c:v>0.8236842105263158</c:v>
                </c:pt>
                <c:pt idx="17">
                  <c:v>0.80263157894736847</c:v>
                </c:pt>
                <c:pt idx="18">
                  <c:v>0.84651162790697676</c:v>
                </c:pt>
                <c:pt idx="19">
                  <c:v>0.76744186046511631</c:v>
                </c:pt>
                <c:pt idx="20">
                  <c:v>0.77364341085271315</c:v>
                </c:pt>
                <c:pt idx="21">
                  <c:v>0.75937500000000002</c:v>
                </c:pt>
                <c:pt idx="22">
                  <c:v>0.81562500000000004</c:v>
                </c:pt>
                <c:pt idx="23">
                  <c:v>0.72318339100346019</c:v>
                </c:pt>
                <c:pt idx="24">
                  <c:v>0.77854671280276821</c:v>
                </c:pt>
                <c:pt idx="25">
                  <c:v>0.80310880829015541</c:v>
                </c:pt>
                <c:pt idx="26">
                  <c:v>0.73417721518987344</c:v>
                </c:pt>
                <c:pt idx="27">
                  <c:v>0.76025236593059942</c:v>
                </c:pt>
                <c:pt idx="28">
                  <c:v>0.61875000000000002</c:v>
                </c:pt>
                <c:pt idx="29">
                  <c:v>0.8</c:v>
                </c:pt>
                <c:pt idx="30">
                  <c:v>0.72222222222222221</c:v>
                </c:pt>
                <c:pt idx="31">
                  <c:v>0.56052631578947365</c:v>
                </c:pt>
                <c:pt idx="32">
                  <c:v>0.75789473684210529</c:v>
                </c:pt>
                <c:pt idx="33">
                  <c:v>0.75172413793103443</c:v>
                </c:pt>
                <c:pt idx="34">
                  <c:v>0.69495412844036697</c:v>
                </c:pt>
                <c:pt idx="35">
                  <c:v>0.74541284403669728</c:v>
                </c:pt>
                <c:pt idx="36">
                  <c:v>0.65</c:v>
                </c:pt>
                <c:pt idx="37">
                  <c:v>0.80263157894736847</c:v>
                </c:pt>
                <c:pt idx="38">
                  <c:v>0.82894736842105265</c:v>
                </c:pt>
                <c:pt idx="39">
                  <c:v>0.67169179229480735</c:v>
                </c:pt>
                <c:pt idx="40">
                  <c:v>0.70351758793969854</c:v>
                </c:pt>
                <c:pt idx="41">
                  <c:v>0.66220735785953178</c:v>
                </c:pt>
                <c:pt idx="42">
                  <c:v>0.76588628762541811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69-4739-8456-59DC51C0F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07535"/>
        <c:axId val="1290842335"/>
      </c:scatterChart>
      <c:valAx>
        <c:axId val="121410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42335"/>
        <c:crosses val="autoZero"/>
        <c:crossBetween val="midCat"/>
      </c:valAx>
      <c:valAx>
        <c:axId val="12908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0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N22Rahang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840769903762027E-2"/>
                  <c:y val="-0.328776246719160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N22Rahang!$E$2:$E$44</c:f>
              <c:numCache>
                <c:formatCode>0.0%</c:formatCode>
                <c:ptCount val="43"/>
                <c:pt idx="0">
                  <c:v>4.1379310344827586E-2</c:v>
                </c:pt>
                <c:pt idx="1">
                  <c:v>0.13738019169329074</c:v>
                </c:pt>
                <c:pt idx="2">
                  <c:v>2.9729729729729731E-2</c:v>
                </c:pt>
                <c:pt idx="3">
                  <c:v>4.0540540540540543E-2</c:v>
                </c:pt>
                <c:pt idx="4">
                  <c:v>0.18548387096774194</c:v>
                </c:pt>
                <c:pt idx="5">
                  <c:v>3.5211267605633804E-2</c:v>
                </c:pt>
                <c:pt idx="6">
                  <c:v>0.13732394366197184</c:v>
                </c:pt>
                <c:pt idx="7">
                  <c:v>6.5789473684210523E-2</c:v>
                </c:pt>
                <c:pt idx="8">
                  <c:v>6.3157894736842107E-2</c:v>
                </c:pt>
                <c:pt idx="9">
                  <c:v>0.10263157894736842</c:v>
                </c:pt>
                <c:pt idx="10">
                  <c:v>0.11315789473684211</c:v>
                </c:pt>
                <c:pt idx="11">
                  <c:v>0.14760147601476015</c:v>
                </c:pt>
                <c:pt idx="12">
                  <c:v>0.18450184501845018</c:v>
                </c:pt>
                <c:pt idx="13">
                  <c:v>0.22693726937269373</c:v>
                </c:pt>
                <c:pt idx="14">
                  <c:v>7.8947368421052634E-3</c:v>
                </c:pt>
                <c:pt idx="15">
                  <c:v>5.263157894736842E-3</c:v>
                </c:pt>
                <c:pt idx="16">
                  <c:v>2.631578947368421E-3</c:v>
                </c:pt>
                <c:pt idx="17">
                  <c:v>2.1052631578947368E-2</c:v>
                </c:pt>
                <c:pt idx="18">
                  <c:v>7.7519379844961239E-3</c:v>
                </c:pt>
                <c:pt idx="19">
                  <c:v>1.8604651162790697E-2</c:v>
                </c:pt>
                <c:pt idx="20">
                  <c:v>6.6666666666666666E-2</c:v>
                </c:pt>
                <c:pt idx="21">
                  <c:v>0.72812500000000002</c:v>
                </c:pt>
                <c:pt idx="22">
                  <c:v>0.82187500000000002</c:v>
                </c:pt>
                <c:pt idx="23">
                  <c:v>0.76297577854671284</c:v>
                </c:pt>
                <c:pt idx="24">
                  <c:v>0.88927335640138405</c:v>
                </c:pt>
                <c:pt idx="25">
                  <c:v>0.82210708117443865</c:v>
                </c:pt>
                <c:pt idx="26">
                  <c:v>0.54113924050632911</c:v>
                </c:pt>
                <c:pt idx="27">
                  <c:v>0.66561514195583593</c:v>
                </c:pt>
                <c:pt idx="28">
                  <c:v>8.4375000000000006E-2</c:v>
                </c:pt>
                <c:pt idx="29">
                  <c:v>0.11874999999999999</c:v>
                </c:pt>
                <c:pt idx="30">
                  <c:v>0.17824074074074073</c:v>
                </c:pt>
                <c:pt idx="31">
                  <c:v>7.1052631578947367E-2</c:v>
                </c:pt>
                <c:pt idx="32">
                  <c:v>0.11052631578947368</c:v>
                </c:pt>
                <c:pt idx="33">
                  <c:v>0.10344827586206896</c:v>
                </c:pt>
                <c:pt idx="34">
                  <c:v>0.15137614678899083</c:v>
                </c:pt>
                <c:pt idx="35">
                  <c:v>0.28669724770642202</c:v>
                </c:pt>
                <c:pt idx="36">
                  <c:v>0.1736842105263158</c:v>
                </c:pt>
                <c:pt idx="37">
                  <c:v>0.20263157894736841</c:v>
                </c:pt>
                <c:pt idx="38">
                  <c:v>0.24210526315789474</c:v>
                </c:pt>
                <c:pt idx="39">
                  <c:v>0.46231155778894473</c:v>
                </c:pt>
                <c:pt idx="40">
                  <c:v>0.43718592964824121</c:v>
                </c:pt>
                <c:pt idx="41">
                  <c:v>0.44816053511705684</c:v>
                </c:pt>
                <c:pt idx="42">
                  <c:v>0.3511705685618729</c:v>
                </c:pt>
              </c:numCache>
            </c:numRef>
          </c:xVal>
          <c:yVal>
            <c:numRef>
              <c:f>N22Rahang!$B$2:$B$44</c:f>
              <c:numCache>
                <c:formatCode>0.0%</c:formatCode>
                <c:ptCount val="43"/>
                <c:pt idx="0">
                  <c:v>0.90186915887850472</c:v>
                </c:pt>
                <c:pt idx="1">
                  <c:v>0.86899563318777295</c:v>
                </c:pt>
                <c:pt idx="2">
                  <c:v>0.86098654708520184</c:v>
                </c:pt>
                <c:pt idx="3">
                  <c:v>0.91958041958041958</c:v>
                </c:pt>
                <c:pt idx="4">
                  <c:v>0.79441624365482233</c:v>
                </c:pt>
                <c:pt idx="5">
                  <c:v>0.90340909090909094</c:v>
                </c:pt>
                <c:pt idx="6">
                  <c:v>0.8779342723004695</c:v>
                </c:pt>
                <c:pt idx="7">
                  <c:v>0.80666666666666664</c:v>
                </c:pt>
                <c:pt idx="8">
                  <c:v>0.84444444444444444</c:v>
                </c:pt>
                <c:pt idx="9">
                  <c:v>0.7967479674796748</c:v>
                </c:pt>
                <c:pt idx="10">
                  <c:v>0.83399209486166004</c:v>
                </c:pt>
                <c:pt idx="11">
                  <c:v>0.80790960451977401</c:v>
                </c:pt>
                <c:pt idx="12">
                  <c:v>0.82</c:v>
                </c:pt>
                <c:pt idx="13">
                  <c:v>0.80323450134770891</c:v>
                </c:pt>
                <c:pt idx="14">
                  <c:v>0.79802955665024633</c:v>
                </c:pt>
                <c:pt idx="15">
                  <c:v>0.86738351254480284</c:v>
                </c:pt>
                <c:pt idx="16">
                  <c:v>0.89456869009584661</c:v>
                </c:pt>
                <c:pt idx="17">
                  <c:v>0.89836065573770496</c:v>
                </c:pt>
                <c:pt idx="18">
                  <c:v>0.94871794871794868</c:v>
                </c:pt>
                <c:pt idx="19">
                  <c:v>0.95151515151515154</c:v>
                </c:pt>
                <c:pt idx="20">
                  <c:v>0.92585170340681366</c:v>
                </c:pt>
                <c:pt idx="21">
                  <c:v>0.3991769547325103</c:v>
                </c:pt>
                <c:pt idx="22">
                  <c:v>0.37164750957854409</c:v>
                </c:pt>
                <c:pt idx="23">
                  <c:v>0.36842105263157893</c:v>
                </c:pt>
                <c:pt idx="24">
                  <c:v>0.36666666666666664</c:v>
                </c:pt>
                <c:pt idx="25">
                  <c:v>0.46666666666666667</c:v>
                </c:pt>
                <c:pt idx="26">
                  <c:v>0.49137931034482757</c:v>
                </c:pt>
                <c:pt idx="27">
                  <c:v>0.49377593360995853</c:v>
                </c:pt>
                <c:pt idx="28">
                  <c:v>0.86868686868686873</c:v>
                </c:pt>
                <c:pt idx="29">
                  <c:v>0.8515625</c:v>
                </c:pt>
                <c:pt idx="30">
                  <c:v>0.82371794871794868</c:v>
                </c:pt>
                <c:pt idx="31">
                  <c:v>0.84507042253521125</c:v>
                </c:pt>
                <c:pt idx="32">
                  <c:v>0.85416666666666663</c:v>
                </c:pt>
                <c:pt idx="33">
                  <c:v>0.83486238532110091</c:v>
                </c:pt>
                <c:pt idx="34">
                  <c:v>0.81188118811881194</c:v>
                </c:pt>
                <c:pt idx="35">
                  <c:v>0.71692307692307689</c:v>
                </c:pt>
                <c:pt idx="36">
                  <c:v>0.68016194331983804</c:v>
                </c:pt>
                <c:pt idx="37">
                  <c:v>0.74426229508196717</c:v>
                </c:pt>
                <c:pt idx="38">
                  <c:v>0.68571428571428572</c:v>
                </c:pt>
                <c:pt idx="39">
                  <c:v>0.55860349127182041</c:v>
                </c:pt>
                <c:pt idx="40">
                  <c:v>0.64523809523809528</c:v>
                </c:pt>
                <c:pt idx="41">
                  <c:v>0.67929292929292928</c:v>
                </c:pt>
                <c:pt idx="42">
                  <c:v>0.72270742358078599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7F-4471-81A0-1D95BEC55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07535"/>
        <c:axId val="1290842335"/>
      </c:scatterChart>
      <c:valAx>
        <c:axId val="121410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42335"/>
        <c:crosses val="autoZero"/>
        <c:crossBetween val="midCat"/>
      </c:valAx>
      <c:valAx>
        <c:axId val="12908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0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N22Rahang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276968503937008"/>
                  <c:y val="0.239355861767279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N22Rahang!$F$2:$F$44</c:f>
              <c:numCache>
                <c:formatCode>0.0%</c:formatCode>
                <c:ptCount val="43"/>
                <c:pt idx="0">
                  <c:v>0.85172413793103452</c:v>
                </c:pt>
                <c:pt idx="1">
                  <c:v>0.60383386581469645</c:v>
                </c:pt>
                <c:pt idx="2">
                  <c:v>0.81081081081081086</c:v>
                </c:pt>
                <c:pt idx="3">
                  <c:v>0.82432432432432434</c:v>
                </c:pt>
                <c:pt idx="4">
                  <c:v>0.64314516129032262</c:v>
                </c:pt>
                <c:pt idx="5">
                  <c:v>0.81690140845070425</c:v>
                </c:pt>
                <c:pt idx="6">
                  <c:v>0.68661971830985913</c:v>
                </c:pt>
                <c:pt idx="7">
                  <c:v>0.50263157894736843</c:v>
                </c:pt>
                <c:pt idx="8">
                  <c:v>0.52368421052631575</c:v>
                </c:pt>
                <c:pt idx="9">
                  <c:v>0.52105263157894732</c:v>
                </c:pt>
                <c:pt idx="10">
                  <c:v>0.47368421052631576</c:v>
                </c:pt>
                <c:pt idx="11">
                  <c:v>0.45018450184501846</c:v>
                </c:pt>
                <c:pt idx="12">
                  <c:v>0.4059040590405904</c:v>
                </c:pt>
                <c:pt idx="13">
                  <c:v>0.34870848708487084</c:v>
                </c:pt>
                <c:pt idx="14">
                  <c:v>0.95789473684210524</c:v>
                </c:pt>
                <c:pt idx="15">
                  <c:v>0.94736842105263153</c:v>
                </c:pt>
                <c:pt idx="16">
                  <c:v>0.94210526315789478</c:v>
                </c:pt>
                <c:pt idx="17">
                  <c:v>0.95</c:v>
                </c:pt>
                <c:pt idx="18">
                  <c:v>0.96279069767441861</c:v>
                </c:pt>
                <c:pt idx="19">
                  <c:v>0.94108527131782949</c:v>
                </c:pt>
                <c:pt idx="20">
                  <c:v>0.87131782945736436</c:v>
                </c:pt>
                <c:pt idx="21">
                  <c:v>0.140625</c:v>
                </c:pt>
                <c:pt idx="22">
                  <c:v>8.7499999999999994E-2</c:v>
                </c:pt>
                <c:pt idx="23">
                  <c:v>0.13148788927335639</c:v>
                </c:pt>
                <c:pt idx="24">
                  <c:v>5.1903114186851208E-2</c:v>
                </c:pt>
                <c:pt idx="25">
                  <c:v>9.8445595854922283E-2</c:v>
                </c:pt>
                <c:pt idx="26">
                  <c:v>0.20569620253164558</c:v>
                </c:pt>
                <c:pt idx="27">
                  <c:v>0.18611987381703471</c:v>
                </c:pt>
                <c:pt idx="28">
                  <c:v>0.421875</c:v>
                </c:pt>
                <c:pt idx="29">
                  <c:v>0.4</c:v>
                </c:pt>
                <c:pt idx="30">
                  <c:v>0.40277777777777779</c:v>
                </c:pt>
                <c:pt idx="31">
                  <c:v>0.66052631578947374</c:v>
                </c:pt>
                <c:pt idx="32">
                  <c:v>0.62894736842105259</c:v>
                </c:pt>
                <c:pt idx="33">
                  <c:v>0.6344827586206897</c:v>
                </c:pt>
                <c:pt idx="34">
                  <c:v>0.59174311926605505</c:v>
                </c:pt>
                <c:pt idx="35">
                  <c:v>0.49311926605504586</c:v>
                </c:pt>
                <c:pt idx="36">
                  <c:v>0.33157894736842103</c:v>
                </c:pt>
                <c:pt idx="37">
                  <c:v>0.23947368421052631</c:v>
                </c:pt>
                <c:pt idx="38">
                  <c:v>0.21578947368421053</c:v>
                </c:pt>
                <c:pt idx="39">
                  <c:v>0.22613065326633167</c:v>
                </c:pt>
                <c:pt idx="40">
                  <c:v>0.16582914572864321</c:v>
                </c:pt>
                <c:pt idx="41">
                  <c:v>0.13712374581939799</c:v>
                </c:pt>
                <c:pt idx="42">
                  <c:v>0.14548494983277591</c:v>
                </c:pt>
              </c:numCache>
            </c:numRef>
          </c:xVal>
          <c:yVal>
            <c:numRef>
              <c:f>N22Rahang!$B$2:$B$44</c:f>
              <c:numCache>
                <c:formatCode>0.0%</c:formatCode>
                <c:ptCount val="43"/>
                <c:pt idx="0">
                  <c:v>0.90186915887850472</c:v>
                </c:pt>
                <c:pt idx="1">
                  <c:v>0.86899563318777295</c:v>
                </c:pt>
                <c:pt idx="2">
                  <c:v>0.86098654708520184</c:v>
                </c:pt>
                <c:pt idx="3">
                  <c:v>0.91958041958041958</c:v>
                </c:pt>
                <c:pt idx="4">
                  <c:v>0.79441624365482233</c:v>
                </c:pt>
                <c:pt idx="5">
                  <c:v>0.90340909090909094</c:v>
                </c:pt>
                <c:pt idx="6">
                  <c:v>0.8779342723004695</c:v>
                </c:pt>
                <c:pt idx="7">
                  <c:v>0.80666666666666664</c:v>
                </c:pt>
                <c:pt idx="8">
                  <c:v>0.84444444444444444</c:v>
                </c:pt>
                <c:pt idx="9">
                  <c:v>0.7967479674796748</c:v>
                </c:pt>
                <c:pt idx="10">
                  <c:v>0.83399209486166004</c:v>
                </c:pt>
                <c:pt idx="11">
                  <c:v>0.80790960451977401</c:v>
                </c:pt>
                <c:pt idx="12">
                  <c:v>0.82</c:v>
                </c:pt>
                <c:pt idx="13">
                  <c:v>0.80323450134770891</c:v>
                </c:pt>
                <c:pt idx="14">
                  <c:v>0.79802955665024633</c:v>
                </c:pt>
                <c:pt idx="15">
                  <c:v>0.86738351254480284</c:v>
                </c:pt>
                <c:pt idx="16">
                  <c:v>0.89456869009584661</c:v>
                </c:pt>
                <c:pt idx="17">
                  <c:v>0.89836065573770496</c:v>
                </c:pt>
                <c:pt idx="18">
                  <c:v>0.94871794871794868</c:v>
                </c:pt>
                <c:pt idx="19">
                  <c:v>0.95151515151515154</c:v>
                </c:pt>
                <c:pt idx="20">
                  <c:v>0.92585170340681366</c:v>
                </c:pt>
                <c:pt idx="21">
                  <c:v>0.3991769547325103</c:v>
                </c:pt>
                <c:pt idx="22">
                  <c:v>0.37164750957854409</c:v>
                </c:pt>
                <c:pt idx="23">
                  <c:v>0.36842105263157893</c:v>
                </c:pt>
                <c:pt idx="24">
                  <c:v>0.36666666666666664</c:v>
                </c:pt>
                <c:pt idx="25">
                  <c:v>0.46666666666666667</c:v>
                </c:pt>
                <c:pt idx="26">
                  <c:v>0.49137931034482757</c:v>
                </c:pt>
                <c:pt idx="27">
                  <c:v>0.49377593360995853</c:v>
                </c:pt>
                <c:pt idx="28">
                  <c:v>0.86868686868686873</c:v>
                </c:pt>
                <c:pt idx="29">
                  <c:v>0.8515625</c:v>
                </c:pt>
                <c:pt idx="30">
                  <c:v>0.82371794871794868</c:v>
                </c:pt>
                <c:pt idx="31">
                  <c:v>0.84507042253521125</c:v>
                </c:pt>
                <c:pt idx="32">
                  <c:v>0.85416666666666663</c:v>
                </c:pt>
                <c:pt idx="33">
                  <c:v>0.83486238532110091</c:v>
                </c:pt>
                <c:pt idx="34">
                  <c:v>0.81188118811881194</c:v>
                </c:pt>
                <c:pt idx="35">
                  <c:v>0.71692307692307689</c:v>
                </c:pt>
                <c:pt idx="36">
                  <c:v>0.68016194331983804</c:v>
                </c:pt>
                <c:pt idx="37">
                  <c:v>0.74426229508196717</c:v>
                </c:pt>
                <c:pt idx="38">
                  <c:v>0.68571428571428572</c:v>
                </c:pt>
                <c:pt idx="39">
                  <c:v>0.55860349127182041</c:v>
                </c:pt>
                <c:pt idx="40">
                  <c:v>0.64523809523809528</c:v>
                </c:pt>
                <c:pt idx="41">
                  <c:v>0.67929292929292928</c:v>
                </c:pt>
                <c:pt idx="42">
                  <c:v>0.72270742358078599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DF-49AA-8FD0-E99AD5D86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07535"/>
        <c:axId val="1290842335"/>
      </c:scatterChart>
      <c:valAx>
        <c:axId val="121410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42335"/>
        <c:crosses val="autoZero"/>
        <c:crossBetween val="midCat"/>
      </c:valAx>
      <c:valAx>
        <c:axId val="12908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0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N22Rahang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276968503937008"/>
                  <c:y val="0.239355861767279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N22Rahang!$G$2:$G$44</c:f>
              <c:numCache>
                <c:formatCode>0.0%</c:formatCode>
                <c:ptCount val="43"/>
                <c:pt idx="0">
                  <c:v>0.1</c:v>
                </c:pt>
                <c:pt idx="1">
                  <c:v>0.25878594249201275</c:v>
                </c:pt>
                <c:pt idx="2">
                  <c:v>0.15135135135135136</c:v>
                </c:pt>
                <c:pt idx="3">
                  <c:v>0.12702702702702703</c:v>
                </c:pt>
                <c:pt idx="4">
                  <c:v>0.16532258064516128</c:v>
                </c:pt>
                <c:pt idx="5">
                  <c:v>0.13380281690140844</c:v>
                </c:pt>
                <c:pt idx="6">
                  <c:v>0.16901408450704225</c:v>
                </c:pt>
                <c:pt idx="7">
                  <c:v>0.37368421052631579</c:v>
                </c:pt>
                <c:pt idx="8">
                  <c:v>0.37894736842105264</c:v>
                </c:pt>
                <c:pt idx="9">
                  <c:v>0.35526315789473684</c:v>
                </c:pt>
                <c:pt idx="10">
                  <c:v>0.39210526315789473</c:v>
                </c:pt>
                <c:pt idx="11">
                  <c:v>0.37822878228782286</c:v>
                </c:pt>
                <c:pt idx="12">
                  <c:v>0.40774907749077488</c:v>
                </c:pt>
                <c:pt idx="13">
                  <c:v>0.42066420664206644</c:v>
                </c:pt>
                <c:pt idx="14">
                  <c:v>2.8947368421052631E-2</c:v>
                </c:pt>
                <c:pt idx="15">
                  <c:v>4.2105263157894736E-2</c:v>
                </c:pt>
                <c:pt idx="16">
                  <c:v>0.05</c:v>
                </c:pt>
                <c:pt idx="17">
                  <c:v>2.6315789473684209E-2</c:v>
                </c:pt>
                <c:pt idx="18">
                  <c:v>2.7906976744186046E-2</c:v>
                </c:pt>
                <c:pt idx="19">
                  <c:v>4.0310077519379844E-2</c:v>
                </c:pt>
                <c:pt idx="20">
                  <c:v>6.0465116279069767E-2</c:v>
                </c:pt>
                <c:pt idx="21">
                  <c:v>0.121875</c:v>
                </c:pt>
                <c:pt idx="22">
                  <c:v>8.1250000000000003E-2</c:v>
                </c:pt>
                <c:pt idx="23">
                  <c:v>0.10207612456747404</c:v>
                </c:pt>
                <c:pt idx="24">
                  <c:v>5.8823529411764705E-2</c:v>
                </c:pt>
                <c:pt idx="25">
                  <c:v>7.7720207253886009E-2</c:v>
                </c:pt>
                <c:pt idx="26">
                  <c:v>0.24367088607594936</c:v>
                </c:pt>
                <c:pt idx="27">
                  <c:v>0.14826498422712933</c:v>
                </c:pt>
                <c:pt idx="28">
                  <c:v>0.45</c:v>
                </c:pt>
                <c:pt idx="29">
                  <c:v>0.42499999999999999</c:v>
                </c:pt>
                <c:pt idx="30">
                  <c:v>0.40509259259259262</c:v>
                </c:pt>
                <c:pt idx="31">
                  <c:v>0.24736842105263157</c:v>
                </c:pt>
                <c:pt idx="32">
                  <c:v>0.24473684210526317</c:v>
                </c:pt>
                <c:pt idx="33">
                  <c:v>0.23218390804597702</c:v>
                </c:pt>
                <c:pt idx="34">
                  <c:v>0.24082568807339449</c:v>
                </c:pt>
                <c:pt idx="35">
                  <c:v>0.19495412844036697</c:v>
                </c:pt>
                <c:pt idx="36">
                  <c:v>0.47368421052631576</c:v>
                </c:pt>
                <c:pt idx="37">
                  <c:v>0.5368421052631579</c:v>
                </c:pt>
                <c:pt idx="38">
                  <c:v>0.51315789473684215</c:v>
                </c:pt>
                <c:pt idx="39">
                  <c:v>0.2897822445561139</c:v>
                </c:pt>
                <c:pt idx="40">
                  <c:v>0.37520938023450584</c:v>
                </c:pt>
                <c:pt idx="41">
                  <c:v>0.39799331103678931</c:v>
                </c:pt>
                <c:pt idx="42">
                  <c:v>0.50334448160535117</c:v>
                </c:pt>
              </c:numCache>
            </c:numRef>
          </c:xVal>
          <c:yVal>
            <c:numRef>
              <c:f>N22Rahang!$B$2:$B$44</c:f>
              <c:numCache>
                <c:formatCode>0.0%</c:formatCode>
                <c:ptCount val="43"/>
                <c:pt idx="0">
                  <c:v>0.90186915887850472</c:v>
                </c:pt>
                <c:pt idx="1">
                  <c:v>0.86899563318777295</c:v>
                </c:pt>
                <c:pt idx="2">
                  <c:v>0.86098654708520184</c:v>
                </c:pt>
                <c:pt idx="3">
                  <c:v>0.91958041958041958</c:v>
                </c:pt>
                <c:pt idx="4">
                  <c:v>0.79441624365482233</c:v>
                </c:pt>
                <c:pt idx="5">
                  <c:v>0.90340909090909094</c:v>
                </c:pt>
                <c:pt idx="6">
                  <c:v>0.8779342723004695</c:v>
                </c:pt>
                <c:pt idx="7">
                  <c:v>0.80666666666666664</c:v>
                </c:pt>
                <c:pt idx="8">
                  <c:v>0.84444444444444444</c:v>
                </c:pt>
                <c:pt idx="9">
                  <c:v>0.7967479674796748</c:v>
                </c:pt>
                <c:pt idx="10">
                  <c:v>0.83399209486166004</c:v>
                </c:pt>
                <c:pt idx="11">
                  <c:v>0.80790960451977401</c:v>
                </c:pt>
                <c:pt idx="12">
                  <c:v>0.82</c:v>
                </c:pt>
                <c:pt idx="13">
                  <c:v>0.80323450134770891</c:v>
                </c:pt>
                <c:pt idx="14">
                  <c:v>0.79802955665024633</c:v>
                </c:pt>
                <c:pt idx="15">
                  <c:v>0.86738351254480284</c:v>
                </c:pt>
                <c:pt idx="16">
                  <c:v>0.89456869009584661</c:v>
                </c:pt>
                <c:pt idx="17">
                  <c:v>0.89836065573770496</c:v>
                </c:pt>
                <c:pt idx="18">
                  <c:v>0.94871794871794868</c:v>
                </c:pt>
                <c:pt idx="19">
                  <c:v>0.95151515151515154</c:v>
                </c:pt>
                <c:pt idx="20">
                  <c:v>0.92585170340681366</c:v>
                </c:pt>
                <c:pt idx="21">
                  <c:v>0.3991769547325103</c:v>
                </c:pt>
                <c:pt idx="22">
                  <c:v>0.37164750957854409</c:v>
                </c:pt>
                <c:pt idx="23">
                  <c:v>0.36842105263157893</c:v>
                </c:pt>
                <c:pt idx="24">
                  <c:v>0.36666666666666664</c:v>
                </c:pt>
                <c:pt idx="25">
                  <c:v>0.46666666666666667</c:v>
                </c:pt>
                <c:pt idx="26">
                  <c:v>0.49137931034482757</c:v>
                </c:pt>
                <c:pt idx="27">
                  <c:v>0.49377593360995853</c:v>
                </c:pt>
                <c:pt idx="28">
                  <c:v>0.86868686868686873</c:v>
                </c:pt>
                <c:pt idx="29">
                  <c:v>0.8515625</c:v>
                </c:pt>
                <c:pt idx="30">
                  <c:v>0.82371794871794868</c:v>
                </c:pt>
                <c:pt idx="31">
                  <c:v>0.84507042253521125</c:v>
                </c:pt>
                <c:pt idx="32">
                  <c:v>0.85416666666666663</c:v>
                </c:pt>
                <c:pt idx="33">
                  <c:v>0.83486238532110091</c:v>
                </c:pt>
                <c:pt idx="34">
                  <c:v>0.81188118811881194</c:v>
                </c:pt>
                <c:pt idx="35">
                  <c:v>0.71692307692307689</c:v>
                </c:pt>
                <c:pt idx="36">
                  <c:v>0.68016194331983804</c:v>
                </c:pt>
                <c:pt idx="37">
                  <c:v>0.74426229508196717</c:v>
                </c:pt>
                <c:pt idx="38">
                  <c:v>0.68571428571428572</c:v>
                </c:pt>
                <c:pt idx="39">
                  <c:v>0.55860349127182041</c:v>
                </c:pt>
                <c:pt idx="40">
                  <c:v>0.64523809523809528</c:v>
                </c:pt>
                <c:pt idx="41">
                  <c:v>0.67929292929292928</c:v>
                </c:pt>
                <c:pt idx="42">
                  <c:v>0.72270742358078599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84-4ECF-8A7F-512C98464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107535"/>
        <c:axId val="1290842335"/>
      </c:scatterChart>
      <c:valAx>
        <c:axId val="121410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42335"/>
        <c:crosses val="autoZero"/>
        <c:crossBetween val="midCat"/>
      </c:valAx>
      <c:valAx>
        <c:axId val="12908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0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N23Mambau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645231846019247E-2"/>
                  <c:y val="0.136612350539515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N23Mambau!$E$2:$E$57</c:f>
              <c:numCache>
                <c:formatCode>0.0%</c:formatCode>
                <c:ptCount val="56"/>
                <c:pt idx="0">
                  <c:v>0.12105263157894737</c:v>
                </c:pt>
                <c:pt idx="1">
                  <c:v>0.12631578947368421</c:v>
                </c:pt>
                <c:pt idx="2">
                  <c:v>0.10526315789473684</c:v>
                </c:pt>
                <c:pt idx="3">
                  <c:v>8.387096774193549E-2</c:v>
                </c:pt>
                <c:pt idx="4">
                  <c:v>0.10466988727858294</c:v>
                </c:pt>
                <c:pt idx="5">
                  <c:v>0.1320450885668277</c:v>
                </c:pt>
                <c:pt idx="6">
                  <c:v>0.51081081081081081</c:v>
                </c:pt>
                <c:pt idx="7">
                  <c:v>0.44289044289044288</c:v>
                </c:pt>
                <c:pt idx="8">
                  <c:v>0.82983682983682983</c:v>
                </c:pt>
                <c:pt idx="9">
                  <c:v>0.13421052631578947</c:v>
                </c:pt>
                <c:pt idx="10">
                  <c:v>0.1</c:v>
                </c:pt>
                <c:pt idx="11">
                  <c:v>0.10526315789473684</c:v>
                </c:pt>
                <c:pt idx="12">
                  <c:v>0.12542372881355932</c:v>
                </c:pt>
                <c:pt idx="13">
                  <c:v>0.13728813559322034</c:v>
                </c:pt>
                <c:pt idx="14">
                  <c:v>0.1440677966101695</c:v>
                </c:pt>
                <c:pt idx="15">
                  <c:v>8.2500000000000004E-2</c:v>
                </c:pt>
                <c:pt idx="16">
                  <c:v>0.24172185430463577</c:v>
                </c:pt>
                <c:pt idx="17">
                  <c:v>0.14594594594594595</c:v>
                </c:pt>
                <c:pt idx="18">
                  <c:v>0.13783783783783785</c:v>
                </c:pt>
                <c:pt idx="19">
                  <c:v>0.1864864864864865</c:v>
                </c:pt>
                <c:pt idx="20">
                  <c:v>0.22432432432432434</c:v>
                </c:pt>
                <c:pt idx="21">
                  <c:v>0.13243243243243244</c:v>
                </c:pt>
                <c:pt idx="22">
                  <c:v>0.15945945945945947</c:v>
                </c:pt>
                <c:pt idx="23">
                  <c:v>0.11081081081081082</c:v>
                </c:pt>
                <c:pt idx="24">
                  <c:v>9.9815157116451017E-2</c:v>
                </c:pt>
                <c:pt idx="25">
                  <c:v>0.11645101663585952</c:v>
                </c:pt>
                <c:pt idx="26">
                  <c:v>0.14048059149722736</c:v>
                </c:pt>
                <c:pt idx="27">
                  <c:v>0.18299445471349354</c:v>
                </c:pt>
                <c:pt idx="28">
                  <c:v>0.21996303142329021</c:v>
                </c:pt>
                <c:pt idx="29">
                  <c:v>0.22181146025878004</c:v>
                </c:pt>
                <c:pt idx="30">
                  <c:v>0.27171903881700554</c:v>
                </c:pt>
                <c:pt idx="31">
                  <c:v>0.30073800738007378</c:v>
                </c:pt>
                <c:pt idx="32">
                  <c:v>0.28782287822878228</c:v>
                </c:pt>
                <c:pt idx="33">
                  <c:v>0.26568265682656828</c:v>
                </c:pt>
                <c:pt idx="34">
                  <c:v>0.21771217712177121</c:v>
                </c:pt>
                <c:pt idx="35">
                  <c:v>0.22878228782287824</c:v>
                </c:pt>
                <c:pt idx="36">
                  <c:v>0.29520295202952029</c:v>
                </c:pt>
                <c:pt idx="37">
                  <c:v>0.13111111111111112</c:v>
                </c:pt>
                <c:pt idx="38">
                  <c:v>0.15901639344262294</c:v>
                </c:pt>
                <c:pt idx="39">
                  <c:v>0.24549918166939444</c:v>
                </c:pt>
                <c:pt idx="40">
                  <c:v>2.368421052631579E-2</c:v>
                </c:pt>
                <c:pt idx="41">
                  <c:v>2.1052631578947368E-2</c:v>
                </c:pt>
                <c:pt idx="42">
                  <c:v>2.6315789473684209E-2</c:v>
                </c:pt>
                <c:pt idx="43">
                  <c:v>7.2568940493468797E-3</c:v>
                </c:pt>
                <c:pt idx="44">
                  <c:v>2.0319303338171262E-2</c:v>
                </c:pt>
                <c:pt idx="45">
                  <c:v>3.6284470246734396E-2</c:v>
                </c:pt>
                <c:pt idx="46">
                  <c:v>4.2089985486211901E-2</c:v>
                </c:pt>
                <c:pt idx="47">
                  <c:v>3.483309143686502E-2</c:v>
                </c:pt>
                <c:pt idx="48">
                  <c:v>3.0478955007256895E-2</c:v>
                </c:pt>
                <c:pt idx="49">
                  <c:v>3.3381712626995644E-2</c:v>
                </c:pt>
                <c:pt idx="50">
                  <c:v>2.6315789473684209E-2</c:v>
                </c:pt>
                <c:pt idx="51">
                  <c:v>3.1578947368421054E-2</c:v>
                </c:pt>
                <c:pt idx="52">
                  <c:v>3.2208588957055216E-2</c:v>
                </c:pt>
                <c:pt idx="53">
                  <c:v>4.4478527607361963E-2</c:v>
                </c:pt>
                <c:pt idx="54">
                  <c:v>7.6687116564417179E-2</c:v>
                </c:pt>
                <c:pt idx="55">
                  <c:v>8.4355828220858894E-2</c:v>
                </c:pt>
              </c:numCache>
            </c:numRef>
          </c:xVal>
          <c:yVal>
            <c:numRef>
              <c:f>N23Mambau!$A$2:$A$57</c:f>
              <c:numCache>
                <c:formatCode>0.0%</c:formatCode>
                <c:ptCount val="56"/>
                <c:pt idx="0">
                  <c:v>0.70263157894736838</c:v>
                </c:pt>
                <c:pt idx="1">
                  <c:v>0.85263157894736841</c:v>
                </c:pt>
                <c:pt idx="2">
                  <c:v>0.85526315789473684</c:v>
                </c:pt>
                <c:pt idx="3">
                  <c:v>0.82741935483870965</c:v>
                </c:pt>
                <c:pt idx="4">
                  <c:v>0.73913043478260865</c:v>
                </c:pt>
                <c:pt idx="5">
                  <c:v>0.77777777777777779</c:v>
                </c:pt>
                <c:pt idx="6">
                  <c:v>0.76756756756756761</c:v>
                </c:pt>
                <c:pt idx="7">
                  <c:v>0.79953379953379955</c:v>
                </c:pt>
                <c:pt idx="8">
                  <c:v>0.75524475524475521</c:v>
                </c:pt>
                <c:pt idx="9">
                  <c:v>0.67368421052631577</c:v>
                </c:pt>
                <c:pt idx="10">
                  <c:v>0.74473684210526314</c:v>
                </c:pt>
                <c:pt idx="11">
                  <c:v>0.77631578947368418</c:v>
                </c:pt>
                <c:pt idx="12">
                  <c:v>0.7593220338983051</c:v>
                </c:pt>
                <c:pt idx="13">
                  <c:v>0.71016949152542375</c:v>
                </c:pt>
                <c:pt idx="14">
                  <c:v>0.7220338983050848</c:v>
                </c:pt>
                <c:pt idx="15">
                  <c:v>0.745</c:v>
                </c:pt>
                <c:pt idx="16">
                  <c:v>0.70529801324503316</c:v>
                </c:pt>
                <c:pt idx="17">
                  <c:v>0.51621621621621616</c:v>
                </c:pt>
                <c:pt idx="18">
                  <c:v>0.76486486486486482</c:v>
                </c:pt>
                <c:pt idx="19">
                  <c:v>0.79459459459459458</c:v>
                </c:pt>
                <c:pt idx="20">
                  <c:v>0.80270270270270272</c:v>
                </c:pt>
                <c:pt idx="21">
                  <c:v>0.81351351351351353</c:v>
                </c:pt>
                <c:pt idx="22">
                  <c:v>0.8</c:v>
                </c:pt>
                <c:pt idx="23">
                  <c:v>0.79459459459459458</c:v>
                </c:pt>
                <c:pt idx="24">
                  <c:v>0.80221811460258785</c:v>
                </c:pt>
                <c:pt idx="25">
                  <c:v>0.78743068391866911</c:v>
                </c:pt>
                <c:pt idx="26">
                  <c:v>0.7837338262476895</c:v>
                </c:pt>
                <c:pt idx="27">
                  <c:v>0.74306839186691309</c:v>
                </c:pt>
                <c:pt idx="28">
                  <c:v>0.72828096118299446</c:v>
                </c:pt>
                <c:pt idx="29">
                  <c:v>0.74676524953789281</c:v>
                </c:pt>
                <c:pt idx="30">
                  <c:v>0.72088724584103514</c:v>
                </c:pt>
                <c:pt idx="31">
                  <c:v>0.7140221402214022</c:v>
                </c:pt>
                <c:pt idx="32">
                  <c:v>0.71771217712177127</c:v>
                </c:pt>
                <c:pt idx="33">
                  <c:v>0.72509225092250917</c:v>
                </c:pt>
                <c:pt idx="34">
                  <c:v>0.77121771217712176</c:v>
                </c:pt>
                <c:pt idx="35">
                  <c:v>0.79151291512915134</c:v>
                </c:pt>
                <c:pt idx="36">
                  <c:v>0.83210332103321039</c:v>
                </c:pt>
                <c:pt idx="37">
                  <c:v>0.75555555555555554</c:v>
                </c:pt>
                <c:pt idx="38">
                  <c:v>0.73606557377049175</c:v>
                </c:pt>
                <c:pt idx="39">
                  <c:v>0.76104746317512273</c:v>
                </c:pt>
                <c:pt idx="40">
                  <c:v>0.61315789473684212</c:v>
                </c:pt>
                <c:pt idx="41">
                  <c:v>0.78421052631578947</c:v>
                </c:pt>
                <c:pt idx="42">
                  <c:v>0.76842105263157889</c:v>
                </c:pt>
                <c:pt idx="43">
                  <c:v>0.75036284470246739</c:v>
                </c:pt>
                <c:pt idx="44">
                  <c:v>0.75181422351233673</c:v>
                </c:pt>
                <c:pt idx="45">
                  <c:v>0.70101596516690856</c:v>
                </c:pt>
                <c:pt idx="46">
                  <c:v>0.72568940493468792</c:v>
                </c:pt>
                <c:pt idx="47">
                  <c:v>0.68650217706821481</c:v>
                </c:pt>
                <c:pt idx="48">
                  <c:v>0.75907111756168355</c:v>
                </c:pt>
                <c:pt idx="49">
                  <c:v>0.81567489114658931</c:v>
                </c:pt>
                <c:pt idx="50">
                  <c:v>0.73157894736842111</c:v>
                </c:pt>
                <c:pt idx="51">
                  <c:v>0.84210526315789469</c:v>
                </c:pt>
                <c:pt idx="52">
                  <c:v>0.80368098159509205</c:v>
                </c:pt>
                <c:pt idx="53">
                  <c:v>0.74846625766871167</c:v>
                </c:pt>
                <c:pt idx="54">
                  <c:v>0.72546012269938653</c:v>
                </c:pt>
                <c:pt idx="55">
                  <c:v>0.7975460122699386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2-4536-9A5D-71EF685E6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750367"/>
        <c:axId val="1027371055"/>
      </c:scatterChart>
      <c:valAx>
        <c:axId val="10997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1055"/>
        <c:crosses val="autoZero"/>
        <c:crossBetween val="midCat"/>
      </c:valAx>
      <c:valAx>
        <c:axId val="10273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N23Mambau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636045494313208E-2"/>
                  <c:y val="0.2323257509477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N23Mambau!$F$2:$F$57</c:f>
              <c:numCache>
                <c:formatCode>0.0%</c:formatCode>
                <c:ptCount val="56"/>
                <c:pt idx="0">
                  <c:v>0.73421052631578942</c:v>
                </c:pt>
                <c:pt idx="1">
                  <c:v>0.80263157894736847</c:v>
                </c:pt>
                <c:pt idx="2">
                  <c:v>0.80263157894736847</c:v>
                </c:pt>
                <c:pt idx="3">
                  <c:v>0.77741935483870972</c:v>
                </c:pt>
                <c:pt idx="4">
                  <c:v>0.71497584541062797</c:v>
                </c:pt>
                <c:pt idx="5">
                  <c:v>0.64412238325281801</c:v>
                </c:pt>
                <c:pt idx="6">
                  <c:v>0.33243243243243242</c:v>
                </c:pt>
                <c:pt idx="7">
                  <c:v>0.36596736596736595</c:v>
                </c:pt>
                <c:pt idx="8">
                  <c:v>0.11888111888111888</c:v>
                </c:pt>
                <c:pt idx="9">
                  <c:v>0.37368421052631579</c:v>
                </c:pt>
                <c:pt idx="10">
                  <c:v>0.4026315789473684</c:v>
                </c:pt>
                <c:pt idx="11">
                  <c:v>0.40789473684210525</c:v>
                </c:pt>
                <c:pt idx="12">
                  <c:v>0.44067796610169491</c:v>
                </c:pt>
                <c:pt idx="13">
                  <c:v>0.43389830508474575</c:v>
                </c:pt>
                <c:pt idx="14">
                  <c:v>0.36949152542372882</c:v>
                </c:pt>
                <c:pt idx="15">
                  <c:v>0.78500000000000003</c:v>
                </c:pt>
                <c:pt idx="16">
                  <c:v>0.61092715231788075</c:v>
                </c:pt>
                <c:pt idx="17">
                  <c:v>0.49189189189189192</c:v>
                </c:pt>
                <c:pt idx="18">
                  <c:v>0.57027027027027022</c:v>
                </c:pt>
                <c:pt idx="19">
                  <c:v>0.5</c:v>
                </c:pt>
                <c:pt idx="20">
                  <c:v>0.49189189189189192</c:v>
                </c:pt>
                <c:pt idx="21">
                  <c:v>0.6</c:v>
                </c:pt>
                <c:pt idx="22">
                  <c:v>0.56216216216216219</c:v>
                </c:pt>
                <c:pt idx="23">
                  <c:v>0.61351351351351346</c:v>
                </c:pt>
                <c:pt idx="24">
                  <c:v>0.61182994454713491</c:v>
                </c:pt>
                <c:pt idx="25">
                  <c:v>0.56931608133086875</c:v>
                </c:pt>
                <c:pt idx="26">
                  <c:v>0.57486136783733821</c:v>
                </c:pt>
                <c:pt idx="27">
                  <c:v>0.51201478743068396</c:v>
                </c:pt>
                <c:pt idx="28">
                  <c:v>0.51571164510166356</c:v>
                </c:pt>
                <c:pt idx="29">
                  <c:v>0.47689463955637706</c:v>
                </c:pt>
                <c:pt idx="30">
                  <c:v>0.46025878003696857</c:v>
                </c:pt>
                <c:pt idx="31">
                  <c:v>0.45940959409594095</c:v>
                </c:pt>
                <c:pt idx="32">
                  <c:v>0.45018450184501846</c:v>
                </c:pt>
                <c:pt idx="33">
                  <c:v>0.42988929889298894</c:v>
                </c:pt>
                <c:pt idx="34">
                  <c:v>0.43726937269372695</c:v>
                </c:pt>
                <c:pt idx="35">
                  <c:v>0.4059040590405904</c:v>
                </c:pt>
                <c:pt idx="36">
                  <c:v>0.34686346863468637</c:v>
                </c:pt>
                <c:pt idx="37">
                  <c:v>0.6</c:v>
                </c:pt>
                <c:pt idx="38">
                  <c:v>0.60491803278688527</c:v>
                </c:pt>
                <c:pt idx="39">
                  <c:v>0.4746317512274959</c:v>
                </c:pt>
                <c:pt idx="40">
                  <c:v>0.78157894736842104</c:v>
                </c:pt>
                <c:pt idx="41">
                  <c:v>0.81578947368421051</c:v>
                </c:pt>
                <c:pt idx="42">
                  <c:v>0.84473684210526312</c:v>
                </c:pt>
                <c:pt idx="43">
                  <c:v>0.85776487663280121</c:v>
                </c:pt>
                <c:pt idx="44">
                  <c:v>0.84615384615384615</c:v>
                </c:pt>
                <c:pt idx="45">
                  <c:v>0.88098693759071123</c:v>
                </c:pt>
                <c:pt idx="46">
                  <c:v>0.81277213352685052</c:v>
                </c:pt>
                <c:pt idx="47">
                  <c:v>0.85050798258345428</c:v>
                </c:pt>
                <c:pt idx="48">
                  <c:v>0.85921625544267055</c:v>
                </c:pt>
                <c:pt idx="49">
                  <c:v>0.85776487663280121</c:v>
                </c:pt>
                <c:pt idx="50">
                  <c:v>0.48157894736842105</c:v>
                </c:pt>
                <c:pt idx="51">
                  <c:v>0.51052631578947372</c:v>
                </c:pt>
                <c:pt idx="52">
                  <c:v>0.56595092024539873</c:v>
                </c:pt>
                <c:pt idx="53">
                  <c:v>0.55214723926380371</c:v>
                </c:pt>
                <c:pt idx="54">
                  <c:v>0.53374233128834359</c:v>
                </c:pt>
                <c:pt idx="55">
                  <c:v>0.54601226993865026</c:v>
                </c:pt>
              </c:numCache>
            </c:numRef>
          </c:xVal>
          <c:yVal>
            <c:numRef>
              <c:f>N23Mambau!$A$2:$A$57</c:f>
              <c:numCache>
                <c:formatCode>0.0%</c:formatCode>
                <c:ptCount val="56"/>
                <c:pt idx="0">
                  <c:v>0.70263157894736838</c:v>
                </c:pt>
                <c:pt idx="1">
                  <c:v>0.85263157894736841</c:v>
                </c:pt>
                <c:pt idx="2">
                  <c:v>0.85526315789473684</c:v>
                </c:pt>
                <c:pt idx="3">
                  <c:v>0.82741935483870965</c:v>
                </c:pt>
                <c:pt idx="4">
                  <c:v>0.73913043478260865</c:v>
                </c:pt>
                <c:pt idx="5">
                  <c:v>0.77777777777777779</c:v>
                </c:pt>
                <c:pt idx="6">
                  <c:v>0.76756756756756761</c:v>
                </c:pt>
                <c:pt idx="7">
                  <c:v>0.79953379953379955</c:v>
                </c:pt>
                <c:pt idx="8">
                  <c:v>0.75524475524475521</c:v>
                </c:pt>
                <c:pt idx="9">
                  <c:v>0.67368421052631577</c:v>
                </c:pt>
                <c:pt idx="10">
                  <c:v>0.74473684210526314</c:v>
                </c:pt>
                <c:pt idx="11">
                  <c:v>0.77631578947368418</c:v>
                </c:pt>
                <c:pt idx="12">
                  <c:v>0.7593220338983051</c:v>
                </c:pt>
                <c:pt idx="13">
                  <c:v>0.71016949152542375</c:v>
                </c:pt>
                <c:pt idx="14">
                  <c:v>0.7220338983050848</c:v>
                </c:pt>
                <c:pt idx="15">
                  <c:v>0.745</c:v>
                </c:pt>
                <c:pt idx="16">
                  <c:v>0.70529801324503316</c:v>
                </c:pt>
                <c:pt idx="17">
                  <c:v>0.51621621621621616</c:v>
                </c:pt>
                <c:pt idx="18">
                  <c:v>0.76486486486486482</c:v>
                </c:pt>
                <c:pt idx="19">
                  <c:v>0.79459459459459458</c:v>
                </c:pt>
                <c:pt idx="20">
                  <c:v>0.80270270270270272</c:v>
                </c:pt>
                <c:pt idx="21">
                  <c:v>0.81351351351351353</c:v>
                </c:pt>
                <c:pt idx="22">
                  <c:v>0.8</c:v>
                </c:pt>
                <c:pt idx="23">
                  <c:v>0.79459459459459458</c:v>
                </c:pt>
                <c:pt idx="24">
                  <c:v>0.80221811460258785</c:v>
                </c:pt>
                <c:pt idx="25">
                  <c:v>0.78743068391866911</c:v>
                </c:pt>
                <c:pt idx="26">
                  <c:v>0.7837338262476895</c:v>
                </c:pt>
                <c:pt idx="27">
                  <c:v>0.74306839186691309</c:v>
                </c:pt>
                <c:pt idx="28">
                  <c:v>0.72828096118299446</c:v>
                </c:pt>
                <c:pt idx="29">
                  <c:v>0.74676524953789281</c:v>
                </c:pt>
                <c:pt idx="30">
                  <c:v>0.72088724584103514</c:v>
                </c:pt>
                <c:pt idx="31">
                  <c:v>0.7140221402214022</c:v>
                </c:pt>
                <c:pt idx="32">
                  <c:v>0.71771217712177127</c:v>
                </c:pt>
                <c:pt idx="33">
                  <c:v>0.72509225092250917</c:v>
                </c:pt>
                <c:pt idx="34">
                  <c:v>0.77121771217712176</c:v>
                </c:pt>
                <c:pt idx="35">
                  <c:v>0.79151291512915134</c:v>
                </c:pt>
                <c:pt idx="36">
                  <c:v>0.83210332103321039</c:v>
                </c:pt>
                <c:pt idx="37">
                  <c:v>0.75555555555555554</c:v>
                </c:pt>
                <c:pt idx="38">
                  <c:v>0.73606557377049175</c:v>
                </c:pt>
                <c:pt idx="39">
                  <c:v>0.76104746317512273</c:v>
                </c:pt>
                <c:pt idx="40">
                  <c:v>0.61315789473684212</c:v>
                </c:pt>
                <c:pt idx="41">
                  <c:v>0.78421052631578947</c:v>
                </c:pt>
                <c:pt idx="42">
                  <c:v>0.76842105263157889</c:v>
                </c:pt>
                <c:pt idx="43">
                  <c:v>0.75036284470246739</c:v>
                </c:pt>
                <c:pt idx="44">
                  <c:v>0.75181422351233673</c:v>
                </c:pt>
                <c:pt idx="45">
                  <c:v>0.70101596516690856</c:v>
                </c:pt>
                <c:pt idx="46">
                  <c:v>0.72568940493468792</c:v>
                </c:pt>
                <c:pt idx="47">
                  <c:v>0.68650217706821481</c:v>
                </c:pt>
                <c:pt idx="48">
                  <c:v>0.75907111756168355</c:v>
                </c:pt>
                <c:pt idx="49">
                  <c:v>0.81567489114658931</c:v>
                </c:pt>
                <c:pt idx="50">
                  <c:v>0.73157894736842111</c:v>
                </c:pt>
                <c:pt idx="51">
                  <c:v>0.84210526315789469</c:v>
                </c:pt>
                <c:pt idx="52">
                  <c:v>0.80368098159509205</c:v>
                </c:pt>
                <c:pt idx="53">
                  <c:v>0.74846625766871167</c:v>
                </c:pt>
                <c:pt idx="54">
                  <c:v>0.72546012269938653</c:v>
                </c:pt>
                <c:pt idx="55">
                  <c:v>0.7975460122699386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39-4A8E-A5A1-CE8FEF78B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750367"/>
        <c:axId val="1027371055"/>
      </c:scatterChart>
      <c:valAx>
        <c:axId val="10997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1055"/>
        <c:crosses val="autoZero"/>
        <c:crossBetween val="midCat"/>
      </c:valAx>
      <c:valAx>
        <c:axId val="10273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N23Mambau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636045494313208E-2"/>
                  <c:y val="0.2323257509477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N23Mambau!$G$2:$G$57</c:f>
              <c:numCache>
                <c:formatCode>0.0%</c:formatCode>
                <c:ptCount val="56"/>
                <c:pt idx="0">
                  <c:v>0.14210526315789473</c:v>
                </c:pt>
                <c:pt idx="1">
                  <c:v>7.1052631578947367E-2</c:v>
                </c:pt>
                <c:pt idx="2">
                  <c:v>8.4210526315789472E-2</c:v>
                </c:pt>
                <c:pt idx="3">
                  <c:v>0.13709677419354838</c:v>
                </c:pt>
                <c:pt idx="4">
                  <c:v>0.18035426731078905</c:v>
                </c:pt>
                <c:pt idx="5">
                  <c:v>0.22222222222222221</c:v>
                </c:pt>
                <c:pt idx="6">
                  <c:v>0.15135135135135136</c:v>
                </c:pt>
                <c:pt idx="7">
                  <c:v>0.18648018648018649</c:v>
                </c:pt>
                <c:pt idx="8">
                  <c:v>5.128205128205128E-2</c:v>
                </c:pt>
                <c:pt idx="9">
                  <c:v>0.45263157894736844</c:v>
                </c:pt>
                <c:pt idx="10">
                  <c:v>0.47631578947368419</c:v>
                </c:pt>
                <c:pt idx="11">
                  <c:v>0.4631578947368421</c:v>
                </c:pt>
                <c:pt idx="12">
                  <c:v>0.4101694915254237</c:v>
                </c:pt>
                <c:pt idx="13">
                  <c:v>0.4152542372881356</c:v>
                </c:pt>
                <c:pt idx="14">
                  <c:v>0.47457627118644069</c:v>
                </c:pt>
                <c:pt idx="15">
                  <c:v>0.1275</c:v>
                </c:pt>
                <c:pt idx="16">
                  <c:v>0.14735099337748345</c:v>
                </c:pt>
                <c:pt idx="17">
                  <c:v>0.34054054054054056</c:v>
                </c:pt>
                <c:pt idx="18">
                  <c:v>0.28378378378378377</c:v>
                </c:pt>
                <c:pt idx="19">
                  <c:v>0.3</c:v>
                </c:pt>
                <c:pt idx="20">
                  <c:v>0.26216216216216215</c:v>
                </c:pt>
                <c:pt idx="21">
                  <c:v>0.25945945945945947</c:v>
                </c:pt>
                <c:pt idx="22">
                  <c:v>0.26486486486486488</c:v>
                </c:pt>
                <c:pt idx="23">
                  <c:v>0.25405405405405407</c:v>
                </c:pt>
                <c:pt idx="24">
                  <c:v>0.2754158964879852</c:v>
                </c:pt>
                <c:pt idx="25">
                  <c:v>0.29574861367837341</c:v>
                </c:pt>
                <c:pt idx="26">
                  <c:v>0.28096118299445472</c:v>
                </c:pt>
                <c:pt idx="27">
                  <c:v>0.29020332717190389</c:v>
                </c:pt>
                <c:pt idx="28">
                  <c:v>0.25878003696857671</c:v>
                </c:pt>
                <c:pt idx="29">
                  <c:v>0.29944547134935307</c:v>
                </c:pt>
                <c:pt idx="30">
                  <c:v>0.25878003696857671</c:v>
                </c:pt>
                <c:pt idx="31">
                  <c:v>0.23616236162361623</c:v>
                </c:pt>
                <c:pt idx="32">
                  <c:v>0.25645756457564578</c:v>
                </c:pt>
                <c:pt idx="33">
                  <c:v>0.29704797047970477</c:v>
                </c:pt>
                <c:pt idx="34">
                  <c:v>0.34317343173431736</c:v>
                </c:pt>
                <c:pt idx="35">
                  <c:v>0.36531365313653136</c:v>
                </c:pt>
                <c:pt idx="36">
                  <c:v>0.35793357933579334</c:v>
                </c:pt>
                <c:pt idx="37">
                  <c:v>0.25333333333333335</c:v>
                </c:pt>
                <c:pt idx="38">
                  <c:v>0.23278688524590163</c:v>
                </c:pt>
                <c:pt idx="39">
                  <c:v>0.27495908346972175</c:v>
                </c:pt>
                <c:pt idx="40">
                  <c:v>0.1763157894736842</c:v>
                </c:pt>
                <c:pt idx="41">
                  <c:v>0.15789473684210525</c:v>
                </c:pt>
                <c:pt idx="42">
                  <c:v>0.11842105263157894</c:v>
                </c:pt>
                <c:pt idx="43">
                  <c:v>0.12481857764876633</c:v>
                </c:pt>
                <c:pt idx="44">
                  <c:v>0.12191582002902758</c:v>
                </c:pt>
                <c:pt idx="45">
                  <c:v>7.982583454281568E-2</c:v>
                </c:pt>
                <c:pt idx="46">
                  <c:v>0.14078374455732948</c:v>
                </c:pt>
                <c:pt idx="47">
                  <c:v>0.11030478955007257</c:v>
                </c:pt>
                <c:pt idx="48">
                  <c:v>0.10595065312046444</c:v>
                </c:pt>
                <c:pt idx="49">
                  <c:v>0.10885341074020319</c:v>
                </c:pt>
                <c:pt idx="50">
                  <c:v>0.47368421052631576</c:v>
                </c:pt>
                <c:pt idx="51">
                  <c:v>0.44473684210526315</c:v>
                </c:pt>
                <c:pt idx="52">
                  <c:v>0.39417177914110429</c:v>
                </c:pt>
                <c:pt idx="53">
                  <c:v>0.39570552147239263</c:v>
                </c:pt>
                <c:pt idx="54">
                  <c:v>0.37883435582822084</c:v>
                </c:pt>
                <c:pt idx="55">
                  <c:v>0.36809815950920244</c:v>
                </c:pt>
              </c:numCache>
            </c:numRef>
          </c:xVal>
          <c:yVal>
            <c:numRef>
              <c:f>N23Mambau!$A$2:$A$57</c:f>
              <c:numCache>
                <c:formatCode>0.0%</c:formatCode>
                <c:ptCount val="56"/>
                <c:pt idx="0">
                  <c:v>0.70263157894736838</c:v>
                </c:pt>
                <c:pt idx="1">
                  <c:v>0.85263157894736841</c:v>
                </c:pt>
                <c:pt idx="2">
                  <c:v>0.85526315789473684</c:v>
                </c:pt>
                <c:pt idx="3">
                  <c:v>0.82741935483870965</c:v>
                </c:pt>
                <c:pt idx="4">
                  <c:v>0.73913043478260865</c:v>
                </c:pt>
                <c:pt idx="5">
                  <c:v>0.77777777777777779</c:v>
                </c:pt>
                <c:pt idx="6">
                  <c:v>0.76756756756756761</c:v>
                </c:pt>
                <c:pt idx="7">
                  <c:v>0.79953379953379955</c:v>
                </c:pt>
                <c:pt idx="8">
                  <c:v>0.75524475524475521</c:v>
                </c:pt>
                <c:pt idx="9">
                  <c:v>0.67368421052631577</c:v>
                </c:pt>
                <c:pt idx="10">
                  <c:v>0.74473684210526314</c:v>
                </c:pt>
                <c:pt idx="11">
                  <c:v>0.77631578947368418</c:v>
                </c:pt>
                <c:pt idx="12">
                  <c:v>0.7593220338983051</c:v>
                </c:pt>
                <c:pt idx="13">
                  <c:v>0.71016949152542375</c:v>
                </c:pt>
                <c:pt idx="14">
                  <c:v>0.7220338983050848</c:v>
                </c:pt>
                <c:pt idx="15">
                  <c:v>0.745</c:v>
                </c:pt>
                <c:pt idx="16">
                  <c:v>0.70529801324503316</c:v>
                </c:pt>
                <c:pt idx="17">
                  <c:v>0.51621621621621616</c:v>
                </c:pt>
                <c:pt idx="18">
                  <c:v>0.76486486486486482</c:v>
                </c:pt>
                <c:pt idx="19">
                  <c:v>0.79459459459459458</c:v>
                </c:pt>
                <c:pt idx="20">
                  <c:v>0.80270270270270272</c:v>
                </c:pt>
                <c:pt idx="21">
                  <c:v>0.81351351351351353</c:v>
                </c:pt>
                <c:pt idx="22">
                  <c:v>0.8</c:v>
                </c:pt>
                <c:pt idx="23">
                  <c:v>0.79459459459459458</c:v>
                </c:pt>
                <c:pt idx="24">
                  <c:v>0.80221811460258785</c:v>
                </c:pt>
                <c:pt idx="25">
                  <c:v>0.78743068391866911</c:v>
                </c:pt>
                <c:pt idx="26">
                  <c:v>0.7837338262476895</c:v>
                </c:pt>
                <c:pt idx="27">
                  <c:v>0.74306839186691309</c:v>
                </c:pt>
                <c:pt idx="28">
                  <c:v>0.72828096118299446</c:v>
                </c:pt>
                <c:pt idx="29">
                  <c:v>0.74676524953789281</c:v>
                </c:pt>
                <c:pt idx="30">
                  <c:v>0.72088724584103514</c:v>
                </c:pt>
                <c:pt idx="31">
                  <c:v>0.7140221402214022</c:v>
                </c:pt>
                <c:pt idx="32">
                  <c:v>0.71771217712177127</c:v>
                </c:pt>
                <c:pt idx="33">
                  <c:v>0.72509225092250917</c:v>
                </c:pt>
                <c:pt idx="34">
                  <c:v>0.77121771217712176</c:v>
                </c:pt>
                <c:pt idx="35">
                  <c:v>0.79151291512915134</c:v>
                </c:pt>
                <c:pt idx="36">
                  <c:v>0.83210332103321039</c:v>
                </c:pt>
                <c:pt idx="37">
                  <c:v>0.75555555555555554</c:v>
                </c:pt>
                <c:pt idx="38">
                  <c:v>0.73606557377049175</c:v>
                </c:pt>
                <c:pt idx="39">
                  <c:v>0.76104746317512273</c:v>
                </c:pt>
                <c:pt idx="40">
                  <c:v>0.61315789473684212</c:v>
                </c:pt>
                <c:pt idx="41">
                  <c:v>0.78421052631578947</c:v>
                </c:pt>
                <c:pt idx="42">
                  <c:v>0.76842105263157889</c:v>
                </c:pt>
                <c:pt idx="43">
                  <c:v>0.75036284470246739</c:v>
                </c:pt>
                <c:pt idx="44">
                  <c:v>0.75181422351233673</c:v>
                </c:pt>
                <c:pt idx="45">
                  <c:v>0.70101596516690856</c:v>
                </c:pt>
                <c:pt idx="46">
                  <c:v>0.72568940493468792</c:v>
                </c:pt>
                <c:pt idx="47">
                  <c:v>0.68650217706821481</c:v>
                </c:pt>
                <c:pt idx="48">
                  <c:v>0.75907111756168355</c:v>
                </c:pt>
                <c:pt idx="49">
                  <c:v>0.81567489114658931</c:v>
                </c:pt>
                <c:pt idx="50">
                  <c:v>0.73157894736842111</c:v>
                </c:pt>
                <c:pt idx="51">
                  <c:v>0.84210526315789469</c:v>
                </c:pt>
                <c:pt idx="52">
                  <c:v>0.80368098159509205</c:v>
                </c:pt>
                <c:pt idx="53">
                  <c:v>0.74846625766871167</c:v>
                </c:pt>
                <c:pt idx="54">
                  <c:v>0.72546012269938653</c:v>
                </c:pt>
                <c:pt idx="55">
                  <c:v>0.7975460122699386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40-4927-B3D8-6F121EA17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750367"/>
        <c:axId val="1027371055"/>
      </c:scatterChart>
      <c:valAx>
        <c:axId val="10997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1055"/>
        <c:crosses val="autoZero"/>
        <c:crossBetween val="midCat"/>
      </c:valAx>
      <c:valAx>
        <c:axId val="10273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N23Mambau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645231846019247E-2"/>
                  <c:y val="0.136612350539515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N23Mambau!$E$2:$E$57</c:f>
              <c:numCache>
                <c:formatCode>0.0%</c:formatCode>
                <c:ptCount val="56"/>
                <c:pt idx="0">
                  <c:v>0.12105263157894737</c:v>
                </c:pt>
                <c:pt idx="1">
                  <c:v>0.12631578947368421</c:v>
                </c:pt>
                <c:pt idx="2">
                  <c:v>0.10526315789473684</c:v>
                </c:pt>
                <c:pt idx="3">
                  <c:v>8.387096774193549E-2</c:v>
                </c:pt>
                <c:pt idx="4">
                  <c:v>0.10466988727858294</c:v>
                </c:pt>
                <c:pt idx="5">
                  <c:v>0.1320450885668277</c:v>
                </c:pt>
                <c:pt idx="6">
                  <c:v>0.51081081081081081</c:v>
                </c:pt>
                <c:pt idx="7">
                  <c:v>0.44289044289044288</c:v>
                </c:pt>
                <c:pt idx="8">
                  <c:v>0.82983682983682983</c:v>
                </c:pt>
                <c:pt idx="9">
                  <c:v>0.13421052631578947</c:v>
                </c:pt>
                <c:pt idx="10">
                  <c:v>0.1</c:v>
                </c:pt>
                <c:pt idx="11">
                  <c:v>0.10526315789473684</c:v>
                </c:pt>
                <c:pt idx="12">
                  <c:v>0.12542372881355932</c:v>
                </c:pt>
                <c:pt idx="13">
                  <c:v>0.13728813559322034</c:v>
                </c:pt>
                <c:pt idx="14">
                  <c:v>0.1440677966101695</c:v>
                </c:pt>
                <c:pt idx="15">
                  <c:v>8.2500000000000004E-2</c:v>
                </c:pt>
                <c:pt idx="16">
                  <c:v>0.24172185430463577</c:v>
                </c:pt>
                <c:pt idx="17">
                  <c:v>0.14594594594594595</c:v>
                </c:pt>
                <c:pt idx="18">
                  <c:v>0.13783783783783785</c:v>
                </c:pt>
                <c:pt idx="19">
                  <c:v>0.1864864864864865</c:v>
                </c:pt>
                <c:pt idx="20">
                  <c:v>0.22432432432432434</c:v>
                </c:pt>
                <c:pt idx="21">
                  <c:v>0.13243243243243244</c:v>
                </c:pt>
                <c:pt idx="22">
                  <c:v>0.15945945945945947</c:v>
                </c:pt>
                <c:pt idx="23">
                  <c:v>0.11081081081081082</c:v>
                </c:pt>
                <c:pt idx="24">
                  <c:v>9.9815157116451017E-2</c:v>
                </c:pt>
                <c:pt idx="25">
                  <c:v>0.11645101663585952</c:v>
                </c:pt>
                <c:pt idx="26">
                  <c:v>0.14048059149722736</c:v>
                </c:pt>
                <c:pt idx="27">
                  <c:v>0.18299445471349354</c:v>
                </c:pt>
                <c:pt idx="28">
                  <c:v>0.21996303142329021</c:v>
                </c:pt>
                <c:pt idx="29">
                  <c:v>0.22181146025878004</c:v>
                </c:pt>
                <c:pt idx="30">
                  <c:v>0.27171903881700554</c:v>
                </c:pt>
                <c:pt idx="31">
                  <c:v>0.30073800738007378</c:v>
                </c:pt>
                <c:pt idx="32">
                  <c:v>0.28782287822878228</c:v>
                </c:pt>
                <c:pt idx="33">
                  <c:v>0.26568265682656828</c:v>
                </c:pt>
                <c:pt idx="34">
                  <c:v>0.21771217712177121</c:v>
                </c:pt>
                <c:pt idx="35">
                  <c:v>0.22878228782287824</c:v>
                </c:pt>
                <c:pt idx="36">
                  <c:v>0.29520295202952029</c:v>
                </c:pt>
                <c:pt idx="37">
                  <c:v>0.13111111111111112</c:v>
                </c:pt>
                <c:pt idx="38">
                  <c:v>0.15901639344262294</c:v>
                </c:pt>
                <c:pt idx="39">
                  <c:v>0.24549918166939444</c:v>
                </c:pt>
                <c:pt idx="40">
                  <c:v>2.368421052631579E-2</c:v>
                </c:pt>
                <c:pt idx="41">
                  <c:v>2.1052631578947368E-2</c:v>
                </c:pt>
                <c:pt idx="42">
                  <c:v>2.6315789473684209E-2</c:v>
                </c:pt>
                <c:pt idx="43">
                  <c:v>7.2568940493468797E-3</c:v>
                </c:pt>
                <c:pt idx="44">
                  <c:v>2.0319303338171262E-2</c:v>
                </c:pt>
                <c:pt idx="45">
                  <c:v>3.6284470246734396E-2</c:v>
                </c:pt>
                <c:pt idx="46">
                  <c:v>4.2089985486211901E-2</c:v>
                </c:pt>
                <c:pt idx="47">
                  <c:v>3.483309143686502E-2</c:v>
                </c:pt>
                <c:pt idx="48">
                  <c:v>3.0478955007256895E-2</c:v>
                </c:pt>
                <c:pt idx="49">
                  <c:v>3.3381712626995644E-2</c:v>
                </c:pt>
                <c:pt idx="50">
                  <c:v>2.6315789473684209E-2</c:v>
                </c:pt>
                <c:pt idx="51">
                  <c:v>3.1578947368421054E-2</c:v>
                </c:pt>
                <c:pt idx="52">
                  <c:v>3.2208588957055216E-2</c:v>
                </c:pt>
                <c:pt idx="53">
                  <c:v>4.4478527607361963E-2</c:v>
                </c:pt>
                <c:pt idx="54">
                  <c:v>7.6687116564417179E-2</c:v>
                </c:pt>
                <c:pt idx="55">
                  <c:v>8.4355828220858894E-2</c:v>
                </c:pt>
              </c:numCache>
            </c:numRef>
          </c:xVal>
          <c:yVal>
            <c:numRef>
              <c:f>N23Mambau!$B$2:$B$57</c:f>
              <c:numCache>
                <c:formatCode>0.0%</c:formatCode>
                <c:ptCount val="56"/>
                <c:pt idx="0">
                  <c:v>0.77153558052434457</c:v>
                </c:pt>
                <c:pt idx="1">
                  <c:v>0.81172839506172845</c:v>
                </c:pt>
                <c:pt idx="2">
                  <c:v>0.82461538461538464</c:v>
                </c:pt>
                <c:pt idx="3">
                  <c:v>0.88304093567251463</c:v>
                </c:pt>
                <c:pt idx="4">
                  <c:v>0.89324618736383443</c:v>
                </c:pt>
                <c:pt idx="5">
                  <c:v>0.84472049689440998</c:v>
                </c:pt>
                <c:pt idx="6">
                  <c:v>0.48943661971830987</c:v>
                </c:pt>
                <c:pt idx="7">
                  <c:v>0.57434402332361512</c:v>
                </c:pt>
                <c:pt idx="8">
                  <c:v>0.33024691358024694</c:v>
                </c:pt>
                <c:pt idx="9">
                  <c:v>0.8203125</c:v>
                </c:pt>
                <c:pt idx="10">
                  <c:v>0.81625441696113077</c:v>
                </c:pt>
                <c:pt idx="11">
                  <c:v>0.83389830508474572</c:v>
                </c:pt>
                <c:pt idx="12">
                  <c:v>0.8482142857142857</c:v>
                </c:pt>
                <c:pt idx="13">
                  <c:v>0.85441527446300713</c:v>
                </c:pt>
                <c:pt idx="14">
                  <c:v>0.852112676056338</c:v>
                </c:pt>
                <c:pt idx="15">
                  <c:v>0.80201342281879195</c:v>
                </c:pt>
                <c:pt idx="16">
                  <c:v>0.76291079812206575</c:v>
                </c:pt>
                <c:pt idx="17">
                  <c:v>0.70157068062827221</c:v>
                </c:pt>
                <c:pt idx="18">
                  <c:v>0.78445229681978801</c:v>
                </c:pt>
                <c:pt idx="19">
                  <c:v>0.74489795918367352</c:v>
                </c:pt>
                <c:pt idx="20">
                  <c:v>0.70707070707070707</c:v>
                </c:pt>
                <c:pt idx="21">
                  <c:v>0.82059800664451832</c:v>
                </c:pt>
                <c:pt idx="22">
                  <c:v>0.81418918918918914</c:v>
                </c:pt>
                <c:pt idx="23">
                  <c:v>0.86734693877551017</c:v>
                </c:pt>
                <c:pt idx="24">
                  <c:v>0.91935483870967738</c:v>
                </c:pt>
                <c:pt idx="25">
                  <c:v>0.8779342723004695</c:v>
                </c:pt>
                <c:pt idx="26">
                  <c:v>0.85613207547169812</c:v>
                </c:pt>
                <c:pt idx="27">
                  <c:v>0.79353233830845771</c:v>
                </c:pt>
                <c:pt idx="28">
                  <c:v>0.77157360406091369</c:v>
                </c:pt>
                <c:pt idx="29">
                  <c:v>0.77722772277227725</c:v>
                </c:pt>
                <c:pt idx="30">
                  <c:v>0.74615384615384617</c:v>
                </c:pt>
                <c:pt idx="31">
                  <c:v>0.74935400516795869</c:v>
                </c:pt>
                <c:pt idx="32">
                  <c:v>0.76092544987146526</c:v>
                </c:pt>
                <c:pt idx="33">
                  <c:v>0.77353689567430028</c:v>
                </c:pt>
                <c:pt idx="34">
                  <c:v>0.8133971291866029</c:v>
                </c:pt>
                <c:pt idx="35">
                  <c:v>0.80885780885780889</c:v>
                </c:pt>
                <c:pt idx="36">
                  <c:v>0.74501108647450109</c:v>
                </c:pt>
                <c:pt idx="37">
                  <c:v>0.8294117647058824</c:v>
                </c:pt>
                <c:pt idx="38">
                  <c:v>0.83518930957683746</c:v>
                </c:pt>
                <c:pt idx="39">
                  <c:v>0.7870967741935484</c:v>
                </c:pt>
                <c:pt idx="40">
                  <c:v>0.87982832618025753</c:v>
                </c:pt>
                <c:pt idx="41">
                  <c:v>0.92281879194630867</c:v>
                </c:pt>
                <c:pt idx="42">
                  <c:v>0.95205479452054798</c:v>
                </c:pt>
                <c:pt idx="43">
                  <c:v>0.94197292069632499</c:v>
                </c:pt>
                <c:pt idx="44">
                  <c:v>0.9498069498069498</c:v>
                </c:pt>
                <c:pt idx="45">
                  <c:v>0.93581780538302273</c:v>
                </c:pt>
                <c:pt idx="46">
                  <c:v>0.94199999999999995</c:v>
                </c:pt>
                <c:pt idx="47">
                  <c:v>0.92600422832980978</c:v>
                </c:pt>
                <c:pt idx="48">
                  <c:v>0.95411089866156784</c:v>
                </c:pt>
                <c:pt idx="49">
                  <c:v>0.94839857651245552</c:v>
                </c:pt>
                <c:pt idx="50">
                  <c:v>0.85251798561151082</c:v>
                </c:pt>
                <c:pt idx="51">
                  <c:v>0.91874999999999996</c:v>
                </c:pt>
                <c:pt idx="52">
                  <c:v>0.93320610687022898</c:v>
                </c:pt>
                <c:pt idx="53">
                  <c:v>0.92213114754098358</c:v>
                </c:pt>
                <c:pt idx="54">
                  <c:v>0.92177589852008457</c:v>
                </c:pt>
                <c:pt idx="55">
                  <c:v>0.92692307692307696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11-4A5A-9A4F-B70669D76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750367"/>
        <c:axId val="1027371055"/>
      </c:scatterChart>
      <c:valAx>
        <c:axId val="10997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1055"/>
        <c:crosses val="autoZero"/>
        <c:crossBetween val="midCat"/>
      </c:valAx>
      <c:valAx>
        <c:axId val="10273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N23Mambau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656824146981626E-2"/>
                  <c:y val="0.21450823855351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N23Mambau!$F$2:$F$57</c:f>
              <c:numCache>
                <c:formatCode>0.0%</c:formatCode>
                <c:ptCount val="56"/>
                <c:pt idx="0">
                  <c:v>0.73421052631578942</c:v>
                </c:pt>
                <c:pt idx="1">
                  <c:v>0.80263157894736847</c:v>
                </c:pt>
                <c:pt idx="2">
                  <c:v>0.80263157894736847</c:v>
                </c:pt>
                <c:pt idx="3">
                  <c:v>0.77741935483870972</c:v>
                </c:pt>
                <c:pt idx="4">
                  <c:v>0.71497584541062797</c:v>
                </c:pt>
                <c:pt idx="5">
                  <c:v>0.64412238325281801</c:v>
                </c:pt>
                <c:pt idx="6">
                  <c:v>0.33243243243243242</c:v>
                </c:pt>
                <c:pt idx="7">
                  <c:v>0.36596736596736595</c:v>
                </c:pt>
                <c:pt idx="8">
                  <c:v>0.11888111888111888</c:v>
                </c:pt>
                <c:pt idx="9">
                  <c:v>0.37368421052631579</c:v>
                </c:pt>
                <c:pt idx="10">
                  <c:v>0.4026315789473684</c:v>
                </c:pt>
                <c:pt idx="11">
                  <c:v>0.40789473684210525</c:v>
                </c:pt>
                <c:pt idx="12">
                  <c:v>0.44067796610169491</c:v>
                </c:pt>
                <c:pt idx="13">
                  <c:v>0.43389830508474575</c:v>
                </c:pt>
                <c:pt idx="14">
                  <c:v>0.36949152542372882</c:v>
                </c:pt>
                <c:pt idx="15">
                  <c:v>0.78500000000000003</c:v>
                </c:pt>
                <c:pt idx="16">
                  <c:v>0.61092715231788075</c:v>
                </c:pt>
                <c:pt idx="17">
                  <c:v>0.49189189189189192</c:v>
                </c:pt>
                <c:pt idx="18">
                  <c:v>0.57027027027027022</c:v>
                </c:pt>
                <c:pt idx="19">
                  <c:v>0.5</c:v>
                </c:pt>
                <c:pt idx="20">
                  <c:v>0.49189189189189192</c:v>
                </c:pt>
                <c:pt idx="21">
                  <c:v>0.6</c:v>
                </c:pt>
                <c:pt idx="22">
                  <c:v>0.56216216216216219</c:v>
                </c:pt>
                <c:pt idx="23">
                  <c:v>0.61351351351351346</c:v>
                </c:pt>
                <c:pt idx="24">
                  <c:v>0.61182994454713491</c:v>
                </c:pt>
                <c:pt idx="25">
                  <c:v>0.56931608133086875</c:v>
                </c:pt>
                <c:pt idx="26">
                  <c:v>0.57486136783733821</c:v>
                </c:pt>
                <c:pt idx="27">
                  <c:v>0.51201478743068396</c:v>
                </c:pt>
                <c:pt idx="28">
                  <c:v>0.51571164510166356</c:v>
                </c:pt>
                <c:pt idx="29">
                  <c:v>0.47689463955637706</c:v>
                </c:pt>
                <c:pt idx="30">
                  <c:v>0.46025878003696857</c:v>
                </c:pt>
                <c:pt idx="31">
                  <c:v>0.45940959409594095</c:v>
                </c:pt>
                <c:pt idx="32">
                  <c:v>0.45018450184501846</c:v>
                </c:pt>
                <c:pt idx="33">
                  <c:v>0.42988929889298894</c:v>
                </c:pt>
                <c:pt idx="34">
                  <c:v>0.43726937269372695</c:v>
                </c:pt>
                <c:pt idx="35">
                  <c:v>0.4059040590405904</c:v>
                </c:pt>
                <c:pt idx="36">
                  <c:v>0.34686346863468637</c:v>
                </c:pt>
                <c:pt idx="37">
                  <c:v>0.6</c:v>
                </c:pt>
                <c:pt idx="38">
                  <c:v>0.60491803278688527</c:v>
                </c:pt>
                <c:pt idx="39">
                  <c:v>0.4746317512274959</c:v>
                </c:pt>
                <c:pt idx="40">
                  <c:v>0.78157894736842104</c:v>
                </c:pt>
                <c:pt idx="41">
                  <c:v>0.81578947368421051</c:v>
                </c:pt>
                <c:pt idx="42">
                  <c:v>0.84473684210526312</c:v>
                </c:pt>
                <c:pt idx="43">
                  <c:v>0.85776487663280121</c:v>
                </c:pt>
                <c:pt idx="44">
                  <c:v>0.84615384615384615</c:v>
                </c:pt>
                <c:pt idx="45">
                  <c:v>0.88098693759071123</c:v>
                </c:pt>
                <c:pt idx="46">
                  <c:v>0.81277213352685052</c:v>
                </c:pt>
                <c:pt idx="47">
                  <c:v>0.85050798258345428</c:v>
                </c:pt>
                <c:pt idx="48">
                  <c:v>0.85921625544267055</c:v>
                </c:pt>
                <c:pt idx="49">
                  <c:v>0.85776487663280121</c:v>
                </c:pt>
                <c:pt idx="50">
                  <c:v>0.48157894736842105</c:v>
                </c:pt>
                <c:pt idx="51">
                  <c:v>0.51052631578947372</c:v>
                </c:pt>
                <c:pt idx="52">
                  <c:v>0.56595092024539873</c:v>
                </c:pt>
                <c:pt idx="53">
                  <c:v>0.55214723926380371</c:v>
                </c:pt>
                <c:pt idx="54">
                  <c:v>0.53374233128834359</c:v>
                </c:pt>
                <c:pt idx="55">
                  <c:v>0.54601226993865026</c:v>
                </c:pt>
              </c:numCache>
            </c:numRef>
          </c:xVal>
          <c:yVal>
            <c:numRef>
              <c:f>N23Mambau!$B$2:$B$57</c:f>
              <c:numCache>
                <c:formatCode>0.0%</c:formatCode>
                <c:ptCount val="56"/>
                <c:pt idx="0">
                  <c:v>0.77153558052434457</c:v>
                </c:pt>
                <c:pt idx="1">
                  <c:v>0.81172839506172845</c:v>
                </c:pt>
                <c:pt idx="2">
                  <c:v>0.82461538461538464</c:v>
                </c:pt>
                <c:pt idx="3">
                  <c:v>0.88304093567251463</c:v>
                </c:pt>
                <c:pt idx="4">
                  <c:v>0.89324618736383443</c:v>
                </c:pt>
                <c:pt idx="5">
                  <c:v>0.84472049689440998</c:v>
                </c:pt>
                <c:pt idx="6">
                  <c:v>0.48943661971830987</c:v>
                </c:pt>
                <c:pt idx="7">
                  <c:v>0.57434402332361512</c:v>
                </c:pt>
                <c:pt idx="8">
                  <c:v>0.33024691358024694</c:v>
                </c:pt>
                <c:pt idx="9">
                  <c:v>0.8203125</c:v>
                </c:pt>
                <c:pt idx="10">
                  <c:v>0.81625441696113077</c:v>
                </c:pt>
                <c:pt idx="11">
                  <c:v>0.83389830508474572</c:v>
                </c:pt>
                <c:pt idx="12">
                  <c:v>0.8482142857142857</c:v>
                </c:pt>
                <c:pt idx="13">
                  <c:v>0.85441527446300713</c:v>
                </c:pt>
                <c:pt idx="14">
                  <c:v>0.852112676056338</c:v>
                </c:pt>
                <c:pt idx="15">
                  <c:v>0.80201342281879195</c:v>
                </c:pt>
                <c:pt idx="16">
                  <c:v>0.76291079812206575</c:v>
                </c:pt>
                <c:pt idx="17">
                  <c:v>0.70157068062827221</c:v>
                </c:pt>
                <c:pt idx="18">
                  <c:v>0.78445229681978801</c:v>
                </c:pt>
                <c:pt idx="19">
                  <c:v>0.74489795918367352</c:v>
                </c:pt>
                <c:pt idx="20">
                  <c:v>0.70707070707070707</c:v>
                </c:pt>
                <c:pt idx="21">
                  <c:v>0.82059800664451832</c:v>
                </c:pt>
                <c:pt idx="22">
                  <c:v>0.81418918918918914</c:v>
                </c:pt>
                <c:pt idx="23">
                  <c:v>0.86734693877551017</c:v>
                </c:pt>
                <c:pt idx="24">
                  <c:v>0.91935483870967738</c:v>
                </c:pt>
                <c:pt idx="25">
                  <c:v>0.8779342723004695</c:v>
                </c:pt>
                <c:pt idx="26">
                  <c:v>0.85613207547169812</c:v>
                </c:pt>
                <c:pt idx="27">
                  <c:v>0.79353233830845771</c:v>
                </c:pt>
                <c:pt idx="28">
                  <c:v>0.77157360406091369</c:v>
                </c:pt>
                <c:pt idx="29">
                  <c:v>0.77722772277227725</c:v>
                </c:pt>
                <c:pt idx="30">
                  <c:v>0.74615384615384617</c:v>
                </c:pt>
                <c:pt idx="31">
                  <c:v>0.74935400516795869</c:v>
                </c:pt>
                <c:pt idx="32">
                  <c:v>0.76092544987146526</c:v>
                </c:pt>
                <c:pt idx="33">
                  <c:v>0.77353689567430028</c:v>
                </c:pt>
                <c:pt idx="34">
                  <c:v>0.8133971291866029</c:v>
                </c:pt>
                <c:pt idx="35">
                  <c:v>0.80885780885780889</c:v>
                </c:pt>
                <c:pt idx="36">
                  <c:v>0.74501108647450109</c:v>
                </c:pt>
                <c:pt idx="37">
                  <c:v>0.8294117647058824</c:v>
                </c:pt>
                <c:pt idx="38">
                  <c:v>0.83518930957683746</c:v>
                </c:pt>
                <c:pt idx="39">
                  <c:v>0.7870967741935484</c:v>
                </c:pt>
                <c:pt idx="40">
                  <c:v>0.87982832618025753</c:v>
                </c:pt>
                <c:pt idx="41">
                  <c:v>0.92281879194630867</c:v>
                </c:pt>
                <c:pt idx="42">
                  <c:v>0.95205479452054798</c:v>
                </c:pt>
                <c:pt idx="43">
                  <c:v>0.94197292069632499</c:v>
                </c:pt>
                <c:pt idx="44">
                  <c:v>0.9498069498069498</c:v>
                </c:pt>
                <c:pt idx="45">
                  <c:v>0.93581780538302273</c:v>
                </c:pt>
                <c:pt idx="46">
                  <c:v>0.94199999999999995</c:v>
                </c:pt>
                <c:pt idx="47">
                  <c:v>0.92600422832980978</c:v>
                </c:pt>
                <c:pt idx="48">
                  <c:v>0.95411089866156784</c:v>
                </c:pt>
                <c:pt idx="49">
                  <c:v>0.94839857651245552</c:v>
                </c:pt>
                <c:pt idx="50">
                  <c:v>0.85251798561151082</c:v>
                </c:pt>
                <c:pt idx="51">
                  <c:v>0.91874999999999996</c:v>
                </c:pt>
                <c:pt idx="52">
                  <c:v>0.93320610687022898</c:v>
                </c:pt>
                <c:pt idx="53">
                  <c:v>0.92213114754098358</c:v>
                </c:pt>
                <c:pt idx="54">
                  <c:v>0.92177589852008457</c:v>
                </c:pt>
                <c:pt idx="55">
                  <c:v>0.92692307692307696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B-47C0-B1CC-859C12F47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750367"/>
        <c:axId val="1027371055"/>
      </c:scatterChart>
      <c:valAx>
        <c:axId val="10997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1055"/>
        <c:crosses val="autoZero"/>
        <c:crossBetween val="midCat"/>
      </c:valAx>
      <c:valAx>
        <c:axId val="10273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N23Mambau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656824146981626E-2"/>
                  <c:y val="0.21450823855351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N23Mambau!$G$2:$G$57</c:f>
              <c:numCache>
                <c:formatCode>0.0%</c:formatCode>
                <c:ptCount val="56"/>
                <c:pt idx="0">
                  <c:v>0.14210526315789473</c:v>
                </c:pt>
                <c:pt idx="1">
                  <c:v>7.1052631578947367E-2</c:v>
                </c:pt>
                <c:pt idx="2">
                  <c:v>8.4210526315789472E-2</c:v>
                </c:pt>
                <c:pt idx="3">
                  <c:v>0.13709677419354838</c:v>
                </c:pt>
                <c:pt idx="4">
                  <c:v>0.18035426731078905</c:v>
                </c:pt>
                <c:pt idx="5">
                  <c:v>0.22222222222222221</c:v>
                </c:pt>
                <c:pt idx="6">
                  <c:v>0.15135135135135136</c:v>
                </c:pt>
                <c:pt idx="7">
                  <c:v>0.18648018648018649</c:v>
                </c:pt>
                <c:pt idx="8">
                  <c:v>5.128205128205128E-2</c:v>
                </c:pt>
                <c:pt idx="9">
                  <c:v>0.45263157894736844</c:v>
                </c:pt>
                <c:pt idx="10">
                  <c:v>0.47631578947368419</c:v>
                </c:pt>
                <c:pt idx="11">
                  <c:v>0.4631578947368421</c:v>
                </c:pt>
                <c:pt idx="12">
                  <c:v>0.4101694915254237</c:v>
                </c:pt>
                <c:pt idx="13">
                  <c:v>0.4152542372881356</c:v>
                </c:pt>
                <c:pt idx="14">
                  <c:v>0.47457627118644069</c:v>
                </c:pt>
                <c:pt idx="15">
                  <c:v>0.1275</c:v>
                </c:pt>
                <c:pt idx="16">
                  <c:v>0.14735099337748345</c:v>
                </c:pt>
                <c:pt idx="17">
                  <c:v>0.34054054054054056</c:v>
                </c:pt>
                <c:pt idx="18">
                  <c:v>0.28378378378378377</c:v>
                </c:pt>
                <c:pt idx="19">
                  <c:v>0.3</c:v>
                </c:pt>
                <c:pt idx="20">
                  <c:v>0.26216216216216215</c:v>
                </c:pt>
                <c:pt idx="21">
                  <c:v>0.25945945945945947</c:v>
                </c:pt>
                <c:pt idx="22">
                  <c:v>0.26486486486486488</c:v>
                </c:pt>
                <c:pt idx="23">
                  <c:v>0.25405405405405407</c:v>
                </c:pt>
                <c:pt idx="24">
                  <c:v>0.2754158964879852</c:v>
                </c:pt>
                <c:pt idx="25">
                  <c:v>0.29574861367837341</c:v>
                </c:pt>
                <c:pt idx="26">
                  <c:v>0.28096118299445472</c:v>
                </c:pt>
                <c:pt idx="27">
                  <c:v>0.29020332717190389</c:v>
                </c:pt>
                <c:pt idx="28">
                  <c:v>0.25878003696857671</c:v>
                </c:pt>
                <c:pt idx="29">
                  <c:v>0.29944547134935307</c:v>
                </c:pt>
                <c:pt idx="30">
                  <c:v>0.25878003696857671</c:v>
                </c:pt>
                <c:pt idx="31">
                  <c:v>0.23616236162361623</c:v>
                </c:pt>
                <c:pt idx="32">
                  <c:v>0.25645756457564578</c:v>
                </c:pt>
                <c:pt idx="33">
                  <c:v>0.29704797047970477</c:v>
                </c:pt>
                <c:pt idx="34">
                  <c:v>0.34317343173431736</c:v>
                </c:pt>
                <c:pt idx="35">
                  <c:v>0.36531365313653136</c:v>
                </c:pt>
                <c:pt idx="36">
                  <c:v>0.35793357933579334</c:v>
                </c:pt>
                <c:pt idx="37">
                  <c:v>0.25333333333333335</c:v>
                </c:pt>
                <c:pt idx="38">
                  <c:v>0.23278688524590163</c:v>
                </c:pt>
                <c:pt idx="39">
                  <c:v>0.27495908346972175</c:v>
                </c:pt>
                <c:pt idx="40">
                  <c:v>0.1763157894736842</c:v>
                </c:pt>
                <c:pt idx="41">
                  <c:v>0.15789473684210525</c:v>
                </c:pt>
                <c:pt idx="42">
                  <c:v>0.11842105263157894</c:v>
                </c:pt>
                <c:pt idx="43">
                  <c:v>0.12481857764876633</c:v>
                </c:pt>
                <c:pt idx="44">
                  <c:v>0.12191582002902758</c:v>
                </c:pt>
                <c:pt idx="45">
                  <c:v>7.982583454281568E-2</c:v>
                </c:pt>
                <c:pt idx="46">
                  <c:v>0.14078374455732948</c:v>
                </c:pt>
                <c:pt idx="47">
                  <c:v>0.11030478955007257</c:v>
                </c:pt>
                <c:pt idx="48">
                  <c:v>0.10595065312046444</c:v>
                </c:pt>
                <c:pt idx="49">
                  <c:v>0.10885341074020319</c:v>
                </c:pt>
                <c:pt idx="50">
                  <c:v>0.47368421052631576</c:v>
                </c:pt>
                <c:pt idx="51">
                  <c:v>0.44473684210526315</c:v>
                </c:pt>
                <c:pt idx="52">
                  <c:v>0.39417177914110429</c:v>
                </c:pt>
                <c:pt idx="53">
                  <c:v>0.39570552147239263</c:v>
                </c:pt>
                <c:pt idx="54">
                  <c:v>0.37883435582822084</c:v>
                </c:pt>
                <c:pt idx="55">
                  <c:v>0.36809815950920244</c:v>
                </c:pt>
              </c:numCache>
            </c:numRef>
          </c:xVal>
          <c:yVal>
            <c:numRef>
              <c:f>N23Mambau!$B$2:$B$57</c:f>
              <c:numCache>
                <c:formatCode>0.0%</c:formatCode>
                <c:ptCount val="56"/>
                <c:pt idx="0">
                  <c:v>0.77153558052434457</c:v>
                </c:pt>
                <c:pt idx="1">
                  <c:v>0.81172839506172845</c:v>
                </c:pt>
                <c:pt idx="2">
                  <c:v>0.82461538461538464</c:v>
                </c:pt>
                <c:pt idx="3">
                  <c:v>0.88304093567251463</c:v>
                </c:pt>
                <c:pt idx="4">
                  <c:v>0.89324618736383443</c:v>
                </c:pt>
                <c:pt idx="5">
                  <c:v>0.84472049689440998</c:v>
                </c:pt>
                <c:pt idx="6">
                  <c:v>0.48943661971830987</c:v>
                </c:pt>
                <c:pt idx="7">
                  <c:v>0.57434402332361512</c:v>
                </c:pt>
                <c:pt idx="8">
                  <c:v>0.33024691358024694</c:v>
                </c:pt>
                <c:pt idx="9">
                  <c:v>0.8203125</c:v>
                </c:pt>
                <c:pt idx="10">
                  <c:v>0.81625441696113077</c:v>
                </c:pt>
                <c:pt idx="11">
                  <c:v>0.83389830508474572</c:v>
                </c:pt>
                <c:pt idx="12">
                  <c:v>0.8482142857142857</c:v>
                </c:pt>
                <c:pt idx="13">
                  <c:v>0.85441527446300713</c:v>
                </c:pt>
                <c:pt idx="14">
                  <c:v>0.852112676056338</c:v>
                </c:pt>
                <c:pt idx="15">
                  <c:v>0.80201342281879195</c:v>
                </c:pt>
                <c:pt idx="16">
                  <c:v>0.76291079812206575</c:v>
                </c:pt>
                <c:pt idx="17">
                  <c:v>0.70157068062827221</c:v>
                </c:pt>
                <c:pt idx="18">
                  <c:v>0.78445229681978801</c:v>
                </c:pt>
                <c:pt idx="19">
                  <c:v>0.74489795918367352</c:v>
                </c:pt>
                <c:pt idx="20">
                  <c:v>0.70707070707070707</c:v>
                </c:pt>
                <c:pt idx="21">
                  <c:v>0.82059800664451832</c:v>
                </c:pt>
                <c:pt idx="22">
                  <c:v>0.81418918918918914</c:v>
                </c:pt>
                <c:pt idx="23">
                  <c:v>0.86734693877551017</c:v>
                </c:pt>
                <c:pt idx="24">
                  <c:v>0.91935483870967738</c:v>
                </c:pt>
                <c:pt idx="25">
                  <c:v>0.8779342723004695</c:v>
                </c:pt>
                <c:pt idx="26">
                  <c:v>0.85613207547169812</c:v>
                </c:pt>
                <c:pt idx="27">
                  <c:v>0.79353233830845771</c:v>
                </c:pt>
                <c:pt idx="28">
                  <c:v>0.77157360406091369</c:v>
                </c:pt>
                <c:pt idx="29">
                  <c:v>0.77722772277227725</c:v>
                </c:pt>
                <c:pt idx="30">
                  <c:v>0.74615384615384617</c:v>
                </c:pt>
                <c:pt idx="31">
                  <c:v>0.74935400516795869</c:v>
                </c:pt>
                <c:pt idx="32">
                  <c:v>0.76092544987146526</c:v>
                </c:pt>
                <c:pt idx="33">
                  <c:v>0.77353689567430028</c:v>
                </c:pt>
                <c:pt idx="34">
                  <c:v>0.8133971291866029</c:v>
                </c:pt>
                <c:pt idx="35">
                  <c:v>0.80885780885780889</c:v>
                </c:pt>
                <c:pt idx="36">
                  <c:v>0.74501108647450109</c:v>
                </c:pt>
                <c:pt idx="37">
                  <c:v>0.8294117647058824</c:v>
                </c:pt>
                <c:pt idx="38">
                  <c:v>0.83518930957683746</c:v>
                </c:pt>
                <c:pt idx="39">
                  <c:v>0.7870967741935484</c:v>
                </c:pt>
                <c:pt idx="40">
                  <c:v>0.87982832618025753</c:v>
                </c:pt>
                <c:pt idx="41">
                  <c:v>0.92281879194630867</c:v>
                </c:pt>
                <c:pt idx="42">
                  <c:v>0.95205479452054798</c:v>
                </c:pt>
                <c:pt idx="43">
                  <c:v>0.94197292069632499</c:v>
                </c:pt>
                <c:pt idx="44">
                  <c:v>0.9498069498069498</c:v>
                </c:pt>
                <c:pt idx="45">
                  <c:v>0.93581780538302273</c:v>
                </c:pt>
                <c:pt idx="46">
                  <c:v>0.94199999999999995</c:v>
                </c:pt>
                <c:pt idx="47">
                  <c:v>0.92600422832980978</c:v>
                </c:pt>
                <c:pt idx="48">
                  <c:v>0.95411089866156784</c:v>
                </c:pt>
                <c:pt idx="49">
                  <c:v>0.94839857651245552</c:v>
                </c:pt>
                <c:pt idx="50">
                  <c:v>0.85251798561151082</c:v>
                </c:pt>
                <c:pt idx="51">
                  <c:v>0.91874999999999996</c:v>
                </c:pt>
                <c:pt idx="52">
                  <c:v>0.93320610687022898</c:v>
                </c:pt>
                <c:pt idx="53">
                  <c:v>0.92213114754098358</c:v>
                </c:pt>
                <c:pt idx="54">
                  <c:v>0.92177589852008457</c:v>
                </c:pt>
                <c:pt idx="55">
                  <c:v>0.92692307692307696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D8-4AC5-9AF6-D8065A532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750367"/>
        <c:axId val="1027371055"/>
      </c:scatterChart>
      <c:valAx>
        <c:axId val="10997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71055"/>
        <c:crosses val="autoZero"/>
        <c:crossBetween val="midCat"/>
      </c:valAx>
      <c:valAx>
        <c:axId val="10273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7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N24SerembanJaya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587707786526681E-2"/>
                  <c:y val="0.18116579177602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N24SerembanJaya!$E$2:$E$60</c:f>
              <c:numCache>
                <c:formatCode>0.0%</c:formatCode>
                <c:ptCount val="59"/>
                <c:pt idx="0">
                  <c:v>2.368421052631579E-2</c:v>
                </c:pt>
                <c:pt idx="1">
                  <c:v>2.368421052631579E-2</c:v>
                </c:pt>
                <c:pt idx="2">
                  <c:v>2.4916943521594685E-2</c:v>
                </c:pt>
                <c:pt idx="3">
                  <c:v>4.975124378109453E-2</c:v>
                </c:pt>
                <c:pt idx="4">
                  <c:v>5.6384742951907131E-2</c:v>
                </c:pt>
                <c:pt idx="5">
                  <c:v>5.9701492537313432E-2</c:v>
                </c:pt>
                <c:pt idx="6">
                  <c:v>7.8947368421052634E-3</c:v>
                </c:pt>
                <c:pt idx="7">
                  <c:v>2.1052631578947368E-2</c:v>
                </c:pt>
                <c:pt idx="8">
                  <c:v>2.8947368421052631E-2</c:v>
                </c:pt>
                <c:pt idx="9">
                  <c:v>5.306799336650083E-2</c:v>
                </c:pt>
                <c:pt idx="10">
                  <c:v>8.2781456953642391E-2</c:v>
                </c:pt>
                <c:pt idx="11">
                  <c:v>9.7682119205298013E-2</c:v>
                </c:pt>
                <c:pt idx="12">
                  <c:v>0.19205298013245034</c:v>
                </c:pt>
                <c:pt idx="13">
                  <c:v>0</c:v>
                </c:pt>
                <c:pt idx="14">
                  <c:v>5.263157894736842E-3</c:v>
                </c:pt>
                <c:pt idx="15">
                  <c:v>2.631578947368421E-3</c:v>
                </c:pt>
                <c:pt idx="16">
                  <c:v>5.6603773584905656E-3</c:v>
                </c:pt>
                <c:pt idx="17">
                  <c:v>5.6497175141242938E-3</c:v>
                </c:pt>
                <c:pt idx="18">
                  <c:v>3.7664783427495289E-2</c:v>
                </c:pt>
                <c:pt idx="19">
                  <c:v>0.44324324324324327</c:v>
                </c:pt>
                <c:pt idx="20">
                  <c:v>0.48378378378378378</c:v>
                </c:pt>
                <c:pt idx="21">
                  <c:v>0.37968750000000001</c:v>
                </c:pt>
                <c:pt idx="22">
                  <c:v>0.421875</c:v>
                </c:pt>
                <c:pt idx="23">
                  <c:v>0.52812499999999996</c:v>
                </c:pt>
                <c:pt idx="24">
                  <c:v>0.54602184087363492</c:v>
                </c:pt>
                <c:pt idx="25">
                  <c:v>0.21621621621621623</c:v>
                </c:pt>
                <c:pt idx="26">
                  <c:v>0.3</c:v>
                </c:pt>
                <c:pt idx="27">
                  <c:v>0.42972972972972973</c:v>
                </c:pt>
                <c:pt idx="28">
                  <c:v>0.49459459459459459</c:v>
                </c:pt>
                <c:pt idx="29">
                  <c:v>0.41351351351351351</c:v>
                </c:pt>
                <c:pt idx="30">
                  <c:v>0.30163447251114411</c:v>
                </c:pt>
                <c:pt idx="31">
                  <c:v>0.23922734026745915</c:v>
                </c:pt>
                <c:pt idx="32">
                  <c:v>0.21693907875185736</c:v>
                </c:pt>
                <c:pt idx="33">
                  <c:v>0.21248142644873699</c:v>
                </c:pt>
                <c:pt idx="34">
                  <c:v>0.22288261515601784</c:v>
                </c:pt>
                <c:pt idx="35">
                  <c:v>0.30460624071322434</c:v>
                </c:pt>
                <c:pt idx="36">
                  <c:v>0.41158989598811291</c:v>
                </c:pt>
                <c:pt idx="37">
                  <c:v>0.43536404160475484</c:v>
                </c:pt>
                <c:pt idx="38">
                  <c:v>0.43982169390787518</c:v>
                </c:pt>
                <c:pt idx="39">
                  <c:v>0.43323442136498519</c:v>
                </c:pt>
                <c:pt idx="40">
                  <c:v>0.43916913946587538</c:v>
                </c:pt>
                <c:pt idx="41">
                  <c:v>0.43768545994065283</c:v>
                </c:pt>
                <c:pt idx="42">
                  <c:v>0.41988130563798221</c:v>
                </c:pt>
                <c:pt idx="43">
                  <c:v>0.43323442136498519</c:v>
                </c:pt>
                <c:pt idx="44">
                  <c:v>0.40504451038575667</c:v>
                </c:pt>
                <c:pt idx="45">
                  <c:v>0.3857566765578635</c:v>
                </c:pt>
                <c:pt idx="46">
                  <c:v>0.39169139465875369</c:v>
                </c:pt>
                <c:pt idx="47">
                  <c:v>8.6842105263157901E-2</c:v>
                </c:pt>
                <c:pt idx="48">
                  <c:v>5.7894736842105263E-2</c:v>
                </c:pt>
                <c:pt idx="49">
                  <c:v>7.6315789473684212E-2</c:v>
                </c:pt>
                <c:pt idx="50">
                  <c:v>0.11052631578947368</c:v>
                </c:pt>
                <c:pt idx="51">
                  <c:v>0.10238907849829351</c:v>
                </c:pt>
                <c:pt idx="52">
                  <c:v>0.11433447098976109</c:v>
                </c:pt>
                <c:pt idx="53">
                  <c:v>0.33055555555555555</c:v>
                </c:pt>
                <c:pt idx="54">
                  <c:v>0.25</c:v>
                </c:pt>
                <c:pt idx="55">
                  <c:v>0.25555555555555554</c:v>
                </c:pt>
                <c:pt idx="56">
                  <c:v>0.24927536231884059</c:v>
                </c:pt>
                <c:pt idx="57">
                  <c:v>0.38260869565217392</c:v>
                </c:pt>
                <c:pt idx="58">
                  <c:v>0.38929088277858176</c:v>
                </c:pt>
              </c:numCache>
            </c:numRef>
          </c:xVal>
          <c:yVal>
            <c:numRef>
              <c:f>N24SerembanJaya!$A$2:$A$60</c:f>
              <c:numCache>
                <c:formatCode>0.0%</c:formatCode>
                <c:ptCount val="59"/>
                <c:pt idx="0">
                  <c:v>0.61315789473684212</c:v>
                </c:pt>
                <c:pt idx="1">
                  <c:v>0.78947368421052633</c:v>
                </c:pt>
                <c:pt idx="2">
                  <c:v>0.75747508305647837</c:v>
                </c:pt>
                <c:pt idx="3">
                  <c:v>0.7595356550580431</c:v>
                </c:pt>
                <c:pt idx="4">
                  <c:v>0.72139303482587069</c:v>
                </c:pt>
                <c:pt idx="5">
                  <c:v>0.76616915422885568</c:v>
                </c:pt>
                <c:pt idx="6">
                  <c:v>0.59473684210526312</c:v>
                </c:pt>
                <c:pt idx="7">
                  <c:v>0.78157894736842104</c:v>
                </c:pt>
                <c:pt idx="8">
                  <c:v>0.79210526315789476</c:v>
                </c:pt>
                <c:pt idx="9">
                  <c:v>0.75456053067993367</c:v>
                </c:pt>
                <c:pt idx="10">
                  <c:v>0.69536423841059603</c:v>
                </c:pt>
                <c:pt idx="11">
                  <c:v>0.6870860927152318</c:v>
                </c:pt>
                <c:pt idx="12">
                  <c:v>0.79635761589403975</c:v>
                </c:pt>
                <c:pt idx="13">
                  <c:v>0.57894736842105265</c:v>
                </c:pt>
                <c:pt idx="14">
                  <c:v>0.75789473684210529</c:v>
                </c:pt>
                <c:pt idx="15">
                  <c:v>0.84210526315789469</c:v>
                </c:pt>
                <c:pt idx="16">
                  <c:v>0.81509433962264155</c:v>
                </c:pt>
                <c:pt idx="17">
                  <c:v>0.77589453860640301</c:v>
                </c:pt>
                <c:pt idx="18">
                  <c:v>0.78907721280602638</c:v>
                </c:pt>
                <c:pt idx="19">
                  <c:v>0.77837837837837842</c:v>
                </c:pt>
                <c:pt idx="20">
                  <c:v>0.8540540540540541</c:v>
                </c:pt>
                <c:pt idx="21">
                  <c:v>0.82187500000000002</c:v>
                </c:pt>
                <c:pt idx="22">
                  <c:v>0.77500000000000002</c:v>
                </c:pt>
                <c:pt idx="23">
                  <c:v>0.77656250000000004</c:v>
                </c:pt>
                <c:pt idx="24">
                  <c:v>0.80811232449297976</c:v>
                </c:pt>
                <c:pt idx="25">
                  <c:v>0.58648648648648649</c:v>
                </c:pt>
                <c:pt idx="26">
                  <c:v>0.78648648648648645</c:v>
                </c:pt>
                <c:pt idx="27">
                  <c:v>0.87297297297297294</c:v>
                </c:pt>
                <c:pt idx="28">
                  <c:v>0.86216216216216213</c:v>
                </c:pt>
                <c:pt idx="29">
                  <c:v>0.81891891891891888</c:v>
                </c:pt>
                <c:pt idx="30">
                  <c:v>0.83952451708766718</c:v>
                </c:pt>
                <c:pt idx="31">
                  <c:v>0.82912332838038638</c:v>
                </c:pt>
                <c:pt idx="32">
                  <c:v>0.80980683506686479</c:v>
                </c:pt>
                <c:pt idx="33">
                  <c:v>0.80386329866270434</c:v>
                </c:pt>
                <c:pt idx="34">
                  <c:v>0.74294205052005946</c:v>
                </c:pt>
                <c:pt idx="35">
                  <c:v>0.7265973254086181</c:v>
                </c:pt>
                <c:pt idx="36">
                  <c:v>0.70876671619613674</c:v>
                </c:pt>
                <c:pt idx="37">
                  <c:v>0.70728083209509662</c:v>
                </c:pt>
                <c:pt idx="38">
                  <c:v>0.72808320950965821</c:v>
                </c:pt>
                <c:pt idx="39">
                  <c:v>0.70623145400593468</c:v>
                </c:pt>
                <c:pt idx="40">
                  <c:v>0.74183976261127593</c:v>
                </c:pt>
                <c:pt idx="41">
                  <c:v>0.72700296735905046</c:v>
                </c:pt>
                <c:pt idx="42">
                  <c:v>0.79525222551928787</c:v>
                </c:pt>
                <c:pt idx="43">
                  <c:v>0.8086053412462908</c:v>
                </c:pt>
                <c:pt idx="44">
                  <c:v>0.8086053412462908</c:v>
                </c:pt>
                <c:pt idx="45">
                  <c:v>0.8056379821958457</c:v>
                </c:pt>
                <c:pt idx="46">
                  <c:v>0.84272997032640951</c:v>
                </c:pt>
                <c:pt idx="47">
                  <c:v>0.75</c:v>
                </c:pt>
                <c:pt idx="48">
                  <c:v>0.79736842105263162</c:v>
                </c:pt>
                <c:pt idx="49">
                  <c:v>0.76578947368421058</c:v>
                </c:pt>
                <c:pt idx="50">
                  <c:v>0.72631578947368425</c:v>
                </c:pt>
                <c:pt idx="51">
                  <c:v>0.75426621160409557</c:v>
                </c:pt>
                <c:pt idx="52">
                  <c:v>0.79180887372013653</c:v>
                </c:pt>
                <c:pt idx="53">
                  <c:v>0.73611111111111116</c:v>
                </c:pt>
                <c:pt idx="54">
                  <c:v>0.85833333333333328</c:v>
                </c:pt>
                <c:pt idx="55">
                  <c:v>0.78333333333333333</c:v>
                </c:pt>
                <c:pt idx="56">
                  <c:v>0.77101449275362322</c:v>
                </c:pt>
                <c:pt idx="57">
                  <c:v>0.77971014492753621</c:v>
                </c:pt>
                <c:pt idx="58">
                  <c:v>0.7858176555716353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A-4E6F-8B3C-1FD9DBB0C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93039"/>
        <c:axId val="285443567"/>
      </c:scatterChart>
      <c:valAx>
        <c:axId val="110289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43567"/>
        <c:crosses val="autoZero"/>
        <c:crossBetween val="midCat"/>
      </c:valAx>
      <c:valAx>
        <c:axId val="285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N24SerembanJaya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587707786526681E-2"/>
                  <c:y val="0.18116579177602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N24SerembanJaya!$F$2:$F$60</c:f>
              <c:numCache>
                <c:formatCode>0.0%</c:formatCode>
                <c:ptCount val="59"/>
                <c:pt idx="0">
                  <c:v>0.8236842105263158</c:v>
                </c:pt>
                <c:pt idx="1">
                  <c:v>0.80526315789473679</c:v>
                </c:pt>
                <c:pt idx="2">
                  <c:v>0.84883720930232553</c:v>
                </c:pt>
                <c:pt idx="3">
                  <c:v>0.8192371475953566</c:v>
                </c:pt>
                <c:pt idx="4">
                  <c:v>0.80431177446102819</c:v>
                </c:pt>
                <c:pt idx="5">
                  <c:v>0.76948590381426207</c:v>
                </c:pt>
                <c:pt idx="6">
                  <c:v>0.84473684210526312</c:v>
                </c:pt>
                <c:pt idx="7">
                  <c:v>0.85789473684210527</c:v>
                </c:pt>
                <c:pt idx="8">
                  <c:v>0.85</c:v>
                </c:pt>
                <c:pt idx="9">
                  <c:v>0.83913764510779432</c:v>
                </c:pt>
                <c:pt idx="10">
                  <c:v>0.79139072847682124</c:v>
                </c:pt>
                <c:pt idx="11">
                  <c:v>0.76158940397350994</c:v>
                </c:pt>
                <c:pt idx="12">
                  <c:v>0.64403973509933776</c:v>
                </c:pt>
                <c:pt idx="13">
                  <c:v>0.93421052631578949</c:v>
                </c:pt>
                <c:pt idx="14">
                  <c:v>0.95789473684210524</c:v>
                </c:pt>
                <c:pt idx="15">
                  <c:v>0.93684210526315792</c:v>
                </c:pt>
                <c:pt idx="16">
                  <c:v>0.93396226415094341</c:v>
                </c:pt>
                <c:pt idx="17">
                  <c:v>0.9152542372881356</c:v>
                </c:pt>
                <c:pt idx="18">
                  <c:v>0.82674199623352163</c:v>
                </c:pt>
                <c:pt idx="19">
                  <c:v>0.10810810810810811</c:v>
                </c:pt>
                <c:pt idx="20">
                  <c:v>9.1891891891891897E-2</c:v>
                </c:pt>
                <c:pt idx="21">
                  <c:v>0.12656249999999999</c:v>
                </c:pt>
                <c:pt idx="22">
                  <c:v>0.11874999999999999</c:v>
                </c:pt>
                <c:pt idx="23">
                  <c:v>7.4999999999999997E-2</c:v>
                </c:pt>
                <c:pt idx="24">
                  <c:v>4.5241809672386897E-2</c:v>
                </c:pt>
                <c:pt idx="25">
                  <c:v>0.42702702702702705</c:v>
                </c:pt>
                <c:pt idx="26">
                  <c:v>0.42972972972972973</c:v>
                </c:pt>
                <c:pt idx="27">
                  <c:v>0.35945945945945945</c:v>
                </c:pt>
                <c:pt idx="28">
                  <c:v>0.3</c:v>
                </c:pt>
                <c:pt idx="29">
                  <c:v>0.34324324324324323</c:v>
                </c:pt>
                <c:pt idx="30">
                  <c:v>0.40267459138187223</c:v>
                </c:pt>
                <c:pt idx="31">
                  <c:v>0.42793462109955421</c:v>
                </c:pt>
                <c:pt idx="32">
                  <c:v>0.41901931649331353</c:v>
                </c:pt>
                <c:pt idx="33">
                  <c:v>0.44576523031203569</c:v>
                </c:pt>
                <c:pt idx="34">
                  <c:v>0.44576523031203569</c:v>
                </c:pt>
                <c:pt idx="35">
                  <c:v>0.3952451708766716</c:v>
                </c:pt>
                <c:pt idx="36">
                  <c:v>0.3476968796433878</c:v>
                </c:pt>
                <c:pt idx="37">
                  <c:v>0.32243684992570582</c:v>
                </c:pt>
                <c:pt idx="38">
                  <c:v>0.30609212481426451</c:v>
                </c:pt>
                <c:pt idx="39">
                  <c:v>0.30267062314540061</c:v>
                </c:pt>
                <c:pt idx="40">
                  <c:v>0.29821958456973297</c:v>
                </c:pt>
                <c:pt idx="41">
                  <c:v>0.30118694362017806</c:v>
                </c:pt>
                <c:pt idx="42">
                  <c:v>0.31305637982195844</c:v>
                </c:pt>
                <c:pt idx="43">
                  <c:v>0.28635014836795253</c:v>
                </c:pt>
                <c:pt idx="44">
                  <c:v>0.28635014836795253</c:v>
                </c:pt>
                <c:pt idx="45">
                  <c:v>0.31899109792284869</c:v>
                </c:pt>
                <c:pt idx="46">
                  <c:v>0.31157270029673589</c:v>
                </c:pt>
                <c:pt idx="47">
                  <c:v>0.56052631578947365</c:v>
                </c:pt>
                <c:pt idx="48">
                  <c:v>0.65</c:v>
                </c:pt>
                <c:pt idx="49">
                  <c:v>0.58157894736842108</c:v>
                </c:pt>
                <c:pt idx="50">
                  <c:v>0.62105263157894741</c:v>
                </c:pt>
                <c:pt idx="51">
                  <c:v>0.6774744027303754</c:v>
                </c:pt>
                <c:pt idx="52">
                  <c:v>0.65699658703071673</c:v>
                </c:pt>
                <c:pt idx="53">
                  <c:v>0.17222222222222222</c:v>
                </c:pt>
                <c:pt idx="54">
                  <c:v>0.18611111111111112</c:v>
                </c:pt>
                <c:pt idx="55">
                  <c:v>0.2638888888888889</c:v>
                </c:pt>
                <c:pt idx="56">
                  <c:v>0.1855072463768116</c:v>
                </c:pt>
                <c:pt idx="57">
                  <c:v>0.13043478260869565</c:v>
                </c:pt>
                <c:pt idx="58">
                  <c:v>0.15629522431259044</c:v>
                </c:pt>
              </c:numCache>
            </c:numRef>
          </c:xVal>
          <c:yVal>
            <c:numRef>
              <c:f>N24SerembanJaya!$A$2:$A$60</c:f>
              <c:numCache>
                <c:formatCode>0.0%</c:formatCode>
                <c:ptCount val="59"/>
                <c:pt idx="0">
                  <c:v>0.61315789473684212</c:v>
                </c:pt>
                <c:pt idx="1">
                  <c:v>0.78947368421052633</c:v>
                </c:pt>
                <c:pt idx="2">
                  <c:v>0.75747508305647837</c:v>
                </c:pt>
                <c:pt idx="3">
                  <c:v>0.7595356550580431</c:v>
                </c:pt>
                <c:pt idx="4">
                  <c:v>0.72139303482587069</c:v>
                </c:pt>
                <c:pt idx="5">
                  <c:v>0.76616915422885568</c:v>
                </c:pt>
                <c:pt idx="6">
                  <c:v>0.59473684210526312</c:v>
                </c:pt>
                <c:pt idx="7">
                  <c:v>0.78157894736842104</c:v>
                </c:pt>
                <c:pt idx="8">
                  <c:v>0.79210526315789476</c:v>
                </c:pt>
                <c:pt idx="9">
                  <c:v>0.75456053067993367</c:v>
                </c:pt>
                <c:pt idx="10">
                  <c:v>0.69536423841059603</c:v>
                </c:pt>
                <c:pt idx="11">
                  <c:v>0.6870860927152318</c:v>
                </c:pt>
                <c:pt idx="12">
                  <c:v>0.79635761589403975</c:v>
                </c:pt>
                <c:pt idx="13">
                  <c:v>0.57894736842105265</c:v>
                </c:pt>
                <c:pt idx="14">
                  <c:v>0.75789473684210529</c:v>
                </c:pt>
                <c:pt idx="15">
                  <c:v>0.84210526315789469</c:v>
                </c:pt>
                <c:pt idx="16">
                  <c:v>0.81509433962264155</c:v>
                </c:pt>
                <c:pt idx="17">
                  <c:v>0.77589453860640301</c:v>
                </c:pt>
                <c:pt idx="18">
                  <c:v>0.78907721280602638</c:v>
                </c:pt>
                <c:pt idx="19">
                  <c:v>0.77837837837837842</c:v>
                </c:pt>
                <c:pt idx="20">
                  <c:v>0.8540540540540541</c:v>
                </c:pt>
                <c:pt idx="21">
                  <c:v>0.82187500000000002</c:v>
                </c:pt>
                <c:pt idx="22">
                  <c:v>0.77500000000000002</c:v>
                </c:pt>
                <c:pt idx="23">
                  <c:v>0.77656250000000004</c:v>
                </c:pt>
                <c:pt idx="24">
                  <c:v>0.80811232449297976</c:v>
                </c:pt>
                <c:pt idx="25">
                  <c:v>0.58648648648648649</c:v>
                </c:pt>
                <c:pt idx="26">
                  <c:v>0.78648648648648645</c:v>
                </c:pt>
                <c:pt idx="27">
                  <c:v>0.87297297297297294</c:v>
                </c:pt>
                <c:pt idx="28">
                  <c:v>0.86216216216216213</c:v>
                </c:pt>
                <c:pt idx="29">
                  <c:v>0.81891891891891888</c:v>
                </c:pt>
                <c:pt idx="30">
                  <c:v>0.83952451708766718</c:v>
                </c:pt>
                <c:pt idx="31">
                  <c:v>0.82912332838038638</c:v>
                </c:pt>
                <c:pt idx="32">
                  <c:v>0.80980683506686479</c:v>
                </c:pt>
                <c:pt idx="33">
                  <c:v>0.80386329866270434</c:v>
                </c:pt>
                <c:pt idx="34">
                  <c:v>0.74294205052005946</c:v>
                </c:pt>
                <c:pt idx="35">
                  <c:v>0.7265973254086181</c:v>
                </c:pt>
                <c:pt idx="36">
                  <c:v>0.70876671619613674</c:v>
                </c:pt>
                <c:pt idx="37">
                  <c:v>0.70728083209509662</c:v>
                </c:pt>
                <c:pt idx="38">
                  <c:v>0.72808320950965821</c:v>
                </c:pt>
                <c:pt idx="39">
                  <c:v>0.70623145400593468</c:v>
                </c:pt>
                <c:pt idx="40">
                  <c:v>0.74183976261127593</c:v>
                </c:pt>
                <c:pt idx="41">
                  <c:v>0.72700296735905046</c:v>
                </c:pt>
                <c:pt idx="42">
                  <c:v>0.79525222551928787</c:v>
                </c:pt>
                <c:pt idx="43">
                  <c:v>0.8086053412462908</c:v>
                </c:pt>
                <c:pt idx="44">
                  <c:v>0.8086053412462908</c:v>
                </c:pt>
                <c:pt idx="45">
                  <c:v>0.8056379821958457</c:v>
                </c:pt>
                <c:pt idx="46">
                  <c:v>0.84272997032640951</c:v>
                </c:pt>
                <c:pt idx="47">
                  <c:v>0.75</c:v>
                </c:pt>
                <c:pt idx="48">
                  <c:v>0.79736842105263162</c:v>
                </c:pt>
                <c:pt idx="49">
                  <c:v>0.76578947368421058</c:v>
                </c:pt>
                <c:pt idx="50">
                  <c:v>0.72631578947368425</c:v>
                </c:pt>
                <c:pt idx="51">
                  <c:v>0.75426621160409557</c:v>
                </c:pt>
                <c:pt idx="52">
                  <c:v>0.79180887372013653</c:v>
                </c:pt>
                <c:pt idx="53">
                  <c:v>0.73611111111111116</c:v>
                </c:pt>
                <c:pt idx="54">
                  <c:v>0.85833333333333328</c:v>
                </c:pt>
                <c:pt idx="55">
                  <c:v>0.78333333333333333</c:v>
                </c:pt>
                <c:pt idx="56">
                  <c:v>0.77101449275362322</c:v>
                </c:pt>
                <c:pt idx="57">
                  <c:v>0.77971014492753621</c:v>
                </c:pt>
                <c:pt idx="58">
                  <c:v>0.7858176555716353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B8-4BCE-A2D5-AB8F16F10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93039"/>
        <c:axId val="285443567"/>
      </c:scatterChart>
      <c:valAx>
        <c:axId val="110289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43567"/>
        <c:crosses val="autoZero"/>
        <c:crossBetween val="midCat"/>
      </c:valAx>
      <c:valAx>
        <c:axId val="285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N24SerembanJaya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587707786526681E-2"/>
                  <c:y val="0.18116579177602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N24SerembanJaya!$G$2:$G$60</c:f>
              <c:numCache>
                <c:formatCode>0.0%</c:formatCode>
                <c:ptCount val="59"/>
                <c:pt idx="0">
                  <c:v>0.13421052631578947</c:v>
                </c:pt>
                <c:pt idx="1">
                  <c:v>0.15526315789473685</c:v>
                </c:pt>
                <c:pt idx="2">
                  <c:v>0.10963455149501661</c:v>
                </c:pt>
                <c:pt idx="3">
                  <c:v>0.12271973466003316</c:v>
                </c:pt>
                <c:pt idx="4">
                  <c:v>0.13598673300165837</c:v>
                </c:pt>
                <c:pt idx="5">
                  <c:v>0.16583747927031509</c:v>
                </c:pt>
                <c:pt idx="6">
                  <c:v>0.13157894736842105</c:v>
                </c:pt>
                <c:pt idx="7">
                  <c:v>0.11052631578947368</c:v>
                </c:pt>
                <c:pt idx="8">
                  <c:v>0.11842105263157894</c:v>
                </c:pt>
                <c:pt idx="9">
                  <c:v>9.7844112769485903E-2</c:v>
                </c:pt>
                <c:pt idx="10">
                  <c:v>0.12086092715231789</c:v>
                </c:pt>
                <c:pt idx="11">
                  <c:v>0.13741721854304637</c:v>
                </c:pt>
                <c:pt idx="12">
                  <c:v>0.16390728476821192</c:v>
                </c:pt>
                <c:pt idx="13">
                  <c:v>6.0526315789473685E-2</c:v>
                </c:pt>
                <c:pt idx="14">
                  <c:v>3.4210526315789476E-2</c:v>
                </c:pt>
                <c:pt idx="15">
                  <c:v>5.7894736842105263E-2</c:v>
                </c:pt>
                <c:pt idx="16">
                  <c:v>5.4716981132075473E-2</c:v>
                </c:pt>
                <c:pt idx="17">
                  <c:v>7.7212806026365349E-2</c:v>
                </c:pt>
                <c:pt idx="18">
                  <c:v>0.13182674199623351</c:v>
                </c:pt>
                <c:pt idx="19">
                  <c:v>0.44054054054054054</c:v>
                </c:pt>
                <c:pt idx="20">
                  <c:v>0.42162162162162165</c:v>
                </c:pt>
                <c:pt idx="21">
                  <c:v>0.48125000000000001</c:v>
                </c:pt>
                <c:pt idx="22">
                  <c:v>0.45624999999999999</c:v>
                </c:pt>
                <c:pt idx="23">
                  <c:v>0.39531250000000001</c:v>
                </c:pt>
                <c:pt idx="24">
                  <c:v>0.40873634945397813</c:v>
                </c:pt>
                <c:pt idx="25">
                  <c:v>0.34864864864864864</c:v>
                </c:pt>
                <c:pt idx="26">
                  <c:v>0.26756756756756755</c:v>
                </c:pt>
                <c:pt idx="27">
                  <c:v>0.2</c:v>
                </c:pt>
                <c:pt idx="28">
                  <c:v>0.19729729729729731</c:v>
                </c:pt>
                <c:pt idx="29">
                  <c:v>0.23783783783783785</c:v>
                </c:pt>
                <c:pt idx="30">
                  <c:v>0.28231797919762258</c:v>
                </c:pt>
                <c:pt idx="31">
                  <c:v>0.32540861812778604</c:v>
                </c:pt>
                <c:pt idx="32">
                  <c:v>0.34918276374442792</c:v>
                </c:pt>
                <c:pt idx="33">
                  <c:v>0.32243684992570582</c:v>
                </c:pt>
                <c:pt idx="34">
                  <c:v>0.31352154531946508</c:v>
                </c:pt>
                <c:pt idx="35">
                  <c:v>0.28974739970282321</c:v>
                </c:pt>
                <c:pt idx="36">
                  <c:v>0.2288261515601783</c:v>
                </c:pt>
                <c:pt idx="37">
                  <c:v>0.22734026745913818</c:v>
                </c:pt>
                <c:pt idx="38">
                  <c:v>0.24665676077265974</c:v>
                </c:pt>
                <c:pt idx="39">
                  <c:v>0.25519287833827892</c:v>
                </c:pt>
                <c:pt idx="40">
                  <c:v>0.25222551928783382</c:v>
                </c:pt>
                <c:pt idx="41">
                  <c:v>0.25370919881305637</c:v>
                </c:pt>
                <c:pt idx="42">
                  <c:v>0.25964391691394662</c:v>
                </c:pt>
                <c:pt idx="43">
                  <c:v>0.27448071216617209</c:v>
                </c:pt>
                <c:pt idx="44">
                  <c:v>0.29970326409495551</c:v>
                </c:pt>
                <c:pt idx="45">
                  <c:v>0.28931750741839762</c:v>
                </c:pt>
                <c:pt idx="46">
                  <c:v>0.28486646884272998</c:v>
                </c:pt>
                <c:pt idx="47">
                  <c:v>0.34473684210526317</c:v>
                </c:pt>
                <c:pt idx="48">
                  <c:v>0.28421052631578947</c:v>
                </c:pt>
                <c:pt idx="49">
                  <c:v>0.33157894736842103</c:v>
                </c:pt>
                <c:pt idx="50">
                  <c:v>0.26842105263157895</c:v>
                </c:pt>
                <c:pt idx="51">
                  <c:v>0.21843003412969283</c:v>
                </c:pt>
                <c:pt idx="52">
                  <c:v>0.22866894197952217</c:v>
                </c:pt>
                <c:pt idx="53">
                  <c:v>0.49166666666666664</c:v>
                </c:pt>
                <c:pt idx="54">
                  <c:v>0.55833333333333335</c:v>
                </c:pt>
                <c:pt idx="55">
                  <c:v>0.4777777777777778</c:v>
                </c:pt>
                <c:pt idx="56">
                  <c:v>0.56521739130434778</c:v>
                </c:pt>
                <c:pt idx="57">
                  <c:v>0.48550724637681159</c:v>
                </c:pt>
                <c:pt idx="58">
                  <c:v>0.45441389290882778</c:v>
                </c:pt>
              </c:numCache>
            </c:numRef>
          </c:xVal>
          <c:yVal>
            <c:numRef>
              <c:f>N24SerembanJaya!$A$2:$A$60</c:f>
              <c:numCache>
                <c:formatCode>0.0%</c:formatCode>
                <c:ptCount val="59"/>
                <c:pt idx="0">
                  <c:v>0.61315789473684212</c:v>
                </c:pt>
                <c:pt idx="1">
                  <c:v>0.78947368421052633</c:v>
                </c:pt>
                <c:pt idx="2">
                  <c:v>0.75747508305647837</c:v>
                </c:pt>
                <c:pt idx="3">
                  <c:v>0.7595356550580431</c:v>
                </c:pt>
                <c:pt idx="4">
                  <c:v>0.72139303482587069</c:v>
                </c:pt>
                <c:pt idx="5">
                  <c:v>0.76616915422885568</c:v>
                </c:pt>
                <c:pt idx="6">
                  <c:v>0.59473684210526312</c:v>
                </c:pt>
                <c:pt idx="7">
                  <c:v>0.78157894736842104</c:v>
                </c:pt>
                <c:pt idx="8">
                  <c:v>0.79210526315789476</c:v>
                </c:pt>
                <c:pt idx="9">
                  <c:v>0.75456053067993367</c:v>
                </c:pt>
                <c:pt idx="10">
                  <c:v>0.69536423841059603</c:v>
                </c:pt>
                <c:pt idx="11">
                  <c:v>0.6870860927152318</c:v>
                </c:pt>
                <c:pt idx="12">
                  <c:v>0.79635761589403975</c:v>
                </c:pt>
                <c:pt idx="13">
                  <c:v>0.57894736842105265</c:v>
                </c:pt>
                <c:pt idx="14">
                  <c:v>0.75789473684210529</c:v>
                </c:pt>
                <c:pt idx="15">
                  <c:v>0.84210526315789469</c:v>
                </c:pt>
                <c:pt idx="16">
                  <c:v>0.81509433962264155</c:v>
                </c:pt>
                <c:pt idx="17">
                  <c:v>0.77589453860640301</c:v>
                </c:pt>
                <c:pt idx="18">
                  <c:v>0.78907721280602638</c:v>
                </c:pt>
                <c:pt idx="19">
                  <c:v>0.77837837837837842</c:v>
                </c:pt>
                <c:pt idx="20">
                  <c:v>0.8540540540540541</c:v>
                </c:pt>
                <c:pt idx="21">
                  <c:v>0.82187500000000002</c:v>
                </c:pt>
                <c:pt idx="22">
                  <c:v>0.77500000000000002</c:v>
                </c:pt>
                <c:pt idx="23">
                  <c:v>0.77656250000000004</c:v>
                </c:pt>
                <c:pt idx="24">
                  <c:v>0.80811232449297976</c:v>
                </c:pt>
                <c:pt idx="25">
                  <c:v>0.58648648648648649</c:v>
                </c:pt>
                <c:pt idx="26">
                  <c:v>0.78648648648648645</c:v>
                </c:pt>
                <c:pt idx="27">
                  <c:v>0.87297297297297294</c:v>
                </c:pt>
                <c:pt idx="28">
                  <c:v>0.86216216216216213</c:v>
                </c:pt>
                <c:pt idx="29">
                  <c:v>0.81891891891891888</c:v>
                </c:pt>
                <c:pt idx="30">
                  <c:v>0.83952451708766718</c:v>
                </c:pt>
                <c:pt idx="31">
                  <c:v>0.82912332838038638</c:v>
                </c:pt>
                <c:pt idx="32">
                  <c:v>0.80980683506686479</c:v>
                </c:pt>
                <c:pt idx="33">
                  <c:v>0.80386329866270434</c:v>
                </c:pt>
                <c:pt idx="34">
                  <c:v>0.74294205052005946</c:v>
                </c:pt>
                <c:pt idx="35">
                  <c:v>0.7265973254086181</c:v>
                </c:pt>
                <c:pt idx="36">
                  <c:v>0.70876671619613674</c:v>
                </c:pt>
                <c:pt idx="37">
                  <c:v>0.70728083209509662</c:v>
                </c:pt>
                <c:pt idx="38">
                  <c:v>0.72808320950965821</c:v>
                </c:pt>
                <c:pt idx="39">
                  <c:v>0.70623145400593468</c:v>
                </c:pt>
                <c:pt idx="40">
                  <c:v>0.74183976261127593</c:v>
                </c:pt>
                <c:pt idx="41">
                  <c:v>0.72700296735905046</c:v>
                </c:pt>
                <c:pt idx="42">
                  <c:v>0.79525222551928787</c:v>
                </c:pt>
                <c:pt idx="43">
                  <c:v>0.8086053412462908</c:v>
                </c:pt>
                <c:pt idx="44">
                  <c:v>0.8086053412462908</c:v>
                </c:pt>
                <c:pt idx="45">
                  <c:v>0.8056379821958457</c:v>
                </c:pt>
                <c:pt idx="46">
                  <c:v>0.84272997032640951</c:v>
                </c:pt>
                <c:pt idx="47">
                  <c:v>0.75</c:v>
                </c:pt>
                <c:pt idx="48">
                  <c:v>0.79736842105263162</c:v>
                </c:pt>
                <c:pt idx="49">
                  <c:v>0.76578947368421058</c:v>
                </c:pt>
                <c:pt idx="50">
                  <c:v>0.72631578947368425</c:v>
                </c:pt>
                <c:pt idx="51">
                  <c:v>0.75426621160409557</c:v>
                </c:pt>
                <c:pt idx="52">
                  <c:v>0.79180887372013653</c:v>
                </c:pt>
                <c:pt idx="53">
                  <c:v>0.73611111111111116</c:v>
                </c:pt>
                <c:pt idx="54">
                  <c:v>0.85833333333333328</c:v>
                </c:pt>
                <c:pt idx="55">
                  <c:v>0.78333333333333333</c:v>
                </c:pt>
                <c:pt idx="56">
                  <c:v>0.77101449275362322</c:v>
                </c:pt>
                <c:pt idx="57">
                  <c:v>0.77971014492753621</c:v>
                </c:pt>
                <c:pt idx="58">
                  <c:v>0.7858176555716353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53-4EA8-A69D-B420C5524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93039"/>
        <c:axId val="285443567"/>
      </c:scatterChart>
      <c:valAx>
        <c:axId val="110289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43567"/>
        <c:crosses val="autoZero"/>
        <c:crossBetween val="midCat"/>
      </c:valAx>
      <c:valAx>
        <c:axId val="285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N24SerembanJaya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587707786526681E-2"/>
                  <c:y val="0.18116579177602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N24SerembanJaya!$E$2:$E$60</c:f>
              <c:numCache>
                <c:formatCode>0.0%</c:formatCode>
                <c:ptCount val="59"/>
                <c:pt idx="0">
                  <c:v>2.368421052631579E-2</c:v>
                </c:pt>
                <c:pt idx="1">
                  <c:v>2.368421052631579E-2</c:v>
                </c:pt>
                <c:pt idx="2">
                  <c:v>2.4916943521594685E-2</c:v>
                </c:pt>
                <c:pt idx="3">
                  <c:v>4.975124378109453E-2</c:v>
                </c:pt>
                <c:pt idx="4">
                  <c:v>5.6384742951907131E-2</c:v>
                </c:pt>
                <c:pt idx="5">
                  <c:v>5.9701492537313432E-2</c:v>
                </c:pt>
                <c:pt idx="6">
                  <c:v>7.8947368421052634E-3</c:v>
                </c:pt>
                <c:pt idx="7">
                  <c:v>2.1052631578947368E-2</c:v>
                </c:pt>
                <c:pt idx="8">
                  <c:v>2.8947368421052631E-2</c:v>
                </c:pt>
                <c:pt idx="9">
                  <c:v>5.306799336650083E-2</c:v>
                </c:pt>
                <c:pt idx="10">
                  <c:v>8.2781456953642391E-2</c:v>
                </c:pt>
                <c:pt idx="11">
                  <c:v>9.7682119205298013E-2</c:v>
                </c:pt>
                <c:pt idx="12">
                  <c:v>0.19205298013245034</c:v>
                </c:pt>
                <c:pt idx="13">
                  <c:v>0</c:v>
                </c:pt>
                <c:pt idx="14">
                  <c:v>5.263157894736842E-3</c:v>
                </c:pt>
                <c:pt idx="15">
                  <c:v>2.631578947368421E-3</c:v>
                </c:pt>
                <c:pt idx="16">
                  <c:v>5.6603773584905656E-3</c:v>
                </c:pt>
                <c:pt idx="17">
                  <c:v>5.6497175141242938E-3</c:v>
                </c:pt>
                <c:pt idx="18">
                  <c:v>3.7664783427495289E-2</c:v>
                </c:pt>
                <c:pt idx="19">
                  <c:v>0.44324324324324327</c:v>
                </c:pt>
                <c:pt idx="20">
                  <c:v>0.48378378378378378</c:v>
                </c:pt>
                <c:pt idx="21">
                  <c:v>0.37968750000000001</c:v>
                </c:pt>
                <c:pt idx="22">
                  <c:v>0.421875</c:v>
                </c:pt>
                <c:pt idx="23">
                  <c:v>0.52812499999999996</c:v>
                </c:pt>
                <c:pt idx="24">
                  <c:v>0.54602184087363492</c:v>
                </c:pt>
                <c:pt idx="25">
                  <c:v>0.21621621621621623</c:v>
                </c:pt>
                <c:pt idx="26">
                  <c:v>0.3</c:v>
                </c:pt>
                <c:pt idx="27">
                  <c:v>0.42972972972972973</c:v>
                </c:pt>
                <c:pt idx="28">
                  <c:v>0.49459459459459459</c:v>
                </c:pt>
                <c:pt idx="29">
                  <c:v>0.41351351351351351</c:v>
                </c:pt>
                <c:pt idx="30">
                  <c:v>0.30163447251114411</c:v>
                </c:pt>
                <c:pt idx="31">
                  <c:v>0.23922734026745915</c:v>
                </c:pt>
                <c:pt idx="32">
                  <c:v>0.21693907875185736</c:v>
                </c:pt>
                <c:pt idx="33">
                  <c:v>0.21248142644873699</c:v>
                </c:pt>
                <c:pt idx="34">
                  <c:v>0.22288261515601784</c:v>
                </c:pt>
                <c:pt idx="35">
                  <c:v>0.30460624071322434</c:v>
                </c:pt>
                <c:pt idx="36">
                  <c:v>0.41158989598811291</c:v>
                </c:pt>
                <c:pt idx="37">
                  <c:v>0.43536404160475484</c:v>
                </c:pt>
                <c:pt idx="38">
                  <c:v>0.43982169390787518</c:v>
                </c:pt>
                <c:pt idx="39">
                  <c:v>0.43323442136498519</c:v>
                </c:pt>
                <c:pt idx="40">
                  <c:v>0.43916913946587538</c:v>
                </c:pt>
                <c:pt idx="41">
                  <c:v>0.43768545994065283</c:v>
                </c:pt>
                <c:pt idx="42">
                  <c:v>0.41988130563798221</c:v>
                </c:pt>
                <c:pt idx="43">
                  <c:v>0.43323442136498519</c:v>
                </c:pt>
                <c:pt idx="44">
                  <c:v>0.40504451038575667</c:v>
                </c:pt>
                <c:pt idx="45">
                  <c:v>0.3857566765578635</c:v>
                </c:pt>
                <c:pt idx="46">
                  <c:v>0.39169139465875369</c:v>
                </c:pt>
                <c:pt idx="47">
                  <c:v>8.6842105263157901E-2</c:v>
                </c:pt>
                <c:pt idx="48">
                  <c:v>5.7894736842105263E-2</c:v>
                </c:pt>
                <c:pt idx="49">
                  <c:v>7.6315789473684212E-2</c:v>
                </c:pt>
                <c:pt idx="50">
                  <c:v>0.11052631578947368</c:v>
                </c:pt>
                <c:pt idx="51">
                  <c:v>0.10238907849829351</c:v>
                </c:pt>
                <c:pt idx="52">
                  <c:v>0.11433447098976109</c:v>
                </c:pt>
                <c:pt idx="53">
                  <c:v>0.33055555555555555</c:v>
                </c:pt>
                <c:pt idx="54">
                  <c:v>0.25</c:v>
                </c:pt>
                <c:pt idx="55">
                  <c:v>0.25555555555555554</c:v>
                </c:pt>
                <c:pt idx="56">
                  <c:v>0.24927536231884059</c:v>
                </c:pt>
                <c:pt idx="57">
                  <c:v>0.38260869565217392</c:v>
                </c:pt>
                <c:pt idx="58">
                  <c:v>0.38929088277858176</c:v>
                </c:pt>
              </c:numCache>
            </c:numRef>
          </c:xVal>
          <c:yVal>
            <c:numRef>
              <c:f>N24SerembanJaya!$B$2:$B$60</c:f>
              <c:numCache>
                <c:formatCode>0.0%</c:formatCode>
                <c:ptCount val="59"/>
                <c:pt idx="0">
                  <c:v>0.93133047210300424</c:v>
                </c:pt>
                <c:pt idx="1">
                  <c:v>0.94</c:v>
                </c:pt>
                <c:pt idx="2">
                  <c:v>0.94078947368421051</c:v>
                </c:pt>
                <c:pt idx="3">
                  <c:v>0.92576419213973804</c:v>
                </c:pt>
                <c:pt idx="4">
                  <c:v>0.94252873563218387</c:v>
                </c:pt>
                <c:pt idx="5">
                  <c:v>0.93506493506493504</c:v>
                </c:pt>
                <c:pt idx="6">
                  <c:v>0.89823008849557517</c:v>
                </c:pt>
                <c:pt idx="7">
                  <c:v>0.93939393939393945</c:v>
                </c:pt>
                <c:pt idx="8">
                  <c:v>0.93687707641196016</c:v>
                </c:pt>
                <c:pt idx="9">
                  <c:v>0.92307692307692313</c:v>
                </c:pt>
                <c:pt idx="10">
                  <c:v>0.92380952380952386</c:v>
                </c:pt>
                <c:pt idx="11">
                  <c:v>0.92048192771084336</c:v>
                </c:pt>
                <c:pt idx="12">
                  <c:v>0.86486486486486491</c:v>
                </c:pt>
                <c:pt idx="13">
                  <c:v>0.82727272727272727</c:v>
                </c:pt>
                <c:pt idx="14">
                  <c:v>0.90972222222222221</c:v>
                </c:pt>
                <c:pt idx="15">
                  <c:v>0.9375</c:v>
                </c:pt>
                <c:pt idx="16">
                  <c:v>0.93055555555555558</c:v>
                </c:pt>
                <c:pt idx="17">
                  <c:v>0.94417475728155342</c:v>
                </c:pt>
                <c:pt idx="18">
                  <c:v>0.95704057279236276</c:v>
                </c:pt>
                <c:pt idx="19">
                  <c:v>0.44791666666666669</c:v>
                </c:pt>
                <c:pt idx="20">
                  <c:v>0.49367088607594939</c:v>
                </c:pt>
                <c:pt idx="21">
                  <c:v>0.57414448669201523</c:v>
                </c:pt>
                <c:pt idx="22">
                  <c:v>0.60685483870967738</c:v>
                </c:pt>
                <c:pt idx="23">
                  <c:v>0.51307847082494973</c:v>
                </c:pt>
                <c:pt idx="24">
                  <c:v>0.51544401544401541</c:v>
                </c:pt>
                <c:pt idx="25">
                  <c:v>0.65437788018433185</c:v>
                </c:pt>
                <c:pt idx="26">
                  <c:v>0.63917525773195871</c:v>
                </c:pt>
                <c:pt idx="27">
                  <c:v>0.5727554179566563</c:v>
                </c:pt>
                <c:pt idx="28">
                  <c:v>0.50156739811912221</c:v>
                </c:pt>
                <c:pt idx="29">
                  <c:v>0.5907590759075908</c:v>
                </c:pt>
                <c:pt idx="30">
                  <c:v>0.68849557522123894</c:v>
                </c:pt>
                <c:pt idx="31">
                  <c:v>0.73476702508960579</c:v>
                </c:pt>
                <c:pt idx="32">
                  <c:v>0.74311926605504586</c:v>
                </c:pt>
                <c:pt idx="33">
                  <c:v>0.77449168207024033</c:v>
                </c:pt>
                <c:pt idx="34">
                  <c:v>0.75600000000000001</c:v>
                </c:pt>
                <c:pt idx="35">
                  <c:v>0.73006134969325154</c:v>
                </c:pt>
                <c:pt idx="36">
                  <c:v>0.64360587002096437</c:v>
                </c:pt>
                <c:pt idx="37">
                  <c:v>0.64075630252100846</c:v>
                </c:pt>
                <c:pt idx="38">
                  <c:v>0.59591836734693882</c:v>
                </c:pt>
                <c:pt idx="39">
                  <c:v>0.62815126050420167</c:v>
                </c:pt>
                <c:pt idx="40">
                  <c:v>0.59599999999999997</c:v>
                </c:pt>
                <c:pt idx="41">
                  <c:v>0.62040816326530612</c:v>
                </c:pt>
                <c:pt idx="42">
                  <c:v>0.6324626865671642</c:v>
                </c:pt>
                <c:pt idx="43">
                  <c:v>0.6440366972477064</c:v>
                </c:pt>
                <c:pt idx="44">
                  <c:v>0.66238532110091741</c:v>
                </c:pt>
                <c:pt idx="45">
                  <c:v>0.66482504604051562</c:v>
                </c:pt>
                <c:pt idx="46">
                  <c:v>0.65845070422535212</c:v>
                </c:pt>
                <c:pt idx="47">
                  <c:v>0.80701754385964908</c:v>
                </c:pt>
                <c:pt idx="48">
                  <c:v>0.89438943894389444</c:v>
                </c:pt>
                <c:pt idx="49">
                  <c:v>0.92096219931271472</c:v>
                </c:pt>
                <c:pt idx="50">
                  <c:v>0.88043478260869568</c:v>
                </c:pt>
                <c:pt idx="51">
                  <c:v>0.89819004524886881</c:v>
                </c:pt>
                <c:pt idx="52">
                  <c:v>0.91163793103448276</c:v>
                </c:pt>
                <c:pt idx="53">
                  <c:v>0.5962264150943396</c:v>
                </c:pt>
                <c:pt idx="54">
                  <c:v>0.71844660194174759</c:v>
                </c:pt>
                <c:pt idx="55">
                  <c:v>0.76950354609929073</c:v>
                </c:pt>
                <c:pt idx="56">
                  <c:v>0.74812030075187974</c:v>
                </c:pt>
                <c:pt idx="57">
                  <c:v>0.67472118959107807</c:v>
                </c:pt>
                <c:pt idx="58">
                  <c:v>0.64640883977900554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A6-4FD1-A650-9CB992FAC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93039"/>
        <c:axId val="285443567"/>
      </c:scatterChart>
      <c:valAx>
        <c:axId val="110289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43567"/>
        <c:crosses val="autoZero"/>
        <c:crossBetween val="midCat"/>
      </c:valAx>
      <c:valAx>
        <c:axId val="285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N24SerembanJaya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587707786526681E-2"/>
                  <c:y val="0.18116579177602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N24SerembanJaya!$F$2:$F$60</c:f>
              <c:numCache>
                <c:formatCode>0.0%</c:formatCode>
                <c:ptCount val="59"/>
                <c:pt idx="0">
                  <c:v>0.8236842105263158</c:v>
                </c:pt>
                <c:pt idx="1">
                  <c:v>0.80526315789473679</c:v>
                </c:pt>
                <c:pt idx="2">
                  <c:v>0.84883720930232553</c:v>
                </c:pt>
                <c:pt idx="3">
                  <c:v>0.8192371475953566</c:v>
                </c:pt>
                <c:pt idx="4">
                  <c:v>0.80431177446102819</c:v>
                </c:pt>
                <c:pt idx="5">
                  <c:v>0.76948590381426207</c:v>
                </c:pt>
                <c:pt idx="6">
                  <c:v>0.84473684210526312</c:v>
                </c:pt>
                <c:pt idx="7">
                  <c:v>0.85789473684210527</c:v>
                </c:pt>
                <c:pt idx="8">
                  <c:v>0.85</c:v>
                </c:pt>
                <c:pt idx="9">
                  <c:v>0.83913764510779432</c:v>
                </c:pt>
                <c:pt idx="10">
                  <c:v>0.79139072847682124</c:v>
                </c:pt>
                <c:pt idx="11">
                  <c:v>0.76158940397350994</c:v>
                </c:pt>
                <c:pt idx="12">
                  <c:v>0.64403973509933776</c:v>
                </c:pt>
                <c:pt idx="13">
                  <c:v>0.93421052631578949</c:v>
                </c:pt>
                <c:pt idx="14">
                  <c:v>0.95789473684210524</c:v>
                </c:pt>
                <c:pt idx="15">
                  <c:v>0.93684210526315792</c:v>
                </c:pt>
                <c:pt idx="16">
                  <c:v>0.93396226415094341</c:v>
                </c:pt>
                <c:pt idx="17">
                  <c:v>0.9152542372881356</c:v>
                </c:pt>
                <c:pt idx="18">
                  <c:v>0.82674199623352163</c:v>
                </c:pt>
                <c:pt idx="19">
                  <c:v>0.10810810810810811</c:v>
                </c:pt>
                <c:pt idx="20">
                  <c:v>9.1891891891891897E-2</c:v>
                </c:pt>
                <c:pt idx="21">
                  <c:v>0.12656249999999999</c:v>
                </c:pt>
                <c:pt idx="22">
                  <c:v>0.11874999999999999</c:v>
                </c:pt>
                <c:pt idx="23">
                  <c:v>7.4999999999999997E-2</c:v>
                </c:pt>
                <c:pt idx="24">
                  <c:v>4.5241809672386897E-2</c:v>
                </c:pt>
                <c:pt idx="25">
                  <c:v>0.42702702702702705</c:v>
                </c:pt>
                <c:pt idx="26">
                  <c:v>0.42972972972972973</c:v>
                </c:pt>
                <c:pt idx="27">
                  <c:v>0.35945945945945945</c:v>
                </c:pt>
                <c:pt idx="28">
                  <c:v>0.3</c:v>
                </c:pt>
                <c:pt idx="29">
                  <c:v>0.34324324324324323</c:v>
                </c:pt>
                <c:pt idx="30">
                  <c:v>0.40267459138187223</c:v>
                </c:pt>
                <c:pt idx="31">
                  <c:v>0.42793462109955421</c:v>
                </c:pt>
                <c:pt idx="32">
                  <c:v>0.41901931649331353</c:v>
                </c:pt>
                <c:pt idx="33">
                  <c:v>0.44576523031203569</c:v>
                </c:pt>
                <c:pt idx="34">
                  <c:v>0.44576523031203569</c:v>
                </c:pt>
                <c:pt idx="35">
                  <c:v>0.3952451708766716</c:v>
                </c:pt>
                <c:pt idx="36">
                  <c:v>0.3476968796433878</c:v>
                </c:pt>
                <c:pt idx="37">
                  <c:v>0.32243684992570582</c:v>
                </c:pt>
                <c:pt idx="38">
                  <c:v>0.30609212481426451</c:v>
                </c:pt>
                <c:pt idx="39">
                  <c:v>0.30267062314540061</c:v>
                </c:pt>
                <c:pt idx="40">
                  <c:v>0.29821958456973297</c:v>
                </c:pt>
                <c:pt idx="41">
                  <c:v>0.30118694362017806</c:v>
                </c:pt>
                <c:pt idx="42">
                  <c:v>0.31305637982195844</c:v>
                </c:pt>
                <c:pt idx="43">
                  <c:v>0.28635014836795253</c:v>
                </c:pt>
                <c:pt idx="44">
                  <c:v>0.28635014836795253</c:v>
                </c:pt>
                <c:pt idx="45">
                  <c:v>0.31899109792284869</c:v>
                </c:pt>
                <c:pt idx="46">
                  <c:v>0.31157270029673589</c:v>
                </c:pt>
                <c:pt idx="47">
                  <c:v>0.56052631578947365</c:v>
                </c:pt>
                <c:pt idx="48">
                  <c:v>0.65</c:v>
                </c:pt>
                <c:pt idx="49">
                  <c:v>0.58157894736842108</c:v>
                </c:pt>
                <c:pt idx="50">
                  <c:v>0.62105263157894741</c:v>
                </c:pt>
                <c:pt idx="51">
                  <c:v>0.6774744027303754</c:v>
                </c:pt>
                <c:pt idx="52">
                  <c:v>0.65699658703071673</c:v>
                </c:pt>
                <c:pt idx="53">
                  <c:v>0.17222222222222222</c:v>
                </c:pt>
                <c:pt idx="54">
                  <c:v>0.18611111111111112</c:v>
                </c:pt>
                <c:pt idx="55">
                  <c:v>0.2638888888888889</c:v>
                </c:pt>
                <c:pt idx="56">
                  <c:v>0.1855072463768116</c:v>
                </c:pt>
                <c:pt idx="57">
                  <c:v>0.13043478260869565</c:v>
                </c:pt>
                <c:pt idx="58">
                  <c:v>0.15629522431259044</c:v>
                </c:pt>
              </c:numCache>
            </c:numRef>
          </c:xVal>
          <c:yVal>
            <c:numRef>
              <c:f>N24SerembanJaya!$B$2:$B$60</c:f>
              <c:numCache>
                <c:formatCode>0.0%</c:formatCode>
                <c:ptCount val="59"/>
                <c:pt idx="0">
                  <c:v>0.93133047210300424</c:v>
                </c:pt>
                <c:pt idx="1">
                  <c:v>0.94</c:v>
                </c:pt>
                <c:pt idx="2">
                  <c:v>0.94078947368421051</c:v>
                </c:pt>
                <c:pt idx="3">
                  <c:v>0.92576419213973804</c:v>
                </c:pt>
                <c:pt idx="4">
                  <c:v>0.94252873563218387</c:v>
                </c:pt>
                <c:pt idx="5">
                  <c:v>0.93506493506493504</c:v>
                </c:pt>
                <c:pt idx="6">
                  <c:v>0.89823008849557517</c:v>
                </c:pt>
                <c:pt idx="7">
                  <c:v>0.93939393939393945</c:v>
                </c:pt>
                <c:pt idx="8">
                  <c:v>0.93687707641196016</c:v>
                </c:pt>
                <c:pt idx="9">
                  <c:v>0.92307692307692313</c:v>
                </c:pt>
                <c:pt idx="10">
                  <c:v>0.92380952380952386</c:v>
                </c:pt>
                <c:pt idx="11">
                  <c:v>0.92048192771084336</c:v>
                </c:pt>
                <c:pt idx="12">
                  <c:v>0.86486486486486491</c:v>
                </c:pt>
                <c:pt idx="13">
                  <c:v>0.82727272727272727</c:v>
                </c:pt>
                <c:pt idx="14">
                  <c:v>0.90972222222222221</c:v>
                </c:pt>
                <c:pt idx="15">
                  <c:v>0.9375</c:v>
                </c:pt>
                <c:pt idx="16">
                  <c:v>0.93055555555555558</c:v>
                </c:pt>
                <c:pt idx="17">
                  <c:v>0.94417475728155342</c:v>
                </c:pt>
                <c:pt idx="18">
                  <c:v>0.95704057279236276</c:v>
                </c:pt>
                <c:pt idx="19">
                  <c:v>0.44791666666666669</c:v>
                </c:pt>
                <c:pt idx="20">
                  <c:v>0.49367088607594939</c:v>
                </c:pt>
                <c:pt idx="21">
                  <c:v>0.57414448669201523</c:v>
                </c:pt>
                <c:pt idx="22">
                  <c:v>0.60685483870967738</c:v>
                </c:pt>
                <c:pt idx="23">
                  <c:v>0.51307847082494973</c:v>
                </c:pt>
                <c:pt idx="24">
                  <c:v>0.51544401544401541</c:v>
                </c:pt>
                <c:pt idx="25">
                  <c:v>0.65437788018433185</c:v>
                </c:pt>
                <c:pt idx="26">
                  <c:v>0.63917525773195871</c:v>
                </c:pt>
                <c:pt idx="27">
                  <c:v>0.5727554179566563</c:v>
                </c:pt>
                <c:pt idx="28">
                  <c:v>0.50156739811912221</c:v>
                </c:pt>
                <c:pt idx="29">
                  <c:v>0.5907590759075908</c:v>
                </c:pt>
                <c:pt idx="30">
                  <c:v>0.68849557522123894</c:v>
                </c:pt>
                <c:pt idx="31">
                  <c:v>0.73476702508960579</c:v>
                </c:pt>
                <c:pt idx="32">
                  <c:v>0.74311926605504586</c:v>
                </c:pt>
                <c:pt idx="33">
                  <c:v>0.77449168207024033</c:v>
                </c:pt>
                <c:pt idx="34">
                  <c:v>0.75600000000000001</c:v>
                </c:pt>
                <c:pt idx="35">
                  <c:v>0.73006134969325154</c:v>
                </c:pt>
                <c:pt idx="36">
                  <c:v>0.64360587002096437</c:v>
                </c:pt>
                <c:pt idx="37">
                  <c:v>0.64075630252100846</c:v>
                </c:pt>
                <c:pt idx="38">
                  <c:v>0.59591836734693882</c:v>
                </c:pt>
                <c:pt idx="39">
                  <c:v>0.62815126050420167</c:v>
                </c:pt>
                <c:pt idx="40">
                  <c:v>0.59599999999999997</c:v>
                </c:pt>
                <c:pt idx="41">
                  <c:v>0.62040816326530612</c:v>
                </c:pt>
                <c:pt idx="42">
                  <c:v>0.6324626865671642</c:v>
                </c:pt>
                <c:pt idx="43">
                  <c:v>0.6440366972477064</c:v>
                </c:pt>
                <c:pt idx="44">
                  <c:v>0.66238532110091741</c:v>
                </c:pt>
                <c:pt idx="45">
                  <c:v>0.66482504604051562</c:v>
                </c:pt>
                <c:pt idx="46">
                  <c:v>0.65845070422535212</c:v>
                </c:pt>
                <c:pt idx="47">
                  <c:v>0.80701754385964908</c:v>
                </c:pt>
                <c:pt idx="48">
                  <c:v>0.89438943894389444</c:v>
                </c:pt>
                <c:pt idx="49">
                  <c:v>0.92096219931271472</c:v>
                </c:pt>
                <c:pt idx="50">
                  <c:v>0.88043478260869568</c:v>
                </c:pt>
                <c:pt idx="51">
                  <c:v>0.89819004524886881</c:v>
                </c:pt>
                <c:pt idx="52">
                  <c:v>0.91163793103448276</c:v>
                </c:pt>
                <c:pt idx="53">
                  <c:v>0.5962264150943396</c:v>
                </c:pt>
                <c:pt idx="54">
                  <c:v>0.71844660194174759</c:v>
                </c:pt>
                <c:pt idx="55">
                  <c:v>0.76950354609929073</c:v>
                </c:pt>
                <c:pt idx="56">
                  <c:v>0.74812030075187974</c:v>
                </c:pt>
                <c:pt idx="57">
                  <c:v>0.67472118959107807</c:v>
                </c:pt>
                <c:pt idx="58">
                  <c:v>0.64640883977900554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6A-4CB4-B0C3-01F23C0F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93039"/>
        <c:axId val="285443567"/>
      </c:scatterChart>
      <c:valAx>
        <c:axId val="110289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43567"/>
        <c:crosses val="autoZero"/>
        <c:crossBetween val="midCat"/>
      </c:valAx>
      <c:valAx>
        <c:axId val="285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N24SerembanJaya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587707786526681E-2"/>
                  <c:y val="0.181165791776027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N24SerembanJaya!$G$2:$G$60</c:f>
              <c:numCache>
                <c:formatCode>0.0%</c:formatCode>
                <c:ptCount val="59"/>
                <c:pt idx="0">
                  <c:v>0.13421052631578947</c:v>
                </c:pt>
                <c:pt idx="1">
                  <c:v>0.15526315789473685</c:v>
                </c:pt>
                <c:pt idx="2">
                  <c:v>0.10963455149501661</c:v>
                </c:pt>
                <c:pt idx="3">
                  <c:v>0.12271973466003316</c:v>
                </c:pt>
                <c:pt idx="4">
                  <c:v>0.13598673300165837</c:v>
                </c:pt>
                <c:pt idx="5">
                  <c:v>0.16583747927031509</c:v>
                </c:pt>
                <c:pt idx="6">
                  <c:v>0.13157894736842105</c:v>
                </c:pt>
                <c:pt idx="7">
                  <c:v>0.11052631578947368</c:v>
                </c:pt>
                <c:pt idx="8">
                  <c:v>0.11842105263157894</c:v>
                </c:pt>
                <c:pt idx="9">
                  <c:v>9.7844112769485903E-2</c:v>
                </c:pt>
                <c:pt idx="10">
                  <c:v>0.12086092715231789</c:v>
                </c:pt>
                <c:pt idx="11">
                  <c:v>0.13741721854304637</c:v>
                </c:pt>
                <c:pt idx="12">
                  <c:v>0.16390728476821192</c:v>
                </c:pt>
                <c:pt idx="13">
                  <c:v>6.0526315789473685E-2</c:v>
                </c:pt>
                <c:pt idx="14">
                  <c:v>3.4210526315789476E-2</c:v>
                </c:pt>
                <c:pt idx="15">
                  <c:v>5.7894736842105263E-2</c:v>
                </c:pt>
                <c:pt idx="16">
                  <c:v>5.4716981132075473E-2</c:v>
                </c:pt>
                <c:pt idx="17">
                  <c:v>7.7212806026365349E-2</c:v>
                </c:pt>
                <c:pt idx="18">
                  <c:v>0.13182674199623351</c:v>
                </c:pt>
                <c:pt idx="19">
                  <c:v>0.44054054054054054</c:v>
                </c:pt>
                <c:pt idx="20">
                  <c:v>0.42162162162162165</c:v>
                </c:pt>
                <c:pt idx="21">
                  <c:v>0.48125000000000001</c:v>
                </c:pt>
                <c:pt idx="22">
                  <c:v>0.45624999999999999</c:v>
                </c:pt>
                <c:pt idx="23">
                  <c:v>0.39531250000000001</c:v>
                </c:pt>
                <c:pt idx="24">
                  <c:v>0.40873634945397813</c:v>
                </c:pt>
                <c:pt idx="25">
                  <c:v>0.34864864864864864</c:v>
                </c:pt>
                <c:pt idx="26">
                  <c:v>0.26756756756756755</c:v>
                </c:pt>
                <c:pt idx="27">
                  <c:v>0.2</c:v>
                </c:pt>
                <c:pt idx="28">
                  <c:v>0.19729729729729731</c:v>
                </c:pt>
                <c:pt idx="29">
                  <c:v>0.23783783783783785</c:v>
                </c:pt>
                <c:pt idx="30">
                  <c:v>0.28231797919762258</c:v>
                </c:pt>
                <c:pt idx="31">
                  <c:v>0.32540861812778604</c:v>
                </c:pt>
                <c:pt idx="32">
                  <c:v>0.34918276374442792</c:v>
                </c:pt>
                <c:pt idx="33">
                  <c:v>0.32243684992570582</c:v>
                </c:pt>
                <c:pt idx="34">
                  <c:v>0.31352154531946508</c:v>
                </c:pt>
                <c:pt idx="35">
                  <c:v>0.28974739970282321</c:v>
                </c:pt>
                <c:pt idx="36">
                  <c:v>0.2288261515601783</c:v>
                </c:pt>
                <c:pt idx="37">
                  <c:v>0.22734026745913818</c:v>
                </c:pt>
                <c:pt idx="38">
                  <c:v>0.24665676077265974</c:v>
                </c:pt>
                <c:pt idx="39">
                  <c:v>0.25519287833827892</c:v>
                </c:pt>
                <c:pt idx="40">
                  <c:v>0.25222551928783382</c:v>
                </c:pt>
                <c:pt idx="41">
                  <c:v>0.25370919881305637</c:v>
                </c:pt>
                <c:pt idx="42">
                  <c:v>0.25964391691394662</c:v>
                </c:pt>
                <c:pt idx="43">
                  <c:v>0.27448071216617209</c:v>
                </c:pt>
                <c:pt idx="44">
                  <c:v>0.29970326409495551</c:v>
                </c:pt>
                <c:pt idx="45">
                  <c:v>0.28931750741839762</c:v>
                </c:pt>
                <c:pt idx="46">
                  <c:v>0.28486646884272998</c:v>
                </c:pt>
                <c:pt idx="47">
                  <c:v>0.34473684210526317</c:v>
                </c:pt>
                <c:pt idx="48">
                  <c:v>0.28421052631578947</c:v>
                </c:pt>
                <c:pt idx="49">
                  <c:v>0.33157894736842103</c:v>
                </c:pt>
                <c:pt idx="50">
                  <c:v>0.26842105263157895</c:v>
                </c:pt>
                <c:pt idx="51">
                  <c:v>0.21843003412969283</c:v>
                </c:pt>
                <c:pt idx="52">
                  <c:v>0.22866894197952217</c:v>
                </c:pt>
                <c:pt idx="53">
                  <c:v>0.49166666666666664</c:v>
                </c:pt>
                <c:pt idx="54">
                  <c:v>0.55833333333333335</c:v>
                </c:pt>
                <c:pt idx="55">
                  <c:v>0.4777777777777778</c:v>
                </c:pt>
                <c:pt idx="56">
                  <c:v>0.56521739130434778</c:v>
                </c:pt>
                <c:pt idx="57">
                  <c:v>0.48550724637681159</c:v>
                </c:pt>
                <c:pt idx="58">
                  <c:v>0.45441389290882778</c:v>
                </c:pt>
              </c:numCache>
            </c:numRef>
          </c:xVal>
          <c:yVal>
            <c:numRef>
              <c:f>N24SerembanJaya!$B$2:$B$60</c:f>
              <c:numCache>
                <c:formatCode>0.0%</c:formatCode>
                <c:ptCount val="59"/>
                <c:pt idx="0">
                  <c:v>0.93133047210300424</c:v>
                </c:pt>
                <c:pt idx="1">
                  <c:v>0.94</c:v>
                </c:pt>
                <c:pt idx="2">
                  <c:v>0.94078947368421051</c:v>
                </c:pt>
                <c:pt idx="3">
                  <c:v>0.92576419213973804</c:v>
                </c:pt>
                <c:pt idx="4">
                  <c:v>0.94252873563218387</c:v>
                </c:pt>
                <c:pt idx="5">
                  <c:v>0.93506493506493504</c:v>
                </c:pt>
                <c:pt idx="6">
                  <c:v>0.89823008849557517</c:v>
                </c:pt>
                <c:pt idx="7">
                  <c:v>0.93939393939393945</c:v>
                </c:pt>
                <c:pt idx="8">
                  <c:v>0.93687707641196016</c:v>
                </c:pt>
                <c:pt idx="9">
                  <c:v>0.92307692307692313</c:v>
                </c:pt>
                <c:pt idx="10">
                  <c:v>0.92380952380952386</c:v>
                </c:pt>
                <c:pt idx="11">
                  <c:v>0.92048192771084336</c:v>
                </c:pt>
                <c:pt idx="12">
                  <c:v>0.86486486486486491</c:v>
                </c:pt>
                <c:pt idx="13">
                  <c:v>0.82727272727272727</c:v>
                </c:pt>
                <c:pt idx="14">
                  <c:v>0.90972222222222221</c:v>
                </c:pt>
                <c:pt idx="15">
                  <c:v>0.9375</c:v>
                </c:pt>
                <c:pt idx="16">
                  <c:v>0.93055555555555558</c:v>
                </c:pt>
                <c:pt idx="17">
                  <c:v>0.94417475728155342</c:v>
                </c:pt>
                <c:pt idx="18">
                  <c:v>0.95704057279236276</c:v>
                </c:pt>
                <c:pt idx="19">
                  <c:v>0.44791666666666669</c:v>
                </c:pt>
                <c:pt idx="20">
                  <c:v>0.49367088607594939</c:v>
                </c:pt>
                <c:pt idx="21">
                  <c:v>0.57414448669201523</c:v>
                </c:pt>
                <c:pt idx="22">
                  <c:v>0.60685483870967738</c:v>
                </c:pt>
                <c:pt idx="23">
                  <c:v>0.51307847082494973</c:v>
                </c:pt>
                <c:pt idx="24">
                  <c:v>0.51544401544401541</c:v>
                </c:pt>
                <c:pt idx="25">
                  <c:v>0.65437788018433185</c:v>
                </c:pt>
                <c:pt idx="26">
                  <c:v>0.63917525773195871</c:v>
                </c:pt>
                <c:pt idx="27">
                  <c:v>0.5727554179566563</c:v>
                </c:pt>
                <c:pt idx="28">
                  <c:v>0.50156739811912221</c:v>
                </c:pt>
                <c:pt idx="29">
                  <c:v>0.5907590759075908</c:v>
                </c:pt>
                <c:pt idx="30">
                  <c:v>0.68849557522123894</c:v>
                </c:pt>
                <c:pt idx="31">
                  <c:v>0.73476702508960579</c:v>
                </c:pt>
                <c:pt idx="32">
                  <c:v>0.74311926605504586</c:v>
                </c:pt>
                <c:pt idx="33">
                  <c:v>0.77449168207024033</c:v>
                </c:pt>
                <c:pt idx="34">
                  <c:v>0.75600000000000001</c:v>
                </c:pt>
                <c:pt idx="35">
                  <c:v>0.73006134969325154</c:v>
                </c:pt>
                <c:pt idx="36">
                  <c:v>0.64360587002096437</c:v>
                </c:pt>
                <c:pt idx="37">
                  <c:v>0.64075630252100846</c:v>
                </c:pt>
                <c:pt idx="38">
                  <c:v>0.59591836734693882</c:v>
                </c:pt>
                <c:pt idx="39">
                  <c:v>0.62815126050420167</c:v>
                </c:pt>
                <c:pt idx="40">
                  <c:v>0.59599999999999997</c:v>
                </c:pt>
                <c:pt idx="41">
                  <c:v>0.62040816326530612</c:v>
                </c:pt>
                <c:pt idx="42">
                  <c:v>0.6324626865671642</c:v>
                </c:pt>
                <c:pt idx="43">
                  <c:v>0.6440366972477064</c:v>
                </c:pt>
                <c:pt idx="44">
                  <c:v>0.66238532110091741</c:v>
                </c:pt>
                <c:pt idx="45">
                  <c:v>0.66482504604051562</c:v>
                </c:pt>
                <c:pt idx="46">
                  <c:v>0.65845070422535212</c:v>
                </c:pt>
                <c:pt idx="47">
                  <c:v>0.80701754385964908</c:v>
                </c:pt>
                <c:pt idx="48">
                  <c:v>0.89438943894389444</c:v>
                </c:pt>
                <c:pt idx="49">
                  <c:v>0.92096219931271472</c:v>
                </c:pt>
                <c:pt idx="50">
                  <c:v>0.88043478260869568</c:v>
                </c:pt>
                <c:pt idx="51">
                  <c:v>0.89819004524886881</c:v>
                </c:pt>
                <c:pt idx="52">
                  <c:v>0.91163793103448276</c:v>
                </c:pt>
                <c:pt idx="53">
                  <c:v>0.5962264150943396</c:v>
                </c:pt>
                <c:pt idx="54">
                  <c:v>0.71844660194174759</c:v>
                </c:pt>
                <c:pt idx="55">
                  <c:v>0.76950354609929073</c:v>
                </c:pt>
                <c:pt idx="56">
                  <c:v>0.74812030075187974</c:v>
                </c:pt>
                <c:pt idx="57">
                  <c:v>0.67472118959107807</c:v>
                </c:pt>
                <c:pt idx="58">
                  <c:v>0.64640883977900554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95-4E08-B096-4E1F44201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93039"/>
        <c:axId val="285443567"/>
      </c:scatterChart>
      <c:valAx>
        <c:axId val="110289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43567"/>
        <c:crosses val="autoZero"/>
        <c:crossBetween val="midCat"/>
      </c:valAx>
      <c:valAx>
        <c:axId val="2854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9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21</xdr:col>
      <xdr:colOff>304800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209BB-B49A-4C10-B26E-330A1651A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21</xdr:col>
      <xdr:colOff>304800</xdr:colOff>
      <xdr:row>38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77961E-FE1C-4616-8446-C3F6599AE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41</xdr:row>
      <xdr:rowOff>0</xdr:rowOff>
    </xdr:from>
    <xdr:to>
      <xdr:col>21</xdr:col>
      <xdr:colOff>304800</xdr:colOff>
      <xdr:row>57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4DFD34-3CC7-4E98-A85D-270CE43C4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3</xdr:row>
      <xdr:rowOff>0</xdr:rowOff>
    </xdr:from>
    <xdr:to>
      <xdr:col>30</xdr:col>
      <xdr:colOff>304800</xdr:colOff>
      <xdr:row>19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70DB84-3B11-4632-A1A4-0516BB40F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0</xdr:colOff>
      <xdr:row>3</xdr:row>
      <xdr:rowOff>0</xdr:rowOff>
    </xdr:from>
    <xdr:to>
      <xdr:col>39</xdr:col>
      <xdr:colOff>304800</xdr:colOff>
      <xdr:row>19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66839A-DDD0-439F-9BBA-AA7D9C12A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114306</xdr:colOff>
      <xdr:row>3</xdr:row>
      <xdr:rowOff>87630</xdr:rowOff>
    </xdr:from>
    <xdr:to>
      <xdr:col>17</xdr:col>
      <xdr:colOff>419106</xdr:colOff>
      <xdr:row>19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B7990-606A-F58E-F010-6E67B04D2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91440</xdr:colOff>
      <xdr:row>23</xdr:row>
      <xdr:rowOff>53340</xdr:rowOff>
    </xdr:from>
    <xdr:to>
      <xdr:col>17</xdr:col>
      <xdr:colOff>396240</xdr:colOff>
      <xdr:row>39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B89247-F95C-4752-9FCE-076A93041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121920</xdr:colOff>
      <xdr:row>42</xdr:row>
      <xdr:rowOff>137160</xdr:rowOff>
    </xdr:from>
    <xdr:to>
      <xdr:col>17</xdr:col>
      <xdr:colOff>426720</xdr:colOff>
      <xdr:row>59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11A02B-CFA2-4D33-A8CE-9E4584B89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304800</xdr:colOff>
      <xdr:row>3</xdr:row>
      <xdr:rowOff>30480</xdr:rowOff>
    </xdr:from>
    <xdr:to>
      <xdr:col>26</xdr:col>
      <xdr:colOff>274320</xdr:colOff>
      <xdr:row>19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D4CA64-0BD9-41B0-8ABE-0456D71C2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23</xdr:row>
      <xdr:rowOff>0</xdr:rowOff>
    </xdr:from>
    <xdr:to>
      <xdr:col>26</xdr:col>
      <xdr:colOff>304800</xdr:colOff>
      <xdr:row>39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AA24A6-C87A-4DA0-A939-E38FBD3DD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43</xdr:row>
      <xdr:rowOff>0</xdr:rowOff>
    </xdr:from>
    <xdr:to>
      <xdr:col>26</xdr:col>
      <xdr:colOff>304800</xdr:colOff>
      <xdr:row>59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ACAE0E-B530-4DE3-9E23-EAB927197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3</xdr:row>
      <xdr:rowOff>72390</xdr:rowOff>
    </xdr:from>
    <xdr:to>
      <xdr:col>17</xdr:col>
      <xdr:colOff>472440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F4FEA-333E-1DE7-42FC-C4085237F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205740</xdr:colOff>
      <xdr:row>22</xdr:row>
      <xdr:rowOff>137160</xdr:rowOff>
    </xdr:from>
    <xdr:to>
      <xdr:col>17</xdr:col>
      <xdr:colOff>510540</xdr:colOff>
      <xdr:row>39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329FF-BECC-44D1-B9BB-252479D55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17</xdr:col>
      <xdr:colOff>304800</xdr:colOff>
      <xdr:row>58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ABCA0F-9027-4040-997D-60D940022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76200</xdr:colOff>
      <xdr:row>3</xdr:row>
      <xdr:rowOff>22860</xdr:rowOff>
    </xdr:from>
    <xdr:to>
      <xdr:col>26</xdr:col>
      <xdr:colOff>381000</xdr:colOff>
      <xdr:row>19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A3A8A1-44F8-4ED6-9644-BF91BA682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83820</xdr:colOff>
      <xdr:row>22</xdr:row>
      <xdr:rowOff>114300</xdr:rowOff>
    </xdr:from>
    <xdr:to>
      <xdr:col>26</xdr:col>
      <xdr:colOff>388620</xdr:colOff>
      <xdr:row>39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D8CEF9-0229-40F3-AF14-4A0E61F5A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91440</xdr:colOff>
      <xdr:row>42</xdr:row>
      <xdr:rowOff>30480</xdr:rowOff>
    </xdr:from>
    <xdr:to>
      <xdr:col>26</xdr:col>
      <xdr:colOff>396240</xdr:colOff>
      <xdr:row>58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91DB34-B702-4571-BC49-B446930CD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220980</xdr:colOff>
      <xdr:row>3</xdr:row>
      <xdr:rowOff>64770</xdr:rowOff>
    </xdr:from>
    <xdr:to>
      <xdr:col>17</xdr:col>
      <xdr:colOff>525780</xdr:colOff>
      <xdr:row>19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78394-453D-16F1-DA44-B9C5FFBF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167640</xdr:colOff>
      <xdr:row>23</xdr:row>
      <xdr:rowOff>53340</xdr:rowOff>
    </xdr:from>
    <xdr:to>
      <xdr:col>17</xdr:col>
      <xdr:colOff>472440</xdr:colOff>
      <xdr:row>39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2971CB-8EB7-46C9-A197-8087F608F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121920</xdr:colOff>
      <xdr:row>42</xdr:row>
      <xdr:rowOff>30480</xdr:rowOff>
    </xdr:from>
    <xdr:to>
      <xdr:col>17</xdr:col>
      <xdr:colOff>426720</xdr:colOff>
      <xdr:row>58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62B339-F0CD-4DD7-939D-8008623BD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30480</xdr:colOff>
      <xdr:row>3</xdr:row>
      <xdr:rowOff>60960</xdr:rowOff>
    </xdr:from>
    <xdr:to>
      <xdr:col>26</xdr:col>
      <xdr:colOff>335280</xdr:colOff>
      <xdr:row>19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C3BD2E-E43A-4504-A33B-CCB290212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68580</xdr:colOff>
      <xdr:row>23</xdr:row>
      <xdr:rowOff>7620</xdr:rowOff>
    </xdr:from>
    <xdr:to>
      <xdr:col>26</xdr:col>
      <xdr:colOff>373380</xdr:colOff>
      <xdr:row>39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A400F2-0AB6-400E-B225-31D3B58F1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42</xdr:row>
      <xdr:rowOff>0</xdr:rowOff>
    </xdr:from>
    <xdr:to>
      <xdr:col>26</xdr:col>
      <xdr:colOff>304800</xdr:colOff>
      <xdr:row>58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DD275A-4F25-4FCF-A949-6615683E4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175260</xdr:colOff>
      <xdr:row>3</xdr:row>
      <xdr:rowOff>95250</xdr:rowOff>
    </xdr:from>
    <xdr:to>
      <xdr:col>17</xdr:col>
      <xdr:colOff>480060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67CF2-3241-3007-E58F-C13AE33C0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23</xdr:row>
      <xdr:rowOff>53340</xdr:rowOff>
    </xdr:from>
    <xdr:to>
      <xdr:col>17</xdr:col>
      <xdr:colOff>457200</xdr:colOff>
      <xdr:row>39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CADE0-2671-4130-BAE3-F3EF53117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91440</xdr:colOff>
      <xdr:row>42</xdr:row>
      <xdr:rowOff>60960</xdr:rowOff>
    </xdr:from>
    <xdr:to>
      <xdr:col>17</xdr:col>
      <xdr:colOff>396240</xdr:colOff>
      <xdr:row>58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21F9C9-62F8-4F02-B5FB-DDB577557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60960</xdr:colOff>
      <xdr:row>3</xdr:row>
      <xdr:rowOff>91440</xdr:rowOff>
    </xdr:from>
    <xdr:to>
      <xdr:col>26</xdr:col>
      <xdr:colOff>365760</xdr:colOff>
      <xdr:row>19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AD3C58-817E-462E-9466-A1BD3A7AE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182880</xdr:colOff>
      <xdr:row>23</xdr:row>
      <xdr:rowOff>68580</xdr:rowOff>
    </xdr:from>
    <xdr:to>
      <xdr:col>26</xdr:col>
      <xdr:colOff>487680</xdr:colOff>
      <xdr:row>39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B22F99-6211-43D2-8939-AEF2AAE0A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190500</xdr:colOff>
      <xdr:row>42</xdr:row>
      <xdr:rowOff>152400</xdr:rowOff>
    </xdr:from>
    <xdr:to>
      <xdr:col>26</xdr:col>
      <xdr:colOff>495300</xdr:colOff>
      <xdr:row>59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3295BD-DB31-4436-BA58-565DE52B2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539877</xdr:colOff>
      <xdr:row>18</xdr:row>
      <xdr:rowOff>206501</xdr:rowOff>
    </xdr:from>
    <xdr:ext cx="3179445" cy="3752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350011</xdr:colOff>
      <xdr:row>3</xdr:row>
      <xdr:rowOff>49142</xdr:rowOff>
    </xdr:from>
    <xdr:ext cx="381000" cy="29028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4</xdr:col>
      <xdr:colOff>540004</xdr:colOff>
      <xdr:row>20</xdr:row>
      <xdr:rowOff>0</xdr:rowOff>
    </xdr:from>
    <xdr:ext cx="3891279" cy="241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3891279" cy="241300"/>
        </a:xfrm>
        <a:custGeom>
          <a:avLst/>
          <a:gdLst/>
          <a:ahLst/>
          <a:cxnLst/>
          <a:rect l="0" t="0" r="0" b="0"/>
          <a:pathLst>
            <a:path w="3891279" h="241300">
              <a:moveTo>
                <a:pt x="708660" y="0"/>
              </a:moveTo>
              <a:lnTo>
                <a:pt x="0" y="0"/>
              </a:lnTo>
              <a:lnTo>
                <a:pt x="0" y="240792"/>
              </a:lnTo>
              <a:lnTo>
                <a:pt x="708660" y="240792"/>
              </a:lnTo>
              <a:lnTo>
                <a:pt x="708660" y="0"/>
              </a:lnTo>
              <a:close/>
            </a:path>
            <a:path w="3891279" h="241300">
              <a:moveTo>
                <a:pt x="1769364" y="0"/>
              </a:moveTo>
              <a:lnTo>
                <a:pt x="711708" y="0"/>
              </a:lnTo>
              <a:lnTo>
                <a:pt x="711708" y="240792"/>
              </a:lnTo>
              <a:lnTo>
                <a:pt x="1769364" y="240792"/>
              </a:lnTo>
              <a:lnTo>
                <a:pt x="1769364" y="0"/>
              </a:lnTo>
              <a:close/>
            </a:path>
            <a:path w="3891279" h="241300">
              <a:moveTo>
                <a:pt x="2830068" y="0"/>
              </a:moveTo>
              <a:lnTo>
                <a:pt x="1772412" y="0"/>
              </a:lnTo>
              <a:lnTo>
                <a:pt x="1772412" y="240792"/>
              </a:lnTo>
              <a:lnTo>
                <a:pt x="2830068" y="240792"/>
              </a:lnTo>
              <a:lnTo>
                <a:pt x="2830068" y="0"/>
              </a:lnTo>
              <a:close/>
            </a:path>
            <a:path w="3891279" h="241300">
              <a:moveTo>
                <a:pt x="3890772" y="0"/>
              </a:moveTo>
              <a:lnTo>
                <a:pt x="2833116" y="0"/>
              </a:lnTo>
              <a:lnTo>
                <a:pt x="2833116" y="240792"/>
              </a:lnTo>
              <a:lnTo>
                <a:pt x="3890772" y="240792"/>
              </a:lnTo>
              <a:lnTo>
                <a:pt x="389077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9</xdr:col>
      <xdr:colOff>2158</xdr:colOff>
      <xdr:row>4</xdr:row>
      <xdr:rowOff>1524</xdr:rowOff>
    </xdr:from>
    <xdr:ext cx="708660" cy="241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708660" cy="241300"/>
        </a:xfrm>
        <a:custGeom>
          <a:avLst/>
          <a:gdLst/>
          <a:ahLst/>
          <a:cxnLst/>
          <a:rect l="0" t="0" r="0" b="0"/>
          <a:pathLst>
            <a:path w="708660" h="241300">
              <a:moveTo>
                <a:pt x="708659" y="0"/>
              </a:moveTo>
              <a:lnTo>
                <a:pt x="0" y="0"/>
              </a:lnTo>
              <a:lnTo>
                <a:pt x="0" y="240791"/>
              </a:lnTo>
              <a:lnTo>
                <a:pt x="708659" y="240791"/>
              </a:lnTo>
              <a:lnTo>
                <a:pt x="70865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191135</xdr:colOff>
      <xdr:row>21</xdr:row>
      <xdr:rowOff>0</xdr:rowOff>
    </xdr:from>
    <xdr:ext cx="7275830" cy="23717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275830" cy="2371725"/>
        </a:xfrm>
        <a:custGeom>
          <a:avLst/>
          <a:gdLst/>
          <a:ahLst/>
          <a:cxnLst/>
          <a:rect l="0" t="0" r="0" b="0"/>
          <a:pathLst>
            <a:path w="7275830" h="2371725">
              <a:moveTo>
                <a:pt x="347472" y="1959864"/>
              </a:moveTo>
              <a:lnTo>
                <a:pt x="0" y="1959864"/>
              </a:lnTo>
              <a:lnTo>
                <a:pt x="0" y="2371344"/>
              </a:lnTo>
              <a:lnTo>
                <a:pt x="347472" y="2371344"/>
              </a:lnTo>
              <a:lnTo>
                <a:pt x="347472" y="1959864"/>
              </a:lnTo>
              <a:close/>
            </a:path>
            <a:path w="7275830" h="2371725">
              <a:moveTo>
                <a:pt x="347472" y="716280"/>
              </a:moveTo>
              <a:lnTo>
                <a:pt x="0" y="716280"/>
              </a:lnTo>
              <a:lnTo>
                <a:pt x="0" y="1956816"/>
              </a:lnTo>
              <a:lnTo>
                <a:pt x="347472" y="1956816"/>
              </a:lnTo>
              <a:lnTo>
                <a:pt x="347472" y="716280"/>
              </a:lnTo>
              <a:close/>
            </a:path>
            <a:path w="7275830" h="2371725">
              <a:moveTo>
                <a:pt x="347472" y="301752"/>
              </a:moveTo>
              <a:lnTo>
                <a:pt x="0" y="301752"/>
              </a:lnTo>
              <a:lnTo>
                <a:pt x="0" y="713232"/>
              </a:lnTo>
              <a:lnTo>
                <a:pt x="347472" y="713232"/>
              </a:lnTo>
              <a:lnTo>
                <a:pt x="347472" y="301752"/>
              </a:lnTo>
              <a:close/>
            </a:path>
            <a:path w="7275830" h="2371725">
              <a:moveTo>
                <a:pt x="347472" y="0"/>
              </a:moveTo>
              <a:lnTo>
                <a:pt x="0" y="0"/>
              </a:lnTo>
              <a:lnTo>
                <a:pt x="0" y="298704"/>
              </a:lnTo>
              <a:lnTo>
                <a:pt x="347472" y="298704"/>
              </a:lnTo>
              <a:lnTo>
                <a:pt x="347472" y="0"/>
              </a:lnTo>
              <a:close/>
            </a:path>
            <a:path w="7275830" h="2371725">
              <a:moveTo>
                <a:pt x="1408176" y="1959864"/>
              </a:moveTo>
              <a:lnTo>
                <a:pt x="350520" y="1959864"/>
              </a:lnTo>
              <a:lnTo>
                <a:pt x="350520" y="2371344"/>
              </a:lnTo>
              <a:lnTo>
                <a:pt x="1408176" y="2371344"/>
              </a:lnTo>
              <a:lnTo>
                <a:pt x="1408176" y="1959864"/>
              </a:lnTo>
              <a:close/>
            </a:path>
            <a:path w="7275830" h="2371725">
              <a:moveTo>
                <a:pt x="1408176" y="716280"/>
              </a:moveTo>
              <a:lnTo>
                <a:pt x="350520" y="716280"/>
              </a:lnTo>
              <a:lnTo>
                <a:pt x="350520" y="1956816"/>
              </a:lnTo>
              <a:lnTo>
                <a:pt x="1408176" y="1956816"/>
              </a:lnTo>
              <a:lnTo>
                <a:pt x="1408176" y="716280"/>
              </a:lnTo>
              <a:close/>
            </a:path>
            <a:path w="7275830" h="2371725">
              <a:moveTo>
                <a:pt x="1408176" y="301752"/>
              </a:moveTo>
              <a:lnTo>
                <a:pt x="350520" y="301752"/>
              </a:lnTo>
              <a:lnTo>
                <a:pt x="350520" y="713232"/>
              </a:lnTo>
              <a:lnTo>
                <a:pt x="1408176" y="713232"/>
              </a:lnTo>
              <a:lnTo>
                <a:pt x="1408176" y="301752"/>
              </a:lnTo>
              <a:close/>
            </a:path>
            <a:path w="7275830" h="2371725">
              <a:moveTo>
                <a:pt x="1408176" y="0"/>
              </a:moveTo>
              <a:lnTo>
                <a:pt x="350520" y="0"/>
              </a:lnTo>
              <a:lnTo>
                <a:pt x="350520" y="298704"/>
              </a:lnTo>
              <a:lnTo>
                <a:pt x="1408176" y="298704"/>
              </a:lnTo>
              <a:lnTo>
                <a:pt x="1408176" y="0"/>
              </a:lnTo>
              <a:close/>
            </a:path>
            <a:path w="7275830" h="2371725">
              <a:moveTo>
                <a:pt x="2819400" y="1959864"/>
              </a:moveTo>
              <a:lnTo>
                <a:pt x="1411224" y="1959864"/>
              </a:lnTo>
              <a:lnTo>
                <a:pt x="1411224" y="2371344"/>
              </a:lnTo>
              <a:lnTo>
                <a:pt x="2819400" y="2371344"/>
              </a:lnTo>
              <a:lnTo>
                <a:pt x="2819400" y="1959864"/>
              </a:lnTo>
              <a:close/>
            </a:path>
            <a:path w="7275830" h="2371725">
              <a:moveTo>
                <a:pt x="2819400" y="1132332"/>
              </a:moveTo>
              <a:lnTo>
                <a:pt x="1411224" y="1132332"/>
              </a:lnTo>
              <a:lnTo>
                <a:pt x="1411224" y="1956816"/>
              </a:lnTo>
              <a:lnTo>
                <a:pt x="2819400" y="1956816"/>
              </a:lnTo>
              <a:lnTo>
                <a:pt x="2819400" y="1132332"/>
              </a:lnTo>
              <a:close/>
            </a:path>
            <a:path w="7275830" h="2371725">
              <a:moveTo>
                <a:pt x="2819400" y="716280"/>
              </a:moveTo>
              <a:lnTo>
                <a:pt x="1411224" y="716280"/>
              </a:lnTo>
              <a:lnTo>
                <a:pt x="1411224" y="1129284"/>
              </a:lnTo>
              <a:lnTo>
                <a:pt x="2819400" y="1129284"/>
              </a:lnTo>
              <a:lnTo>
                <a:pt x="2819400" y="716280"/>
              </a:lnTo>
              <a:close/>
            </a:path>
            <a:path w="7275830" h="2371725">
              <a:moveTo>
                <a:pt x="2819400" y="301752"/>
              </a:moveTo>
              <a:lnTo>
                <a:pt x="1411224" y="301752"/>
              </a:lnTo>
              <a:lnTo>
                <a:pt x="1411224" y="713232"/>
              </a:lnTo>
              <a:lnTo>
                <a:pt x="2819400" y="713232"/>
              </a:lnTo>
              <a:lnTo>
                <a:pt x="2819400" y="301752"/>
              </a:lnTo>
              <a:close/>
            </a:path>
            <a:path w="7275830" h="2371725">
              <a:moveTo>
                <a:pt x="2819400" y="0"/>
              </a:moveTo>
              <a:lnTo>
                <a:pt x="1411224" y="0"/>
              </a:lnTo>
              <a:lnTo>
                <a:pt x="1411224" y="298704"/>
              </a:lnTo>
              <a:lnTo>
                <a:pt x="2819400" y="298704"/>
              </a:lnTo>
              <a:lnTo>
                <a:pt x="2819400" y="0"/>
              </a:lnTo>
              <a:close/>
            </a:path>
            <a:path w="7275830" h="2371725">
              <a:moveTo>
                <a:pt x="3381756" y="1959864"/>
              </a:moveTo>
              <a:lnTo>
                <a:pt x="2822448" y="1959864"/>
              </a:lnTo>
              <a:lnTo>
                <a:pt x="2822448" y="2371344"/>
              </a:lnTo>
              <a:lnTo>
                <a:pt x="3381756" y="2371344"/>
              </a:lnTo>
              <a:lnTo>
                <a:pt x="3381756" y="1959864"/>
              </a:lnTo>
              <a:close/>
            </a:path>
            <a:path w="7275830" h="2371725">
              <a:moveTo>
                <a:pt x="3381756" y="1752600"/>
              </a:moveTo>
              <a:lnTo>
                <a:pt x="2822448" y="1752600"/>
              </a:lnTo>
              <a:lnTo>
                <a:pt x="2822448" y="1956816"/>
              </a:lnTo>
              <a:lnTo>
                <a:pt x="3381756" y="1956816"/>
              </a:lnTo>
              <a:lnTo>
                <a:pt x="3381756" y="1752600"/>
              </a:lnTo>
              <a:close/>
            </a:path>
            <a:path w="7275830" h="2371725">
              <a:moveTo>
                <a:pt x="3381756" y="1545336"/>
              </a:moveTo>
              <a:lnTo>
                <a:pt x="2822448" y="1545336"/>
              </a:lnTo>
              <a:lnTo>
                <a:pt x="2822448" y="1749552"/>
              </a:lnTo>
              <a:lnTo>
                <a:pt x="3381756" y="1749552"/>
              </a:lnTo>
              <a:lnTo>
                <a:pt x="3381756" y="1545336"/>
              </a:lnTo>
              <a:close/>
            </a:path>
            <a:path w="7275830" h="2371725">
              <a:moveTo>
                <a:pt x="3381756" y="1339596"/>
              </a:moveTo>
              <a:lnTo>
                <a:pt x="2822448" y="1339596"/>
              </a:lnTo>
              <a:lnTo>
                <a:pt x="2822448" y="1542288"/>
              </a:lnTo>
              <a:lnTo>
                <a:pt x="3381756" y="1542288"/>
              </a:lnTo>
              <a:lnTo>
                <a:pt x="3381756" y="1339596"/>
              </a:lnTo>
              <a:close/>
            </a:path>
            <a:path w="7275830" h="2371725">
              <a:moveTo>
                <a:pt x="3381756" y="1132332"/>
              </a:moveTo>
              <a:lnTo>
                <a:pt x="2822448" y="1132332"/>
              </a:lnTo>
              <a:lnTo>
                <a:pt x="2822448" y="1336548"/>
              </a:lnTo>
              <a:lnTo>
                <a:pt x="3381756" y="1336548"/>
              </a:lnTo>
              <a:lnTo>
                <a:pt x="3381756" y="1132332"/>
              </a:lnTo>
              <a:close/>
            </a:path>
            <a:path w="7275830" h="2371725">
              <a:moveTo>
                <a:pt x="3381756" y="716280"/>
              </a:moveTo>
              <a:lnTo>
                <a:pt x="2822448" y="716280"/>
              </a:lnTo>
              <a:lnTo>
                <a:pt x="2822448" y="1129284"/>
              </a:lnTo>
              <a:lnTo>
                <a:pt x="3381756" y="1129284"/>
              </a:lnTo>
              <a:lnTo>
                <a:pt x="3381756" y="716280"/>
              </a:lnTo>
              <a:close/>
            </a:path>
            <a:path w="7275830" h="2371725">
              <a:moveTo>
                <a:pt x="3381756" y="509016"/>
              </a:moveTo>
              <a:lnTo>
                <a:pt x="2822448" y="509016"/>
              </a:lnTo>
              <a:lnTo>
                <a:pt x="2822448" y="713232"/>
              </a:lnTo>
              <a:lnTo>
                <a:pt x="3381756" y="713232"/>
              </a:lnTo>
              <a:lnTo>
                <a:pt x="3381756" y="509016"/>
              </a:lnTo>
              <a:close/>
            </a:path>
            <a:path w="7275830" h="2371725">
              <a:moveTo>
                <a:pt x="3381756" y="301752"/>
              </a:moveTo>
              <a:lnTo>
                <a:pt x="2822448" y="301752"/>
              </a:lnTo>
              <a:lnTo>
                <a:pt x="2822448" y="505968"/>
              </a:lnTo>
              <a:lnTo>
                <a:pt x="3381756" y="505968"/>
              </a:lnTo>
              <a:lnTo>
                <a:pt x="3381756" y="301752"/>
              </a:lnTo>
              <a:close/>
            </a:path>
            <a:path w="7275830" h="2371725">
              <a:moveTo>
                <a:pt x="3381756" y="0"/>
              </a:moveTo>
              <a:lnTo>
                <a:pt x="2822448" y="0"/>
              </a:lnTo>
              <a:lnTo>
                <a:pt x="2822448" y="298704"/>
              </a:lnTo>
              <a:lnTo>
                <a:pt x="3381756" y="298704"/>
              </a:lnTo>
              <a:lnTo>
                <a:pt x="3381756" y="0"/>
              </a:lnTo>
              <a:close/>
            </a:path>
            <a:path w="7275830" h="2371725">
              <a:moveTo>
                <a:pt x="4093464" y="1959864"/>
              </a:moveTo>
              <a:lnTo>
                <a:pt x="3384804" y="1959864"/>
              </a:lnTo>
              <a:lnTo>
                <a:pt x="3384804" y="2371344"/>
              </a:lnTo>
              <a:lnTo>
                <a:pt x="4093464" y="2371344"/>
              </a:lnTo>
              <a:lnTo>
                <a:pt x="4093464" y="1959864"/>
              </a:lnTo>
              <a:close/>
            </a:path>
            <a:path w="7275830" h="2371725">
              <a:moveTo>
                <a:pt x="4093464" y="1752600"/>
              </a:moveTo>
              <a:lnTo>
                <a:pt x="3384804" y="1752600"/>
              </a:lnTo>
              <a:lnTo>
                <a:pt x="3384804" y="1956816"/>
              </a:lnTo>
              <a:lnTo>
                <a:pt x="4093464" y="1956816"/>
              </a:lnTo>
              <a:lnTo>
                <a:pt x="4093464" y="1752600"/>
              </a:lnTo>
              <a:close/>
            </a:path>
            <a:path w="7275830" h="2371725">
              <a:moveTo>
                <a:pt x="4093464" y="1545336"/>
              </a:moveTo>
              <a:lnTo>
                <a:pt x="3384804" y="1545336"/>
              </a:lnTo>
              <a:lnTo>
                <a:pt x="3384804" y="1749552"/>
              </a:lnTo>
              <a:lnTo>
                <a:pt x="4093464" y="1749552"/>
              </a:lnTo>
              <a:lnTo>
                <a:pt x="4093464" y="1545336"/>
              </a:lnTo>
              <a:close/>
            </a:path>
            <a:path w="7275830" h="2371725">
              <a:moveTo>
                <a:pt x="4093464" y="1339596"/>
              </a:moveTo>
              <a:lnTo>
                <a:pt x="3384804" y="1339596"/>
              </a:lnTo>
              <a:lnTo>
                <a:pt x="3384804" y="1542288"/>
              </a:lnTo>
              <a:lnTo>
                <a:pt x="4093464" y="1542288"/>
              </a:lnTo>
              <a:lnTo>
                <a:pt x="4093464" y="1339596"/>
              </a:lnTo>
              <a:close/>
            </a:path>
            <a:path w="7275830" h="2371725">
              <a:moveTo>
                <a:pt x="4093464" y="1132332"/>
              </a:moveTo>
              <a:lnTo>
                <a:pt x="3384804" y="1132332"/>
              </a:lnTo>
              <a:lnTo>
                <a:pt x="3384804" y="1336548"/>
              </a:lnTo>
              <a:lnTo>
                <a:pt x="4093464" y="1336548"/>
              </a:lnTo>
              <a:lnTo>
                <a:pt x="4093464" y="1132332"/>
              </a:lnTo>
              <a:close/>
            </a:path>
            <a:path w="7275830" h="2371725">
              <a:moveTo>
                <a:pt x="4093464" y="716280"/>
              </a:moveTo>
              <a:lnTo>
                <a:pt x="3384804" y="716280"/>
              </a:lnTo>
              <a:lnTo>
                <a:pt x="3384804" y="1129284"/>
              </a:lnTo>
              <a:lnTo>
                <a:pt x="4093464" y="1129284"/>
              </a:lnTo>
              <a:lnTo>
                <a:pt x="4093464" y="716280"/>
              </a:lnTo>
              <a:close/>
            </a:path>
            <a:path w="7275830" h="2371725">
              <a:moveTo>
                <a:pt x="4093464" y="509016"/>
              </a:moveTo>
              <a:lnTo>
                <a:pt x="3384804" y="509016"/>
              </a:lnTo>
              <a:lnTo>
                <a:pt x="3384804" y="713232"/>
              </a:lnTo>
              <a:lnTo>
                <a:pt x="4093464" y="713232"/>
              </a:lnTo>
              <a:lnTo>
                <a:pt x="4093464" y="509016"/>
              </a:lnTo>
              <a:close/>
            </a:path>
            <a:path w="7275830" h="2371725">
              <a:moveTo>
                <a:pt x="4093464" y="301752"/>
              </a:moveTo>
              <a:lnTo>
                <a:pt x="3384804" y="301752"/>
              </a:lnTo>
              <a:lnTo>
                <a:pt x="3384804" y="505968"/>
              </a:lnTo>
              <a:lnTo>
                <a:pt x="4093464" y="505968"/>
              </a:lnTo>
              <a:lnTo>
                <a:pt x="4093464" y="301752"/>
              </a:lnTo>
              <a:close/>
            </a:path>
            <a:path w="7275830" h="2371725">
              <a:moveTo>
                <a:pt x="4093464" y="0"/>
              </a:moveTo>
              <a:lnTo>
                <a:pt x="3384804" y="0"/>
              </a:lnTo>
              <a:lnTo>
                <a:pt x="3384804" y="298704"/>
              </a:lnTo>
              <a:lnTo>
                <a:pt x="4093464" y="298704"/>
              </a:lnTo>
              <a:lnTo>
                <a:pt x="4093464" y="0"/>
              </a:lnTo>
              <a:close/>
            </a:path>
            <a:path w="7275830" h="2371725">
              <a:moveTo>
                <a:pt x="5154168" y="1959864"/>
              </a:moveTo>
              <a:lnTo>
                <a:pt x="4096512" y="1959864"/>
              </a:lnTo>
              <a:lnTo>
                <a:pt x="4096512" y="2371344"/>
              </a:lnTo>
              <a:lnTo>
                <a:pt x="5154168" y="2371344"/>
              </a:lnTo>
              <a:lnTo>
                <a:pt x="5154168" y="1959864"/>
              </a:lnTo>
              <a:close/>
            </a:path>
            <a:path w="7275830" h="2371725">
              <a:moveTo>
                <a:pt x="5154168" y="1752600"/>
              </a:moveTo>
              <a:lnTo>
                <a:pt x="4096512" y="1752600"/>
              </a:lnTo>
              <a:lnTo>
                <a:pt x="4096512" y="1956816"/>
              </a:lnTo>
              <a:lnTo>
                <a:pt x="5154168" y="1956816"/>
              </a:lnTo>
              <a:lnTo>
                <a:pt x="5154168" y="1752600"/>
              </a:lnTo>
              <a:close/>
            </a:path>
            <a:path w="7275830" h="2371725">
              <a:moveTo>
                <a:pt x="5154168" y="1545336"/>
              </a:moveTo>
              <a:lnTo>
                <a:pt x="4096512" y="1545336"/>
              </a:lnTo>
              <a:lnTo>
                <a:pt x="4096512" y="1749552"/>
              </a:lnTo>
              <a:lnTo>
                <a:pt x="5154168" y="1749552"/>
              </a:lnTo>
              <a:lnTo>
                <a:pt x="5154168" y="1545336"/>
              </a:lnTo>
              <a:close/>
            </a:path>
            <a:path w="7275830" h="2371725">
              <a:moveTo>
                <a:pt x="5154168" y="1339596"/>
              </a:moveTo>
              <a:lnTo>
                <a:pt x="4096512" y="1339596"/>
              </a:lnTo>
              <a:lnTo>
                <a:pt x="4096512" y="1542288"/>
              </a:lnTo>
              <a:lnTo>
                <a:pt x="5154168" y="1542288"/>
              </a:lnTo>
              <a:lnTo>
                <a:pt x="5154168" y="1339596"/>
              </a:lnTo>
              <a:close/>
            </a:path>
            <a:path w="7275830" h="2371725">
              <a:moveTo>
                <a:pt x="5154168" y="1132332"/>
              </a:moveTo>
              <a:lnTo>
                <a:pt x="4096512" y="1132332"/>
              </a:lnTo>
              <a:lnTo>
                <a:pt x="4096512" y="1336548"/>
              </a:lnTo>
              <a:lnTo>
                <a:pt x="5154168" y="1336548"/>
              </a:lnTo>
              <a:lnTo>
                <a:pt x="5154168" y="1132332"/>
              </a:lnTo>
              <a:close/>
            </a:path>
            <a:path w="7275830" h="2371725">
              <a:moveTo>
                <a:pt x="5154168" y="716280"/>
              </a:moveTo>
              <a:lnTo>
                <a:pt x="4096512" y="716280"/>
              </a:lnTo>
              <a:lnTo>
                <a:pt x="4096512" y="1129284"/>
              </a:lnTo>
              <a:lnTo>
                <a:pt x="5154168" y="1129284"/>
              </a:lnTo>
              <a:lnTo>
                <a:pt x="5154168" y="716280"/>
              </a:lnTo>
              <a:close/>
            </a:path>
            <a:path w="7275830" h="2371725">
              <a:moveTo>
                <a:pt x="5154168" y="509016"/>
              </a:moveTo>
              <a:lnTo>
                <a:pt x="4096512" y="509016"/>
              </a:lnTo>
              <a:lnTo>
                <a:pt x="4096512" y="713232"/>
              </a:lnTo>
              <a:lnTo>
                <a:pt x="5154168" y="713232"/>
              </a:lnTo>
              <a:lnTo>
                <a:pt x="5154168" y="509016"/>
              </a:lnTo>
              <a:close/>
            </a:path>
            <a:path w="7275830" h="2371725">
              <a:moveTo>
                <a:pt x="5154168" y="301752"/>
              </a:moveTo>
              <a:lnTo>
                <a:pt x="4096512" y="301752"/>
              </a:lnTo>
              <a:lnTo>
                <a:pt x="4096512" y="505968"/>
              </a:lnTo>
              <a:lnTo>
                <a:pt x="5154168" y="505968"/>
              </a:lnTo>
              <a:lnTo>
                <a:pt x="5154168" y="301752"/>
              </a:lnTo>
              <a:close/>
            </a:path>
            <a:path w="7275830" h="2371725">
              <a:moveTo>
                <a:pt x="5154168" y="0"/>
              </a:moveTo>
              <a:lnTo>
                <a:pt x="4096512" y="0"/>
              </a:lnTo>
              <a:lnTo>
                <a:pt x="4096512" y="298704"/>
              </a:lnTo>
              <a:lnTo>
                <a:pt x="5154168" y="298704"/>
              </a:lnTo>
              <a:lnTo>
                <a:pt x="5154168" y="0"/>
              </a:lnTo>
              <a:close/>
            </a:path>
            <a:path w="7275830" h="2371725">
              <a:moveTo>
                <a:pt x="6214872" y="1959864"/>
              </a:moveTo>
              <a:lnTo>
                <a:pt x="5157216" y="1959864"/>
              </a:lnTo>
              <a:lnTo>
                <a:pt x="5157216" y="2371344"/>
              </a:lnTo>
              <a:lnTo>
                <a:pt x="6214872" y="2371344"/>
              </a:lnTo>
              <a:lnTo>
                <a:pt x="6214872" y="1959864"/>
              </a:lnTo>
              <a:close/>
            </a:path>
            <a:path w="7275830" h="2371725">
              <a:moveTo>
                <a:pt x="6214872" y="1752600"/>
              </a:moveTo>
              <a:lnTo>
                <a:pt x="5157216" y="1752600"/>
              </a:lnTo>
              <a:lnTo>
                <a:pt x="5157216" y="1956816"/>
              </a:lnTo>
              <a:lnTo>
                <a:pt x="6214872" y="1956816"/>
              </a:lnTo>
              <a:lnTo>
                <a:pt x="6214872" y="1752600"/>
              </a:lnTo>
              <a:close/>
            </a:path>
            <a:path w="7275830" h="2371725">
              <a:moveTo>
                <a:pt x="6214872" y="1545336"/>
              </a:moveTo>
              <a:lnTo>
                <a:pt x="5157216" y="1545336"/>
              </a:lnTo>
              <a:lnTo>
                <a:pt x="5157216" y="1749552"/>
              </a:lnTo>
              <a:lnTo>
                <a:pt x="6214872" y="1749552"/>
              </a:lnTo>
              <a:lnTo>
                <a:pt x="6214872" y="1545336"/>
              </a:lnTo>
              <a:close/>
            </a:path>
            <a:path w="7275830" h="2371725">
              <a:moveTo>
                <a:pt x="6214872" y="1339596"/>
              </a:moveTo>
              <a:lnTo>
                <a:pt x="5157216" y="1339596"/>
              </a:lnTo>
              <a:lnTo>
                <a:pt x="5157216" y="1542288"/>
              </a:lnTo>
              <a:lnTo>
                <a:pt x="6214872" y="1542288"/>
              </a:lnTo>
              <a:lnTo>
                <a:pt x="6214872" y="1339596"/>
              </a:lnTo>
              <a:close/>
            </a:path>
            <a:path w="7275830" h="2371725">
              <a:moveTo>
                <a:pt x="6214872" y="1132332"/>
              </a:moveTo>
              <a:lnTo>
                <a:pt x="5157216" y="1132332"/>
              </a:lnTo>
              <a:lnTo>
                <a:pt x="5157216" y="1336548"/>
              </a:lnTo>
              <a:lnTo>
                <a:pt x="6214872" y="1336548"/>
              </a:lnTo>
              <a:lnTo>
                <a:pt x="6214872" y="1132332"/>
              </a:lnTo>
              <a:close/>
            </a:path>
            <a:path w="7275830" h="2371725">
              <a:moveTo>
                <a:pt x="6214872" y="716280"/>
              </a:moveTo>
              <a:lnTo>
                <a:pt x="5157216" y="716280"/>
              </a:lnTo>
              <a:lnTo>
                <a:pt x="5157216" y="1129284"/>
              </a:lnTo>
              <a:lnTo>
                <a:pt x="6214872" y="1129284"/>
              </a:lnTo>
              <a:lnTo>
                <a:pt x="6214872" y="716280"/>
              </a:lnTo>
              <a:close/>
            </a:path>
            <a:path w="7275830" h="2371725">
              <a:moveTo>
                <a:pt x="6214872" y="509016"/>
              </a:moveTo>
              <a:lnTo>
                <a:pt x="5157216" y="509016"/>
              </a:lnTo>
              <a:lnTo>
                <a:pt x="5157216" y="713232"/>
              </a:lnTo>
              <a:lnTo>
                <a:pt x="6214872" y="713232"/>
              </a:lnTo>
              <a:lnTo>
                <a:pt x="6214872" y="509016"/>
              </a:lnTo>
              <a:close/>
            </a:path>
            <a:path w="7275830" h="2371725">
              <a:moveTo>
                <a:pt x="6214872" y="301752"/>
              </a:moveTo>
              <a:lnTo>
                <a:pt x="5157216" y="301752"/>
              </a:lnTo>
              <a:lnTo>
                <a:pt x="5157216" y="505968"/>
              </a:lnTo>
              <a:lnTo>
                <a:pt x="6214872" y="505968"/>
              </a:lnTo>
              <a:lnTo>
                <a:pt x="6214872" y="301752"/>
              </a:lnTo>
              <a:close/>
            </a:path>
            <a:path w="7275830" h="2371725">
              <a:moveTo>
                <a:pt x="6214872" y="0"/>
              </a:moveTo>
              <a:lnTo>
                <a:pt x="5157216" y="0"/>
              </a:lnTo>
              <a:lnTo>
                <a:pt x="5157216" y="298704"/>
              </a:lnTo>
              <a:lnTo>
                <a:pt x="6214872" y="298704"/>
              </a:lnTo>
              <a:lnTo>
                <a:pt x="6214872" y="0"/>
              </a:lnTo>
              <a:close/>
            </a:path>
            <a:path w="7275830" h="2371725">
              <a:moveTo>
                <a:pt x="7275576" y="1959864"/>
              </a:moveTo>
              <a:lnTo>
                <a:pt x="6217920" y="1959864"/>
              </a:lnTo>
              <a:lnTo>
                <a:pt x="6217920" y="2371344"/>
              </a:lnTo>
              <a:lnTo>
                <a:pt x="7275576" y="2371344"/>
              </a:lnTo>
              <a:lnTo>
                <a:pt x="7275576" y="1959864"/>
              </a:lnTo>
              <a:close/>
            </a:path>
            <a:path w="7275830" h="2371725">
              <a:moveTo>
                <a:pt x="7275576" y="1752600"/>
              </a:moveTo>
              <a:lnTo>
                <a:pt x="6217920" y="1752600"/>
              </a:lnTo>
              <a:lnTo>
                <a:pt x="6217920" y="1956816"/>
              </a:lnTo>
              <a:lnTo>
                <a:pt x="7275576" y="1956816"/>
              </a:lnTo>
              <a:lnTo>
                <a:pt x="7275576" y="1752600"/>
              </a:lnTo>
              <a:close/>
            </a:path>
            <a:path w="7275830" h="2371725">
              <a:moveTo>
                <a:pt x="7275576" y="1545336"/>
              </a:moveTo>
              <a:lnTo>
                <a:pt x="6217920" y="1545336"/>
              </a:lnTo>
              <a:lnTo>
                <a:pt x="6217920" y="1749552"/>
              </a:lnTo>
              <a:lnTo>
                <a:pt x="7275576" y="1749552"/>
              </a:lnTo>
              <a:lnTo>
                <a:pt x="7275576" y="1545336"/>
              </a:lnTo>
              <a:close/>
            </a:path>
            <a:path w="7275830" h="2371725">
              <a:moveTo>
                <a:pt x="7275576" y="1339596"/>
              </a:moveTo>
              <a:lnTo>
                <a:pt x="6217920" y="1339596"/>
              </a:lnTo>
              <a:lnTo>
                <a:pt x="6217920" y="1542288"/>
              </a:lnTo>
              <a:lnTo>
                <a:pt x="7275576" y="1542288"/>
              </a:lnTo>
              <a:lnTo>
                <a:pt x="7275576" y="1339596"/>
              </a:lnTo>
              <a:close/>
            </a:path>
            <a:path w="7275830" h="2371725">
              <a:moveTo>
                <a:pt x="7275576" y="1132332"/>
              </a:moveTo>
              <a:lnTo>
                <a:pt x="6217920" y="1132332"/>
              </a:lnTo>
              <a:lnTo>
                <a:pt x="6217920" y="1336548"/>
              </a:lnTo>
              <a:lnTo>
                <a:pt x="7275576" y="1336548"/>
              </a:lnTo>
              <a:lnTo>
                <a:pt x="7275576" y="1132332"/>
              </a:lnTo>
              <a:close/>
            </a:path>
            <a:path w="7275830" h="2371725">
              <a:moveTo>
                <a:pt x="7275576" y="716280"/>
              </a:moveTo>
              <a:lnTo>
                <a:pt x="6217920" y="716280"/>
              </a:lnTo>
              <a:lnTo>
                <a:pt x="6217920" y="1129284"/>
              </a:lnTo>
              <a:lnTo>
                <a:pt x="7275576" y="1129284"/>
              </a:lnTo>
              <a:lnTo>
                <a:pt x="7275576" y="716280"/>
              </a:lnTo>
              <a:close/>
            </a:path>
            <a:path w="7275830" h="2371725">
              <a:moveTo>
                <a:pt x="7275576" y="509016"/>
              </a:moveTo>
              <a:lnTo>
                <a:pt x="6217920" y="509016"/>
              </a:lnTo>
              <a:lnTo>
                <a:pt x="6217920" y="713232"/>
              </a:lnTo>
              <a:lnTo>
                <a:pt x="7275576" y="713232"/>
              </a:lnTo>
              <a:lnTo>
                <a:pt x="7275576" y="509016"/>
              </a:lnTo>
              <a:close/>
            </a:path>
            <a:path w="7275830" h="2371725">
              <a:moveTo>
                <a:pt x="7275576" y="301752"/>
              </a:moveTo>
              <a:lnTo>
                <a:pt x="6217920" y="301752"/>
              </a:lnTo>
              <a:lnTo>
                <a:pt x="6217920" y="505968"/>
              </a:lnTo>
              <a:lnTo>
                <a:pt x="7275576" y="505968"/>
              </a:lnTo>
              <a:lnTo>
                <a:pt x="7275576" y="301752"/>
              </a:lnTo>
              <a:close/>
            </a:path>
            <a:path w="7275830" h="2371725">
              <a:moveTo>
                <a:pt x="7275576" y="0"/>
              </a:moveTo>
              <a:lnTo>
                <a:pt x="6217920" y="0"/>
              </a:lnTo>
              <a:lnTo>
                <a:pt x="6217920" y="298704"/>
              </a:lnTo>
              <a:lnTo>
                <a:pt x="7275576" y="298704"/>
              </a:lnTo>
              <a:lnTo>
                <a:pt x="72755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9</xdr:col>
      <xdr:colOff>538861</xdr:colOff>
      <xdr:row>22</xdr:row>
      <xdr:rowOff>0</xdr:rowOff>
    </xdr:from>
    <xdr:ext cx="708660" cy="23717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708660" cy="2371725"/>
        </a:xfrm>
        <a:custGeom>
          <a:avLst/>
          <a:gdLst/>
          <a:ahLst/>
          <a:cxnLst/>
          <a:rect l="0" t="0" r="0" b="0"/>
          <a:pathLst>
            <a:path w="708660" h="2371725">
              <a:moveTo>
                <a:pt x="708660" y="1959864"/>
              </a:moveTo>
              <a:lnTo>
                <a:pt x="0" y="1959864"/>
              </a:lnTo>
              <a:lnTo>
                <a:pt x="0" y="2371344"/>
              </a:lnTo>
              <a:lnTo>
                <a:pt x="708660" y="2371344"/>
              </a:lnTo>
              <a:lnTo>
                <a:pt x="708660" y="1959864"/>
              </a:lnTo>
              <a:close/>
            </a:path>
            <a:path w="708660" h="2371725">
              <a:moveTo>
                <a:pt x="708660" y="1752600"/>
              </a:moveTo>
              <a:lnTo>
                <a:pt x="0" y="1752600"/>
              </a:lnTo>
              <a:lnTo>
                <a:pt x="0" y="1956816"/>
              </a:lnTo>
              <a:lnTo>
                <a:pt x="708660" y="1956816"/>
              </a:lnTo>
              <a:lnTo>
                <a:pt x="708660" y="1752600"/>
              </a:lnTo>
              <a:close/>
            </a:path>
            <a:path w="708660" h="2371725">
              <a:moveTo>
                <a:pt x="708660" y="1545336"/>
              </a:moveTo>
              <a:lnTo>
                <a:pt x="0" y="1545336"/>
              </a:lnTo>
              <a:lnTo>
                <a:pt x="0" y="1749552"/>
              </a:lnTo>
              <a:lnTo>
                <a:pt x="708660" y="1749552"/>
              </a:lnTo>
              <a:lnTo>
                <a:pt x="708660" y="1545336"/>
              </a:lnTo>
              <a:close/>
            </a:path>
            <a:path w="708660" h="2371725">
              <a:moveTo>
                <a:pt x="708660" y="1339596"/>
              </a:moveTo>
              <a:lnTo>
                <a:pt x="0" y="1339596"/>
              </a:lnTo>
              <a:lnTo>
                <a:pt x="0" y="1542288"/>
              </a:lnTo>
              <a:lnTo>
                <a:pt x="708660" y="1542288"/>
              </a:lnTo>
              <a:lnTo>
                <a:pt x="708660" y="1339596"/>
              </a:lnTo>
              <a:close/>
            </a:path>
            <a:path w="708660" h="2371725">
              <a:moveTo>
                <a:pt x="708660" y="1132332"/>
              </a:moveTo>
              <a:lnTo>
                <a:pt x="0" y="1132332"/>
              </a:lnTo>
              <a:lnTo>
                <a:pt x="0" y="1336548"/>
              </a:lnTo>
              <a:lnTo>
                <a:pt x="708660" y="1336548"/>
              </a:lnTo>
              <a:lnTo>
                <a:pt x="708660" y="1132332"/>
              </a:lnTo>
              <a:close/>
            </a:path>
            <a:path w="708660" h="2371725">
              <a:moveTo>
                <a:pt x="708660" y="716280"/>
              </a:moveTo>
              <a:lnTo>
                <a:pt x="0" y="716280"/>
              </a:lnTo>
              <a:lnTo>
                <a:pt x="0" y="1129284"/>
              </a:lnTo>
              <a:lnTo>
                <a:pt x="708660" y="1129284"/>
              </a:lnTo>
              <a:lnTo>
                <a:pt x="708660" y="716280"/>
              </a:lnTo>
              <a:close/>
            </a:path>
            <a:path w="708660" h="2371725">
              <a:moveTo>
                <a:pt x="708660" y="509016"/>
              </a:moveTo>
              <a:lnTo>
                <a:pt x="0" y="509016"/>
              </a:lnTo>
              <a:lnTo>
                <a:pt x="0" y="713232"/>
              </a:lnTo>
              <a:lnTo>
                <a:pt x="708660" y="713232"/>
              </a:lnTo>
              <a:lnTo>
                <a:pt x="708660" y="509016"/>
              </a:lnTo>
              <a:close/>
            </a:path>
            <a:path w="708660" h="2371725">
              <a:moveTo>
                <a:pt x="708660" y="301752"/>
              </a:moveTo>
              <a:lnTo>
                <a:pt x="0" y="301752"/>
              </a:lnTo>
              <a:lnTo>
                <a:pt x="0" y="505968"/>
              </a:lnTo>
              <a:lnTo>
                <a:pt x="708660" y="505968"/>
              </a:lnTo>
              <a:lnTo>
                <a:pt x="708660" y="301752"/>
              </a:lnTo>
              <a:close/>
            </a:path>
            <a:path w="708660" h="2371725">
              <a:moveTo>
                <a:pt x="708660" y="0"/>
              </a:moveTo>
              <a:lnTo>
                <a:pt x="0" y="0"/>
              </a:lnTo>
              <a:lnTo>
                <a:pt x="0" y="298704"/>
              </a:lnTo>
              <a:lnTo>
                <a:pt x="708660" y="298704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541274</xdr:colOff>
      <xdr:row>23</xdr:row>
      <xdr:rowOff>0</xdr:rowOff>
    </xdr:from>
    <xdr:ext cx="5864860" cy="619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5864860" cy="619125"/>
        </a:xfrm>
        <a:custGeom>
          <a:avLst/>
          <a:gdLst/>
          <a:ahLst/>
          <a:cxnLst/>
          <a:rect l="0" t="0" r="0" b="0"/>
          <a:pathLst>
            <a:path w="5864860" h="619125">
              <a:moveTo>
                <a:pt x="1408176" y="0"/>
              </a:moveTo>
              <a:lnTo>
                <a:pt x="0" y="0"/>
              </a:lnTo>
              <a:lnTo>
                <a:pt x="0" y="618744"/>
              </a:lnTo>
              <a:lnTo>
                <a:pt x="1408176" y="618744"/>
              </a:lnTo>
              <a:lnTo>
                <a:pt x="1408176" y="0"/>
              </a:lnTo>
              <a:close/>
            </a:path>
            <a:path w="5864860" h="619125">
              <a:moveTo>
                <a:pt x="1970532" y="414528"/>
              </a:moveTo>
              <a:lnTo>
                <a:pt x="1411224" y="414528"/>
              </a:lnTo>
              <a:lnTo>
                <a:pt x="1411224" y="618744"/>
              </a:lnTo>
              <a:lnTo>
                <a:pt x="1970532" y="618744"/>
              </a:lnTo>
              <a:lnTo>
                <a:pt x="1970532" y="414528"/>
              </a:lnTo>
              <a:close/>
            </a:path>
            <a:path w="5864860" h="619125">
              <a:moveTo>
                <a:pt x="1970532" y="207264"/>
              </a:moveTo>
              <a:lnTo>
                <a:pt x="1411224" y="207264"/>
              </a:lnTo>
              <a:lnTo>
                <a:pt x="1411224" y="411480"/>
              </a:lnTo>
              <a:lnTo>
                <a:pt x="1970532" y="411480"/>
              </a:lnTo>
              <a:lnTo>
                <a:pt x="1970532" y="207264"/>
              </a:lnTo>
              <a:close/>
            </a:path>
            <a:path w="5864860" h="619125">
              <a:moveTo>
                <a:pt x="1970532" y="0"/>
              </a:moveTo>
              <a:lnTo>
                <a:pt x="1411224" y="0"/>
              </a:lnTo>
              <a:lnTo>
                <a:pt x="1411224" y="204216"/>
              </a:lnTo>
              <a:lnTo>
                <a:pt x="1970532" y="204216"/>
              </a:lnTo>
              <a:lnTo>
                <a:pt x="1970532" y="0"/>
              </a:lnTo>
              <a:close/>
            </a:path>
            <a:path w="5864860" h="619125">
              <a:moveTo>
                <a:pt x="2682240" y="414528"/>
              </a:moveTo>
              <a:lnTo>
                <a:pt x="1973580" y="414528"/>
              </a:lnTo>
              <a:lnTo>
                <a:pt x="1973580" y="618744"/>
              </a:lnTo>
              <a:lnTo>
                <a:pt x="2682240" y="618744"/>
              </a:lnTo>
              <a:lnTo>
                <a:pt x="2682240" y="414528"/>
              </a:lnTo>
              <a:close/>
            </a:path>
            <a:path w="5864860" h="619125">
              <a:moveTo>
                <a:pt x="2682240" y="207264"/>
              </a:moveTo>
              <a:lnTo>
                <a:pt x="1973580" y="207264"/>
              </a:lnTo>
              <a:lnTo>
                <a:pt x="1973580" y="411480"/>
              </a:lnTo>
              <a:lnTo>
                <a:pt x="2682240" y="411480"/>
              </a:lnTo>
              <a:lnTo>
                <a:pt x="2682240" y="207264"/>
              </a:lnTo>
              <a:close/>
            </a:path>
            <a:path w="5864860" h="619125">
              <a:moveTo>
                <a:pt x="2682240" y="0"/>
              </a:moveTo>
              <a:lnTo>
                <a:pt x="1973580" y="0"/>
              </a:lnTo>
              <a:lnTo>
                <a:pt x="1973580" y="204216"/>
              </a:lnTo>
              <a:lnTo>
                <a:pt x="2682240" y="204216"/>
              </a:lnTo>
              <a:lnTo>
                <a:pt x="2682240" y="0"/>
              </a:lnTo>
              <a:close/>
            </a:path>
            <a:path w="5864860" h="619125">
              <a:moveTo>
                <a:pt x="3742944" y="414528"/>
              </a:moveTo>
              <a:lnTo>
                <a:pt x="2685288" y="414528"/>
              </a:lnTo>
              <a:lnTo>
                <a:pt x="2685288" y="618744"/>
              </a:lnTo>
              <a:lnTo>
                <a:pt x="3742944" y="618744"/>
              </a:lnTo>
              <a:lnTo>
                <a:pt x="3742944" y="414528"/>
              </a:lnTo>
              <a:close/>
            </a:path>
            <a:path w="5864860" h="619125">
              <a:moveTo>
                <a:pt x="3742944" y="207264"/>
              </a:moveTo>
              <a:lnTo>
                <a:pt x="2685288" y="207264"/>
              </a:lnTo>
              <a:lnTo>
                <a:pt x="2685288" y="411480"/>
              </a:lnTo>
              <a:lnTo>
                <a:pt x="3742944" y="411480"/>
              </a:lnTo>
              <a:lnTo>
                <a:pt x="3742944" y="207264"/>
              </a:lnTo>
              <a:close/>
            </a:path>
            <a:path w="5864860" h="619125">
              <a:moveTo>
                <a:pt x="3742944" y="0"/>
              </a:moveTo>
              <a:lnTo>
                <a:pt x="2685288" y="0"/>
              </a:lnTo>
              <a:lnTo>
                <a:pt x="2685288" y="204216"/>
              </a:lnTo>
              <a:lnTo>
                <a:pt x="3742944" y="204216"/>
              </a:lnTo>
              <a:lnTo>
                <a:pt x="3742944" y="0"/>
              </a:lnTo>
              <a:close/>
            </a:path>
            <a:path w="5864860" h="619125">
              <a:moveTo>
                <a:pt x="4803648" y="414528"/>
              </a:moveTo>
              <a:lnTo>
                <a:pt x="3745992" y="414528"/>
              </a:lnTo>
              <a:lnTo>
                <a:pt x="3745992" y="618744"/>
              </a:lnTo>
              <a:lnTo>
                <a:pt x="4803648" y="618744"/>
              </a:lnTo>
              <a:lnTo>
                <a:pt x="4803648" y="414528"/>
              </a:lnTo>
              <a:close/>
            </a:path>
            <a:path w="5864860" h="619125">
              <a:moveTo>
                <a:pt x="4803648" y="207264"/>
              </a:moveTo>
              <a:lnTo>
                <a:pt x="3745992" y="207264"/>
              </a:lnTo>
              <a:lnTo>
                <a:pt x="3745992" y="411480"/>
              </a:lnTo>
              <a:lnTo>
                <a:pt x="4803648" y="411480"/>
              </a:lnTo>
              <a:lnTo>
                <a:pt x="4803648" y="207264"/>
              </a:lnTo>
              <a:close/>
            </a:path>
            <a:path w="5864860" h="619125">
              <a:moveTo>
                <a:pt x="4803648" y="0"/>
              </a:moveTo>
              <a:lnTo>
                <a:pt x="3745992" y="0"/>
              </a:lnTo>
              <a:lnTo>
                <a:pt x="3745992" y="204216"/>
              </a:lnTo>
              <a:lnTo>
                <a:pt x="4803648" y="204216"/>
              </a:lnTo>
              <a:lnTo>
                <a:pt x="4803648" y="0"/>
              </a:lnTo>
              <a:close/>
            </a:path>
            <a:path w="5864860" h="619125">
              <a:moveTo>
                <a:pt x="5864352" y="414528"/>
              </a:moveTo>
              <a:lnTo>
                <a:pt x="4806696" y="414528"/>
              </a:lnTo>
              <a:lnTo>
                <a:pt x="4806696" y="618744"/>
              </a:lnTo>
              <a:lnTo>
                <a:pt x="5864352" y="618744"/>
              </a:lnTo>
              <a:lnTo>
                <a:pt x="5864352" y="414528"/>
              </a:lnTo>
              <a:close/>
            </a:path>
            <a:path w="5864860" h="619125">
              <a:moveTo>
                <a:pt x="5864352" y="207264"/>
              </a:moveTo>
              <a:lnTo>
                <a:pt x="4806696" y="207264"/>
              </a:lnTo>
              <a:lnTo>
                <a:pt x="4806696" y="411480"/>
              </a:lnTo>
              <a:lnTo>
                <a:pt x="5864352" y="411480"/>
              </a:lnTo>
              <a:lnTo>
                <a:pt x="5864352" y="207264"/>
              </a:lnTo>
              <a:close/>
            </a:path>
            <a:path w="5864860" h="619125">
              <a:moveTo>
                <a:pt x="5864352" y="0"/>
              </a:moveTo>
              <a:lnTo>
                <a:pt x="4806696" y="0"/>
              </a:lnTo>
              <a:lnTo>
                <a:pt x="4806696" y="204216"/>
              </a:lnTo>
              <a:lnTo>
                <a:pt x="5864352" y="204216"/>
              </a:lnTo>
              <a:lnTo>
                <a:pt x="58643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9</xdr:col>
      <xdr:colOff>538861</xdr:colOff>
      <xdr:row>24</xdr:row>
      <xdr:rowOff>0</xdr:rowOff>
    </xdr:from>
    <xdr:ext cx="708660" cy="6191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08660" cy="619125"/>
        </a:xfrm>
        <a:custGeom>
          <a:avLst/>
          <a:gdLst/>
          <a:ahLst/>
          <a:cxnLst/>
          <a:rect l="0" t="0" r="0" b="0"/>
          <a:pathLst>
            <a:path w="708660" h="619125">
              <a:moveTo>
                <a:pt x="708660" y="414528"/>
              </a:moveTo>
              <a:lnTo>
                <a:pt x="0" y="414528"/>
              </a:lnTo>
              <a:lnTo>
                <a:pt x="0" y="618744"/>
              </a:lnTo>
              <a:lnTo>
                <a:pt x="708660" y="618744"/>
              </a:lnTo>
              <a:lnTo>
                <a:pt x="708660" y="414528"/>
              </a:lnTo>
              <a:close/>
            </a:path>
            <a:path w="708660" h="619125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619125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24</xdr:row>
      <xdr:rowOff>206501</xdr:rowOff>
    </xdr:from>
    <xdr:ext cx="3179445" cy="37528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350520</xdr:colOff>
      <xdr:row>3</xdr:row>
      <xdr:rowOff>49142</xdr:rowOff>
    </xdr:from>
    <xdr:ext cx="381000" cy="290285"/>
    <xdr:pic>
      <xdr:nvPicPr>
        <xdr:cNvPr id="13" name="image1.jpe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14" name="image2.jpe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15" name="image3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26</xdr:row>
      <xdr:rowOff>0</xdr:rowOff>
    </xdr:from>
    <xdr:ext cx="7275830" cy="4343400"/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617854" y="6263640"/>
          <a:ext cx="7275830" cy="4343400"/>
          <a:chOff x="0" y="0"/>
          <a:chExt cx="7275830" cy="4343400"/>
        </a:xfrm>
      </xdr:grpSpPr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1411224" y="0"/>
            <a:ext cx="5864860" cy="2894330"/>
          </a:xfrm>
          <a:custGeom>
            <a:avLst/>
            <a:gdLst/>
            <a:ahLst/>
            <a:cxnLst/>
            <a:rect l="0" t="0" r="0" b="0"/>
            <a:pathLst>
              <a:path w="5864860" h="2894330">
                <a:moveTo>
                  <a:pt x="1408176" y="1449324"/>
                </a:moveTo>
                <a:lnTo>
                  <a:pt x="0" y="1449324"/>
                </a:lnTo>
                <a:lnTo>
                  <a:pt x="0" y="2066544"/>
                </a:lnTo>
                <a:lnTo>
                  <a:pt x="1408176" y="2066544"/>
                </a:lnTo>
                <a:lnTo>
                  <a:pt x="1408176" y="1449324"/>
                </a:lnTo>
                <a:close/>
              </a:path>
              <a:path w="5864860" h="2894330">
                <a:moveTo>
                  <a:pt x="1408176" y="0"/>
                </a:moveTo>
                <a:lnTo>
                  <a:pt x="0" y="0"/>
                </a:lnTo>
                <a:lnTo>
                  <a:pt x="0" y="1446276"/>
                </a:lnTo>
                <a:lnTo>
                  <a:pt x="1408176" y="1446276"/>
                </a:lnTo>
                <a:lnTo>
                  <a:pt x="1408176" y="0"/>
                </a:lnTo>
                <a:close/>
              </a:path>
              <a:path w="5864860" h="2894330">
                <a:moveTo>
                  <a:pt x="1970532" y="2689860"/>
                </a:moveTo>
                <a:lnTo>
                  <a:pt x="1411224" y="2689860"/>
                </a:lnTo>
                <a:lnTo>
                  <a:pt x="1411224" y="2894076"/>
                </a:lnTo>
                <a:lnTo>
                  <a:pt x="1970532" y="2894076"/>
                </a:lnTo>
                <a:lnTo>
                  <a:pt x="1970532" y="2689860"/>
                </a:lnTo>
                <a:close/>
              </a:path>
              <a:path w="5864860" h="2894330">
                <a:moveTo>
                  <a:pt x="1970532" y="2484120"/>
                </a:moveTo>
                <a:lnTo>
                  <a:pt x="1411224" y="2484120"/>
                </a:lnTo>
                <a:lnTo>
                  <a:pt x="1411224" y="2686812"/>
                </a:lnTo>
                <a:lnTo>
                  <a:pt x="1970532" y="2686812"/>
                </a:lnTo>
                <a:lnTo>
                  <a:pt x="1970532" y="2484120"/>
                </a:lnTo>
                <a:close/>
              </a:path>
              <a:path w="5864860" h="2894330">
                <a:moveTo>
                  <a:pt x="1970532" y="2276856"/>
                </a:moveTo>
                <a:lnTo>
                  <a:pt x="1411224" y="2276856"/>
                </a:lnTo>
                <a:lnTo>
                  <a:pt x="1411224" y="2481072"/>
                </a:lnTo>
                <a:lnTo>
                  <a:pt x="1970532" y="2481072"/>
                </a:lnTo>
                <a:lnTo>
                  <a:pt x="1970532" y="2276856"/>
                </a:lnTo>
                <a:close/>
              </a:path>
              <a:path w="5864860" h="2894330">
                <a:moveTo>
                  <a:pt x="1970532" y="2069592"/>
                </a:moveTo>
                <a:lnTo>
                  <a:pt x="1411224" y="2069592"/>
                </a:lnTo>
                <a:lnTo>
                  <a:pt x="1411224" y="2273808"/>
                </a:lnTo>
                <a:lnTo>
                  <a:pt x="1970532" y="2273808"/>
                </a:lnTo>
                <a:lnTo>
                  <a:pt x="1970532" y="2069592"/>
                </a:lnTo>
                <a:close/>
              </a:path>
              <a:path w="5864860" h="2894330">
                <a:moveTo>
                  <a:pt x="1970532" y="1862328"/>
                </a:moveTo>
                <a:lnTo>
                  <a:pt x="1411224" y="1862328"/>
                </a:lnTo>
                <a:lnTo>
                  <a:pt x="1411224" y="2066544"/>
                </a:lnTo>
                <a:lnTo>
                  <a:pt x="1970532" y="2066544"/>
                </a:lnTo>
                <a:lnTo>
                  <a:pt x="1970532" y="1862328"/>
                </a:lnTo>
                <a:close/>
              </a:path>
              <a:path w="5864860" h="2894330">
                <a:moveTo>
                  <a:pt x="1970532" y="1656588"/>
                </a:moveTo>
                <a:lnTo>
                  <a:pt x="1411224" y="1656588"/>
                </a:lnTo>
                <a:lnTo>
                  <a:pt x="1411224" y="1859280"/>
                </a:lnTo>
                <a:lnTo>
                  <a:pt x="1970532" y="1859280"/>
                </a:lnTo>
                <a:lnTo>
                  <a:pt x="1970532" y="1656588"/>
                </a:lnTo>
                <a:close/>
              </a:path>
              <a:path w="5864860" h="2894330">
                <a:moveTo>
                  <a:pt x="1970532" y="1449324"/>
                </a:moveTo>
                <a:lnTo>
                  <a:pt x="1411224" y="1449324"/>
                </a:lnTo>
                <a:lnTo>
                  <a:pt x="1411224" y="1653540"/>
                </a:lnTo>
                <a:lnTo>
                  <a:pt x="1970532" y="1653540"/>
                </a:lnTo>
                <a:lnTo>
                  <a:pt x="1970532" y="1449324"/>
                </a:lnTo>
                <a:close/>
              </a:path>
              <a:path w="5864860" h="2894330">
                <a:moveTo>
                  <a:pt x="1970532" y="1242060"/>
                </a:moveTo>
                <a:lnTo>
                  <a:pt x="1411224" y="1242060"/>
                </a:lnTo>
                <a:lnTo>
                  <a:pt x="1411224" y="1446276"/>
                </a:lnTo>
                <a:lnTo>
                  <a:pt x="1970532" y="1446276"/>
                </a:lnTo>
                <a:lnTo>
                  <a:pt x="1970532" y="1242060"/>
                </a:lnTo>
                <a:close/>
              </a:path>
              <a:path w="5864860" h="2894330">
                <a:moveTo>
                  <a:pt x="1970532" y="1034796"/>
                </a:moveTo>
                <a:lnTo>
                  <a:pt x="1411224" y="1034796"/>
                </a:lnTo>
                <a:lnTo>
                  <a:pt x="1411224" y="1239012"/>
                </a:lnTo>
                <a:lnTo>
                  <a:pt x="1970532" y="1239012"/>
                </a:lnTo>
                <a:lnTo>
                  <a:pt x="1970532" y="1034796"/>
                </a:lnTo>
                <a:close/>
              </a:path>
              <a:path w="5864860" h="2894330">
                <a:moveTo>
                  <a:pt x="1970532" y="827532"/>
                </a:moveTo>
                <a:lnTo>
                  <a:pt x="1411224" y="827532"/>
                </a:lnTo>
                <a:lnTo>
                  <a:pt x="1411224" y="1031748"/>
                </a:lnTo>
                <a:lnTo>
                  <a:pt x="1970532" y="1031748"/>
                </a:lnTo>
                <a:lnTo>
                  <a:pt x="1970532" y="827532"/>
                </a:lnTo>
                <a:close/>
              </a:path>
              <a:path w="5864860" h="2894330">
                <a:moveTo>
                  <a:pt x="1970532" y="620268"/>
                </a:moveTo>
                <a:lnTo>
                  <a:pt x="1411224" y="620268"/>
                </a:lnTo>
                <a:lnTo>
                  <a:pt x="1411224" y="824484"/>
                </a:lnTo>
                <a:lnTo>
                  <a:pt x="1970532" y="824484"/>
                </a:lnTo>
                <a:lnTo>
                  <a:pt x="1970532" y="620268"/>
                </a:lnTo>
                <a:close/>
              </a:path>
              <a:path w="5864860" h="2894330">
                <a:moveTo>
                  <a:pt x="1970532" y="414528"/>
                </a:moveTo>
                <a:lnTo>
                  <a:pt x="1411224" y="414528"/>
                </a:lnTo>
                <a:lnTo>
                  <a:pt x="1411224" y="617220"/>
                </a:lnTo>
                <a:lnTo>
                  <a:pt x="1970532" y="617220"/>
                </a:lnTo>
                <a:lnTo>
                  <a:pt x="1970532" y="414528"/>
                </a:lnTo>
                <a:close/>
              </a:path>
              <a:path w="5864860" h="2894330">
                <a:moveTo>
                  <a:pt x="1970532" y="207264"/>
                </a:moveTo>
                <a:lnTo>
                  <a:pt x="1411224" y="207264"/>
                </a:lnTo>
                <a:lnTo>
                  <a:pt x="1411224" y="411480"/>
                </a:lnTo>
                <a:lnTo>
                  <a:pt x="1970532" y="411480"/>
                </a:lnTo>
                <a:lnTo>
                  <a:pt x="1970532" y="207264"/>
                </a:lnTo>
                <a:close/>
              </a:path>
              <a:path w="5864860" h="2894330">
                <a:moveTo>
                  <a:pt x="1970532" y="0"/>
                </a:moveTo>
                <a:lnTo>
                  <a:pt x="1411224" y="0"/>
                </a:lnTo>
                <a:lnTo>
                  <a:pt x="1411224" y="204216"/>
                </a:lnTo>
                <a:lnTo>
                  <a:pt x="1970532" y="204216"/>
                </a:lnTo>
                <a:lnTo>
                  <a:pt x="1970532" y="0"/>
                </a:lnTo>
                <a:close/>
              </a:path>
              <a:path w="5864860" h="2894330">
                <a:moveTo>
                  <a:pt x="2682240" y="2689860"/>
                </a:moveTo>
                <a:lnTo>
                  <a:pt x="1973580" y="2689860"/>
                </a:lnTo>
                <a:lnTo>
                  <a:pt x="1973580" y="2894076"/>
                </a:lnTo>
                <a:lnTo>
                  <a:pt x="2682240" y="2894076"/>
                </a:lnTo>
                <a:lnTo>
                  <a:pt x="2682240" y="2689860"/>
                </a:lnTo>
                <a:close/>
              </a:path>
              <a:path w="5864860" h="2894330">
                <a:moveTo>
                  <a:pt x="2682240" y="2484120"/>
                </a:moveTo>
                <a:lnTo>
                  <a:pt x="1973580" y="2484120"/>
                </a:lnTo>
                <a:lnTo>
                  <a:pt x="1973580" y="2686812"/>
                </a:lnTo>
                <a:lnTo>
                  <a:pt x="2682240" y="2686812"/>
                </a:lnTo>
                <a:lnTo>
                  <a:pt x="2682240" y="2484120"/>
                </a:lnTo>
                <a:close/>
              </a:path>
              <a:path w="5864860" h="2894330">
                <a:moveTo>
                  <a:pt x="2682240" y="2276856"/>
                </a:moveTo>
                <a:lnTo>
                  <a:pt x="1973580" y="2276856"/>
                </a:lnTo>
                <a:lnTo>
                  <a:pt x="1973580" y="2481072"/>
                </a:lnTo>
                <a:lnTo>
                  <a:pt x="2682240" y="2481072"/>
                </a:lnTo>
                <a:lnTo>
                  <a:pt x="2682240" y="2276856"/>
                </a:lnTo>
                <a:close/>
              </a:path>
              <a:path w="5864860" h="2894330">
                <a:moveTo>
                  <a:pt x="2682240" y="2069592"/>
                </a:moveTo>
                <a:lnTo>
                  <a:pt x="1973580" y="2069592"/>
                </a:lnTo>
                <a:lnTo>
                  <a:pt x="1973580" y="2273808"/>
                </a:lnTo>
                <a:lnTo>
                  <a:pt x="2682240" y="2273808"/>
                </a:lnTo>
                <a:lnTo>
                  <a:pt x="2682240" y="2069592"/>
                </a:lnTo>
                <a:close/>
              </a:path>
              <a:path w="5864860" h="2894330">
                <a:moveTo>
                  <a:pt x="2682240" y="1862328"/>
                </a:moveTo>
                <a:lnTo>
                  <a:pt x="1973580" y="1862328"/>
                </a:lnTo>
                <a:lnTo>
                  <a:pt x="1973580" y="2066544"/>
                </a:lnTo>
                <a:lnTo>
                  <a:pt x="2682240" y="2066544"/>
                </a:lnTo>
                <a:lnTo>
                  <a:pt x="2682240" y="1862328"/>
                </a:lnTo>
                <a:close/>
              </a:path>
              <a:path w="5864860" h="2894330">
                <a:moveTo>
                  <a:pt x="2682240" y="1656588"/>
                </a:moveTo>
                <a:lnTo>
                  <a:pt x="1973580" y="1656588"/>
                </a:lnTo>
                <a:lnTo>
                  <a:pt x="1973580" y="1859280"/>
                </a:lnTo>
                <a:lnTo>
                  <a:pt x="2682240" y="1859280"/>
                </a:lnTo>
                <a:lnTo>
                  <a:pt x="2682240" y="1656588"/>
                </a:lnTo>
                <a:close/>
              </a:path>
              <a:path w="5864860" h="2894330">
                <a:moveTo>
                  <a:pt x="2682240" y="1449324"/>
                </a:moveTo>
                <a:lnTo>
                  <a:pt x="1973580" y="1449324"/>
                </a:lnTo>
                <a:lnTo>
                  <a:pt x="1973580" y="1653540"/>
                </a:lnTo>
                <a:lnTo>
                  <a:pt x="2682240" y="1653540"/>
                </a:lnTo>
                <a:lnTo>
                  <a:pt x="2682240" y="1449324"/>
                </a:lnTo>
                <a:close/>
              </a:path>
              <a:path w="5864860" h="2894330">
                <a:moveTo>
                  <a:pt x="2682240" y="1242060"/>
                </a:moveTo>
                <a:lnTo>
                  <a:pt x="1973580" y="1242060"/>
                </a:lnTo>
                <a:lnTo>
                  <a:pt x="1973580" y="1446276"/>
                </a:lnTo>
                <a:lnTo>
                  <a:pt x="2682240" y="1446276"/>
                </a:lnTo>
                <a:lnTo>
                  <a:pt x="2682240" y="1242060"/>
                </a:lnTo>
                <a:close/>
              </a:path>
              <a:path w="5864860" h="2894330">
                <a:moveTo>
                  <a:pt x="2682240" y="1034796"/>
                </a:moveTo>
                <a:lnTo>
                  <a:pt x="1973580" y="1034796"/>
                </a:lnTo>
                <a:lnTo>
                  <a:pt x="1973580" y="1239012"/>
                </a:lnTo>
                <a:lnTo>
                  <a:pt x="2682240" y="1239012"/>
                </a:lnTo>
                <a:lnTo>
                  <a:pt x="2682240" y="1034796"/>
                </a:lnTo>
                <a:close/>
              </a:path>
              <a:path w="5864860" h="2894330">
                <a:moveTo>
                  <a:pt x="2682240" y="827532"/>
                </a:moveTo>
                <a:lnTo>
                  <a:pt x="1973580" y="827532"/>
                </a:lnTo>
                <a:lnTo>
                  <a:pt x="1973580" y="1031748"/>
                </a:lnTo>
                <a:lnTo>
                  <a:pt x="2682240" y="1031748"/>
                </a:lnTo>
                <a:lnTo>
                  <a:pt x="2682240" y="827532"/>
                </a:lnTo>
                <a:close/>
              </a:path>
              <a:path w="5864860" h="2894330">
                <a:moveTo>
                  <a:pt x="2682240" y="620268"/>
                </a:moveTo>
                <a:lnTo>
                  <a:pt x="1973580" y="620268"/>
                </a:lnTo>
                <a:lnTo>
                  <a:pt x="1973580" y="824484"/>
                </a:lnTo>
                <a:lnTo>
                  <a:pt x="2682240" y="824484"/>
                </a:lnTo>
                <a:lnTo>
                  <a:pt x="2682240" y="620268"/>
                </a:lnTo>
                <a:close/>
              </a:path>
              <a:path w="5864860" h="2894330">
                <a:moveTo>
                  <a:pt x="2682240" y="414528"/>
                </a:moveTo>
                <a:lnTo>
                  <a:pt x="1973580" y="414528"/>
                </a:lnTo>
                <a:lnTo>
                  <a:pt x="1973580" y="617220"/>
                </a:lnTo>
                <a:lnTo>
                  <a:pt x="2682240" y="617220"/>
                </a:lnTo>
                <a:lnTo>
                  <a:pt x="2682240" y="414528"/>
                </a:lnTo>
                <a:close/>
              </a:path>
              <a:path w="5864860" h="2894330">
                <a:moveTo>
                  <a:pt x="2682240" y="207264"/>
                </a:moveTo>
                <a:lnTo>
                  <a:pt x="1973580" y="207264"/>
                </a:lnTo>
                <a:lnTo>
                  <a:pt x="1973580" y="411480"/>
                </a:lnTo>
                <a:lnTo>
                  <a:pt x="2682240" y="411480"/>
                </a:lnTo>
                <a:lnTo>
                  <a:pt x="2682240" y="207264"/>
                </a:lnTo>
                <a:close/>
              </a:path>
              <a:path w="5864860" h="2894330">
                <a:moveTo>
                  <a:pt x="2682240" y="0"/>
                </a:moveTo>
                <a:lnTo>
                  <a:pt x="1973580" y="0"/>
                </a:lnTo>
                <a:lnTo>
                  <a:pt x="1973580" y="204216"/>
                </a:lnTo>
                <a:lnTo>
                  <a:pt x="2682240" y="204216"/>
                </a:lnTo>
                <a:lnTo>
                  <a:pt x="2682240" y="0"/>
                </a:lnTo>
                <a:close/>
              </a:path>
              <a:path w="5864860" h="2894330">
                <a:moveTo>
                  <a:pt x="3742944" y="2689860"/>
                </a:moveTo>
                <a:lnTo>
                  <a:pt x="2685288" y="2689860"/>
                </a:lnTo>
                <a:lnTo>
                  <a:pt x="2685288" y="2894076"/>
                </a:lnTo>
                <a:lnTo>
                  <a:pt x="3742944" y="2894076"/>
                </a:lnTo>
                <a:lnTo>
                  <a:pt x="3742944" y="2689860"/>
                </a:lnTo>
                <a:close/>
              </a:path>
              <a:path w="5864860" h="2894330">
                <a:moveTo>
                  <a:pt x="3742944" y="2484120"/>
                </a:moveTo>
                <a:lnTo>
                  <a:pt x="2685288" y="2484120"/>
                </a:lnTo>
                <a:lnTo>
                  <a:pt x="2685288" y="2686812"/>
                </a:lnTo>
                <a:lnTo>
                  <a:pt x="3742944" y="2686812"/>
                </a:lnTo>
                <a:lnTo>
                  <a:pt x="3742944" y="2484120"/>
                </a:lnTo>
                <a:close/>
              </a:path>
              <a:path w="5864860" h="2894330">
                <a:moveTo>
                  <a:pt x="3742944" y="2276856"/>
                </a:moveTo>
                <a:lnTo>
                  <a:pt x="2685288" y="2276856"/>
                </a:lnTo>
                <a:lnTo>
                  <a:pt x="2685288" y="2481072"/>
                </a:lnTo>
                <a:lnTo>
                  <a:pt x="3742944" y="2481072"/>
                </a:lnTo>
                <a:lnTo>
                  <a:pt x="3742944" y="2276856"/>
                </a:lnTo>
                <a:close/>
              </a:path>
              <a:path w="5864860" h="2894330">
                <a:moveTo>
                  <a:pt x="3742944" y="2069592"/>
                </a:moveTo>
                <a:lnTo>
                  <a:pt x="2685288" y="2069592"/>
                </a:lnTo>
                <a:lnTo>
                  <a:pt x="2685288" y="2273808"/>
                </a:lnTo>
                <a:lnTo>
                  <a:pt x="3742944" y="2273808"/>
                </a:lnTo>
                <a:lnTo>
                  <a:pt x="3742944" y="2069592"/>
                </a:lnTo>
                <a:close/>
              </a:path>
              <a:path w="5864860" h="2894330">
                <a:moveTo>
                  <a:pt x="3742944" y="1862328"/>
                </a:moveTo>
                <a:lnTo>
                  <a:pt x="2685288" y="1862328"/>
                </a:lnTo>
                <a:lnTo>
                  <a:pt x="2685288" y="2066544"/>
                </a:lnTo>
                <a:lnTo>
                  <a:pt x="3742944" y="2066544"/>
                </a:lnTo>
                <a:lnTo>
                  <a:pt x="3742944" y="1862328"/>
                </a:lnTo>
                <a:close/>
              </a:path>
              <a:path w="5864860" h="2894330">
                <a:moveTo>
                  <a:pt x="3742944" y="1656588"/>
                </a:moveTo>
                <a:lnTo>
                  <a:pt x="2685288" y="1656588"/>
                </a:lnTo>
                <a:lnTo>
                  <a:pt x="2685288" y="1859280"/>
                </a:lnTo>
                <a:lnTo>
                  <a:pt x="3742944" y="1859280"/>
                </a:lnTo>
                <a:lnTo>
                  <a:pt x="3742944" y="1656588"/>
                </a:lnTo>
                <a:close/>
              </a:path>
              <a:path w="5864860" h="2894330">
                <a:moveTo>
                  <a:pt x="3742944" y="1449324"/>
                </a:moveTo>
                <a:lnTo>
                  <a:pt x="2685288" y="1449324"/>
                </a:lnTo>
                <a:lnTo>
                  <a:pt x="2685288" y="1653540"/>
                </a:lnTo>
                <a:lnTo>
                  <a:pt x="3742944" y="1653540"/>
                </a:lnTo>
                <a:lnTo>
                  <a:pt x="3742944" y="1449324"/>
                </a:lnTo>
                <a:close/>
              </a:path>
              <a:path w="5864860" h="2894330">
                <a:moveTo>
                  <a:pt x="3742944" y="1242060"/>
                </a:moveTo>
                <a:lnTo>
                  <a:pt x="2685288" y="1242060"/>
                </a:lnTo>
                <a:lnTo>
                  <a:pt x="2685288" y="1446276"/>
                </a:lnTo>
                <a:lnTo>
                  <a:pt x="3742944" y="1446276"/>
                </a:lnTo>
                <a:lnTo>
                  <a:pt x="3742944" y="1242060"/>
                </a:lnTo>
                <a:close/>
              </a:path>
              <a:path w="5864860" h="2894330">
                <a:moveTo>
                  <a:pt x="3742944" y="1034796"/>
                </a:moveTo>
                <a:lnTo>
                  <a:pt x="2685288" y="1034796"/>
                </a:lnTo>
                <a:lnTo>
                  <a:pt x="2685288" y="1239012"/>
                </a:lnTo>
                <a:lnTo>
                  <a:pt x="3742944" y="1239012"/>
                </a:lnTo>
                <a:lnTo>
                  <a:pt x="3742944" y="1034796"/>
                </a:lnTo>
                <a:close/>
              </a:path>
              <a:path w="5864860" h="2894330">
                <a:moveTo>
                  <a:pt x="3742944" y="827532"/>
                </a:moveTo>
                <a:lnTo>
                  <a:pt x="2685288" y="827532"/>
                </a:lnTo>
                <a:lnTo>
                  <a:pt x="2685288" y="1031748"/>
                </a:lnTo>
                <a:lnTo>
                  <a:pt x="3742944" y="1031748"/>
                </a:lnTo>
                <a:lnTo>
                  <a:pt x="3742944" y="827532"/>
                </a:lnTo>
                <a:close/>
              </a:path>
              <a:path w="5864860" h="2894330">
                <a:moveTo>
                  <a:pt x="3742944" y="620268"/>
                </a:moveTo>
                <a:lnTo>
                  <a:pt x="2685288" y="620268"/>
                </a:lnTo>
                <a:lnTo>
                  <a:pt x="2685288" y="824484"/>
                </a:lnTo>
                <a:lnTo>
                  <a:pt x="3742944" y="824484"/>
                </a:lnTo>
                <a:lnTo>
                  <a:pt x="3742944" y="620268"/>
                </a:lnTo>
                <a:close/>
              </a:path>
              <a:path w="5864860" h="2894330">
                <a:moveTo>
                  <a:pt x="3742944" y="414528"/>
                </a:moveTo>
                <a:lnTo>
                  <a:pt x="2685288" y="414528"/>
                </a:lnTo>
                <a:lnTo>
                  <a:pt x="2685288" y="617220"/>
                </a:lnTo>
                <a:lnTo>
                  <a:pt x="3742944" y="617220"/>
                </a:lnTo>
                <a:lnTo>
                  <a:pt x="3742944" y="414528"/>
                </a:lnTo>
                <a:close/>
              </a:path>
              <a:path w="5864860" h="2894330">
                <a:moveTo>
                  <a:pt x="3742944" y="207264"/>
                </a:moveTo>
                <a:lnTo>
                  <a:pt x="2685288" y="207264"/>
                </a:lnTo>
                <a:lnTo>
                  <a:pt x="2685288" y="411480"/>
                </a:lnTo>
                <a:lnTo>
                  <a:pt x="3742944" y="411480"/>
                </a:lnTo>
                <a:lnTo>
                  <a:pt x="3742944" y="207264"/>
                </a:lnTo>
                <a:close/>
              </a:path>
              <a:path w="5864860" h="2894330">
                <a:moveTo>
                  <a:pt x="3742944" y="0"/>
                </a:moveTo>
                <a:lnTo>
                  <a:pt x="2685288" y="0"/>
                </a:lnTo>
                <a:lnTo>
                  <a:pt x="2685288" y="204216"/>
                </a:lnTo>
                <a:lnTo>
                  <a:pt x="3742944" y="204216"/>
                </a:lnTo>
                <a:lnTo>
                  <a:pt x="3742944" y="0"/>
                </a:lnTo>
                <a:close/>
              </a:path>
              <a:path w="5864860" h="2894330">
                <a:moveTo>
                  <a:pt x="4803648" y="2689860"/>
                </a:moveTo>
                <a:lnTo>
                  <a:pt x="3745992" y="2689860"/>
                </a:lnTo>
                <a:lnTo>
                  <a:pt x="3745992" y="2894076"/>
                </a:lnTo>
                <a:lnTo>
                  <a:pt x="4803648" y="2894076"/>
                </a:lnTo>
                <a:lnTo>
                  <a:pt x="4803648" y="2689860"/>
                </a:lnTo>
                <a:close/>
              </a:path>
              <a:path w="5864860" h="2894330">
                <a:moveTo>
                  <a:pt x="4803648" y="2484120"/>
                </a:moveTo>
                <a:lnTo>
                  <a:pt x="3745992" y="2484120"/>
                </a:lnTo>
                <a:lnTo>
                  <a:pt x="3745992" y="2686812"/>
                </a:lnTo>
                <a:lnTo>
                  <a:pt x="4803648" y="2686812"/>
                </a:lnTo>
                <a:lnTo>
                  <a:pt x="4803648" y="2484120"/>
                </a:lnTo>
                <a:close/>
              </a:path>
              <a:path w="5864860" h="2894330">
                <a:moveTo>
                  <a:pt x="4803648" y="2276856"/>
                </a:moveTo>
                <a:lnTo>
                  <a:pt x="3745992" y="2276856"/>
                </a:lnTo>
                <a:lnTo>
                  <a:pt x="3745992" y="2481072"/>
                </a:lnTo>
                <a:lnTo>
                  <a:pt x="4803648" y="2481072"/>
                </a:lnTo>
                <a:lnTo>
                  <a:pt x="4803648" y="2276856"/>
                </a:lnTo>
                <a:close/>
              </a:path>
              <a:path w="5864860" h="2894330">
                <a:moveTo>
                  <a:pt x="4803648" y="2069592"/>
                </a:moveTo>
                <a:lnTo>
                  <a:pt x="3745992" y="2069592"/>
                </a:lnTo>
                <a:lnTo>
                  <a:pt x="3745992" y="2273808"/>
                </a:lnTo>
                <a:lnTo>
                  <a:pt x="4803648" y="2273808"/>
                </a:lnTo>
                <a:lnTo>
                  <a:pt x="4803648" y="2069592"/>
                </a:lnTo>
                <a:close/>
              </a:path>
              <a:path w="5864860" h="2894330">
                <a:moveTo>
                  <a:pt x="4803648" y="1862328"/>
                </a:moveTo>
                <a:lnTo>
                  <a:pt x="3745992" y="1862328"/>
                </a:lnTo>
                <a:lnTo>
                  <a:pt x="3745992" y="2066544"/>
                </a:lnTo>
                <a:lnTo>
                  <a:pt x="4803648" y="2066544"/>
                </a:lnTo>
                <a:lnTo>
                  <a:pt x="4803648" y="1862328"/>
                </a:lnTo>
                <a:close/>
              </a:path>
              <a:path w="5864860" h="2894330">
                <a:moveTo>
                  <a:pt x="4803648" y="1656588"/>
                </a:moveTo>
                <a:lnTo>
                  <a:pt x="3745992" y="1656588"/>
                </a:lnTo>
                <a:lnTo>
                  <a:pt x="3745992" y="1859280"/>
                </a:lnTo>
                <a:lnTo>
                  <a:pt x="4803648" y="1859280"/>
                </a:lnTo>
                <a:lnTo>
                  <a:pt x="4803648" y="1656588"/>
                </a:lnTo>
                <a:close/>
              </a:path>
              <a:path w="5864860" h="2894330">
                <a:moveTo>
                  <a:pt x="4803648" y="1449324"/>
                </a:moveTo>
                <a:lnTo>
                  <a:pt x="3745992" y="1449324"/>
                </a:lnTo>
                <a:lnTo>
                  <a:pt x="3745992" y="1653540"/>
                </a:lnTo>
                <a:lnTo>
                  <a:pt x="4803648" y="1653540"/>
                </a:lnTo>
                <a:lnTo>
                  <a:pt x="4803648" y="1449324"/>
                </a:lnTo>
                <a:close/>
              </a:path>
              <a:path w="5864860" h="2894330">
                <a:moveTo>
                  <a:pt x="4803648" y="1242060"/>
                </a:moveTo>
                <a:lnTo>
                  <a:pt x="3745992" y="1242060"/>
                </a:lnTo>
                <a:lnTo>
                  <a:pt x="3745992" y="1446276"/>
                </a:lnTo>
                <a:lnTo>
                  <a:pt x="4803648" y="1446276"/>
                </a:lnTo>
                <a:lnTo>
                  <a:pt x="4803648" y="1242060"/>
                </a:lnTo>
                <a:close/>
              </a:path>
              <a:path w="5864860" h="2894330">
                <a:moveTo>
                  <a:pt x="4803648" y="1034796"/>
                </a:moveTo>
                <a:lnTo>
                  <a:pt x="3745992" y="1034796"/>
                </a:lnTo>
                <a:lnTo>
                  <a:pt x="3745992" y="1239012"/>
                </a:lnTo>
                <a:lnTo>
                  <a:pt x="4803648" y="1239012"/>
                </a:lnTo>
                <a:lnTo>
                  <a:pt x="4803648" y="1034796"/>
                </a:lnTo>
                <a:close/>
              </a:path>
              <a:path w="5864860" h="2894330">
                <a:moveTo>
                  <a:pt x="4803648" y="827532"/>
                </a:moveTo>
                <a:lnTo>
                  <a:pt x="3745992" y="827532"/>
                </a:lnTo>
                <a:lnTo>
                  <a:pt x="3745992" y="1031748"/>
                </a:lnTo>
                <a:lnTo>
                  <a:pt x="4803648" y="1031748"/>
                </a:lnTo>
                <a:lnTo>
                  <a:pt x="4803648" y="827532"/>
                </a:lnTo>
                <a:close/>
              </a:path>
              <a:path w="5864860" h="2894330">
                <a:moveTo>
                  <a:pt x="4803648" y="620268"/>
                </a:moveTo>
                <a:lnTo>
                  <a:pt x="3745992" y="620268"/>
                </a:lnTo>
                <a:lnTo>
                  <a:pt x="3745992" y="824484"/>
                </a:lnTo>
                <a:lnTo>
                  <a:pt x="4803648" y="824484"/>
                </a:lnTo>
                <a:lnTo>
                  <a:pt x="4803648" y="620268"/>
                </a:lnTo>
                <a:close/>
              </a:path>
              <a:path w="5864860" h="2894330">
                <a:moveTo>
                  <a:pt x="4803648" y="414528"/>
                </a:moveTo>
                <a:lnTo>
                  <a:pt x="3745992" y="414528"/>
                </a:lnTo>
                <a:lnTo>
                  <a:pt x="3745992" y="617220"/>
                </a:lnTo>
                <a:lnTo>
                  <a:pt x="4803648" y="617220"/>
                </a:lnTo>
                <a:lnTo>
                  <a:pt x="4803648" y="414528"/>
                </a:lnTo>
                <a:close/>
              </a:path>
              <a:path w="5864860" h="2894330">
                <a:moveTo>
                  <a:pt x="4803648" y="207264"/>
                </a:moveTo>
                <a:lnTo>
                  <a:pt x="3745992" y="207264"/>
                </a:lnTo>
                <a:lnTo>
                  <a:pt x="3745992" y="411480"/>
                </a:lnTo>
                <a:lnTo>
                  <a:pt x="4803648" y="411480"/>
                </a:lnTo>
                <a:lnTo>
                  <a:pt x="4803648" y="207264"/>
                </a:lnTo>
                <a:close/>
              </a:path>
              <a:path w="5864860" h="2894330">
                <a:moveTo>
                  <a:pt x="4803648" y="0"/>
                </a:moveTo>
                <a:lnTo>
                  <a:pt x="3745992" y="0"/>
                </a:lnTo>
                <a:lnTo>
                  <a:pt x="3745992" y="204216"/>
                </a:lnTo>
                <a:lnTo>
                  <a:pt x="4803648" y="204216"/>
                </a:lnTo>
                <a:lnTo>
                  <a:pt x="4803648" y="0"/>
                </a:lnTo>
                <a:close/>
              </a:path>
              <a:path w="5864860" h="2894330">
                <a:moveTo>
                  <a:pt x="5864352" y="2484120"/>
                </a:moveTo>
                <a:lnTo>
                  <a:pt x="4806696" y="2484120"/>
                </a:lnTo>
                <a:lnTo>
                  <a:pt x="4806696" y="2686812"/>
                </a:lnTo>
                <a:lnTo>
                  <a:pt x="5864352" y="2686812"/>
                </a:lnTo>
                <a:lnTo>
                  <a:pt x="5864352" y="2484120"/>
                </a:lnTo>
                <a:close/>
              </a:path>
              <a:path w="5864860" h="2894330">
                <a:moveTo>
                  <a:pt x="5864352" y="2276856"/>
                </a:moveTo>
                <a:lnTo>
                  <a:pt x="4806696" y="2276856"/>
                </a:lnTo>
                <a:lnTo>
                  <a:pt x="4806696" y="2481072"/>
                </a:lnTo>
                <a:lnTo>
                  <a:pt x="5864352" y="2481072"/>
                </a:lnTo>
                <a:lnTo>
                  <a:pt x="5864352" y="2276856"/>
                </a:lnTo>
                <a:close/>
              </a:path>
              <a:path w="5864860" h="2894330">
                <a:moveTo>
                  <a:pt x="5864352" y="2069592"/>
                </a:moveTo>
                <a:lnTo>
                  <a:pt x="4806696" y="2069592"/>
                </a:lnTo>
                <a:lnTo>
                  <a:pt x="4806696" y="2273808"/>
                </a:lnTo>
                <a:lnTo>
                  <a:pt x="5864352" y="2273808"/>
                </a:lnTo>
                <a:lnTo>
                  <a:pt x="5864352" y="2069592"/>
                </a:lnTo>
                <a:close/>
              </a:path>
              <a:path w="5864860" h="2894330">
                <a:moveTo>
                  <a:pt x="5864352" y="1862328"/>
                </a:moveTo>
                <a:lnTo>
                  <a:pt x="4806696" y="1862328"/>
                </a:lnTo>
                <a:lnTo>
                  <a:pt x="4806696" y="2066544"/>
                </a:lnTo>
                <a:lnTo>
                  <a:pt x="5864352" y="2066544"/>
                </a:lnTo>
                <a:lnTo>
                  <a:pt x="5864352" y="1862328"/>
                </a:lnTo>
                <a:close/>
              </a:path>
              <a:path w="5864860" h="2894330">
                <a:moveTo>
                  <a:pt x="5864352" y="1656588"/>
                </a:moveTo>
                <a:lnTo>
                  <a:pt x="4806696" y="1656588"/>
                </a:lnTo>
                <a:lnTo>
                  <a:pt x="4806696" y="1859280"/>
                </a:lnTo>
                <a:lnTo>
                  <a:pt x="5864352" y="1859280"/>
                </a:lnTo>
                <a:lnTo>
                  <a:pt x="5864352" y="1656588"/>
                </a:lnTo>
                <a:close/>
              </a:path>
              <a:path w="5864860" h="2894330">
                <a:moveTo>
                  <a:pt x="5864352" y="1449324"/>
                </a:moveTo>
                <a:lnTo>
                  <a:pt x="4806696" y="1449324"/>
                </a:lnTo>
                <a:lnTo>
                  <a:pt x="4806696" y="1653540"/>
                </a:lnTo>
                <a:lnTo>
                  <a:pt x="5864352" y="1653540"/>
                </a:lnTo>
                <a:lnTo>
                  <a:pt x="5864352" y="1449324"/>
                </a:lnTo>
                <a:close/>
              </a:path>
              <a:path w="5864860" h="2894330">
                <a:moveTo>
                  <a:pt x="5864352" y="1242060"/>
                </a:moveTo>
                <a:lnTo>
                  <a:pt x="4806696" y="1242060"/>
                </a:lnTo>
                <a:lnTo>
                  <a:pt x="4806696" y="1446276"/>
                </a:lnTo>
                <a:lnTo>
                  <a:pt x="5864352" y="1446276"/>
                </a:lnTo>
                <a:lnTo>
                  <a:pt x="5864352" y="1242060"/>
                </a:lnTo>
                <a:close/>
              </a:path>
              <a:path w="5864860" h="2894330">
                <a:moveTo>
                  <a:pt x="5864352" y="1034796"/>
                </a:moveTo>
                <a:lnTo>
                  <a:pt x="4806696" y="1034796"/>
                </a:lnTo>
                <a:lnTo>
                  <a:pt x="4806696" y="1239012"/>
                </a:lnTo>
                <a:lnTo>
                  <a:pt x="5864352" y="1239012"/>
                </a:lnTo>
                <a:lnTo>
                  <a:pt x="5864352" y="1034796"/>
                </a:lnTo>
                <a:close/>
              </a:path>
              <a:path w="5864860" h="2894330">
                <a:moveTo>
                  <a:pt x="5864352" y="827532"/>
                </a:moveTo>
                <a:lnTo>
                  <a:pt x="4806696" y="827532"/>
                </a:lnTo>
                <a:lnTo>
                  <a:pt x="4806696" y="1031748"/>
                </a:lnTo>
                <a:lnTo>
                  <a:pt x="5864352" y="1031748"/>
                </a:lnTo>
                <a:lnTo>
                  <a:pt x="5864352" y="827532"/>
                </a:lnTo>
                <a:close/>
              </a:path>
              <a:path w="5864860" h="2894330">
                <a:moveTo>
                  <a:pt x="5864352" y="620268"/>
                </a:moveTo>
                <a:lnTo>
                  <a:pt x="4806696" y="620268"/>
                </a:lnTo>
                <a:lnTo>
                  <a:pt x="4806696" y="824484"/>
                </a:lnTo>
                <a:lnTo>
                  <a:pt x="5864352" y="824484"/>
                </a:lnTo>
                <a:lnTo>
                  <a:pt x="5864352" y="620268"/>
                </a:lnTo>
                <a:close/>
              </a:path>
              <a:path w="5864860" h="2894330">
                <a:moveTo>
                  <a:pt x="5864352" y="414528"/>
                </a:moveTo>
                <a:lnTo>
                  <a:pt x="4806696" y="414528"/>
                </a:lnTo>
                <a:lnTo>
                  <a:pt x="4806696" y="617220"/>
                </a:lnTo>
                <a:lnTo>
                  <a:pt x="5864352" y="617220"/>
                </a:lnTo>
                <a:lnTo>
                  <a:pt x="5864352" y="414528"/>
                </a:lnTo>
                <a:close/>
              </a:path>
              <a:path w="5864860" h="2894330">
                <a:moveTo>
                  <a:pt x="5864352" y="207264"/>
                </a:moveTo>
                <a:lnTo>
                  <a:pt x="4806696" y="207264"/>
                </a:lnTo>
                <a:lnTo>
                  <a:pt x="4806696" y="411480"/>
                </a:lnTo>
                <a:lnTo>
                  <a:pt x="5864352" y="411480"/>
                </a:lnTo>
                <a:lnTo>
                  <a:pt x="5864352" y="207264"/>
                </a:lnTo>
                <a:close/>
              </a:path>
              <a:path w="5864860" h="2894330">
                <a:moveTo>
                  <a:pt x="5864352" y="0"/>
                </a:moveTo>
                <a:lnTo>
                  <a:pt x="4806696" y="0"/>
                </a:lnTo>
                <a:lnTo>
                  <a:pt x="4806696" y="204216"/>
                </a:lnTo>
                <a:lnTo>
                  <a:pt x="5864352" y="204216"/>
                </a:lnTo>
                <a:lnTo>
                  <a:pt x="5864352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0" y="0"/>
            <a:ext cx="7275830" cy="4343400"/>
          </a:xfrm>
          <a:custGeom>
            <a:avLst/>
            <a:gdLst/>
            <a:ahLst/>
            <a:cxnLst/>
            <a:rect l="0" t="0" r="0" b="0"/>
            <a:pathLst>
              <a:path w="7275830" h="4343400">
                <a:moveTo>
                  <a:pt x="347472" y="0"/>
                </a:moveTo>
                <a:lnTo>
                  <a:pt x="0" y="0"/>
                </a:lnTo>
                <a:lnTo>
                  <a:pt x="0" y="4343400"/>
                </a:lnTo>
                <a:lnTo>
                  <a:pt x="347472" y="4343400"/>
                </a:lnTo>
                <a:lnTo>
                  <a:pt x="347472" y="0"/>
                </a:lnTo>
                <a:close/>
              </a:path>
              <a:path w="7275830" h="4343400">
                <a:moveTo>
                  <a:pt x="1408176" y="0"/>
                </a:moveTo>
                <a:lnTo>
                  <a:pt x="350520" y="0"/>
                </a:lnTo>
                <a:lnTo>
                  <a:pt x="350520" y="4343400"/>
                </a:lnTo>
                <a:lnTo>
                  <a:pt x="1408176" y="4343400"/>
                </a:lnTo>
                <a:lnTo>
                  <a:pt x="1408176" y="0"/>
                </a:lnTo>
                <a:close/>
              </a:path>
              <a:path w="7275830" h="4343400">
                <a:moveTo>
                  <a:pt x="2819400" y="3311652"/>
                </a:moveTo>
                <a:lnTo>
                  <a:pt x="1411224" y="3311652"/>
                </a:lnTo>
                <a:lnTo>
                  <a:pt x="1411224" y="4343400"/>
                </a:lnTo>
                <a:lnTo>
                  <a:pt x="2819400" y="4343400"/>
                </a:lnTo>
                <a:lnTo>
                  <a:pt x="2819400" y="3311652"/>
                </a:lnTo>
                <a:close/>
              </a:path>
              <a:path w="7275830" h="4343400">
                <a:moveTo>
                  <a:pt x="2819400" y="2069592"/>
                </a:moveTo>
                <a:lnTo>
                  <a:pt x="1411224" y="2069592"/>
                </a:lnTo>
                <a:lnTo>
                  <a:pt x="1411224" y="3308604"/>
                </a:lnTo>
                <a:lnTo>
                  <a:pt x="2819400" y="3308604"/>
                </a:lnTo>
                <a:lnTo>
                  <a:pt x="2819400" y="2069592"/>
                </a:lnTo>
                <a:close/>
              </a:path>
              <a:path w="7275830" h="4343400">
                <a:moveTo>
                  <a:pt x="3381756" y="4139184"/>
                </a:moveTo>
                <a:lnTo>
                  <a:pt x="2822448" y="4139184"/>
                </a:lnTo>
                <a:lnTo>
                  <a:pt x="2822448" y="4343400"/>
                </a:lnTo>
                <a:lnTo>
                  <a:pt x="3381756" y="4343400"/>
                </a:lnTo>
                <a:lnTo>
                  <a:pt x="3381756" y="4139184"/>
                </a:lnTo>
                <a:close/>
              </a:path>
              <a:path w="7275830" h="4343400">
                <a:moveTo>
                  <a:pt x="3381756" y="3931920"/>
                </a:moveTo>
                <a:lnTo>
                  <a:pt x="2822448" y="3931920"/>
                </a:lnTo>
                <a:lnTo>
                  <a:pt x="2822448" y="4136136"/>
                </a:lnTo>
                <a:lnTo>
                  <a:pt x="3381756" y="4136136"/>
                </a:lnTo>
                <a:lnTo>
                  <a:pt x="3381756" y="3931920"/>
                </a:lnTo>
                <a:close/>
              </a:path>
              <a:path w="7275830" h="4343400">
                <a:moveTo>
                  <a:pt x="3381756" y="3726180"/>
                </a:moveTo>
                <a:lnTo>
                  <a:pt x="2822448" y="3726180"/>
                </a:lnTo>
                <a:lnTo>
                  <a:pt x="2822448" y="3928872"/>
                </a:lnTo>
                <a:lnTo>
                  <a:pt x="3381756" y="3928872"/>
                </a:lnTo>
                <a:lnTo>
                  <a:pt x="3381756" y="3726180"/>
                </a:lnTo>
                <a:close/>
              </a:path>
              <a:path w="7275830" h="4343400">
                <a:moveTo>
                  <a:pt x="3381756" y="3518916"/>
                </a:moveTo>
                <a:lnTo>
                  <a:pt x="2822448" y="3518916"/>
                </a:lnTo>
                <a:lnTo>
                  <a:pt x="2822448" y="3721608"/>
                </a:lnTo>
                <a:lnTo>
                  <a:pt x="3381756" y="3721608"/>
                </a:lnTo>
                <a:lnTo>
                  <a:pt x="3381756" y="3518916"/>
                </a:lnTo>
                <a:close/>
              </a:path>
              <a:path w="7275830" h="4343400">
                <a:moveTo>
                  <a:pt x="3381756" y="3311652"/>
                </a:moveTo>
                <a:lnTo>
                  <a:pt x="2822448" y="3311652"/>
                </a:lnTo>
                <a:lnTo>
                  <a:pt x="2822448" y="3515868"/>
                </a:lnTo>
                <a:lnTo>
                  <a:pt x="3381756" y="3515868"/>
                </a:lnTo>
                <a:lnTo>
                  <a:pt x="3381756" y="3311652"/>
                </a:lnTo>
                <a:close/>
              </a:path>
              <a:path w="7275830" h="4343400">
                <a:moveTo>
                  <a:pt x="3381756" y="3104388"/>
                </a:moveTo>
                <a:lnTo>
                  <a:pt x="2822448" y="3104388"/>
                </a:lnTo>
                <a:lnTo>
                  <a:pt x="2822448" y="3308604"/>
                </a:lnTo>
                <a:lnTo>
                  <a:pt x="3381756" y="3308604"/>
                </a:lnTo>
                <a:lnTo>
                  <a:pt x="3381756" y="3104388"/>
                </a:lnTo>
                <a:close/>
              </a:path>
              <a:path w="7275830" h="4343400">
                <a:moveTo>
                  <a:pt x="3381756" y="2897124"/>
                </a:moveTo>
                <a:lnTo>
                  <a:pt x="2822448" y="2897124"/>
                </a:lnTo>
                <a:lnTo>
                  <a:pt x="2822448" y="3101340"/>
                </a:lnTo>
                <a:lnTo>
                  <a:pt x="3381756" y="3101340"/>
                </a:lnTo>
                <a:lnTo>
                  <a:pt x="3381756" y="2897124"/>
                </a:lnTo>
                <a:close/>
              </a:path>
              <a:path w="7275830" h="4343400">
                <a:moveTo>
                  <a:pt x="4093464" y="4139184"/>
                </a:moveTo>
                <a:lnTo>
                  <a:pt x="3384804" y="4139184"/>
                </a:lnTo>
                <a:lnTo>
                  <a:pt x="3384804" y="4343400"/>
                </a:lnTo>
                <a:lnTo>
                  <a:pt x="4093464" y="4343400"/>
                </a:lnTo>
                <a:lnTo>
                  <a:pt x="4093464" y="4139184"/>
                </a:lnTo>
                <a:close/>
              </a:path>
              <a:path w="7275830" h="4343400">
                <a:moveTo>
                  <a:pt x="4093464" y="3931920"/>
                </a:moveTo>
                <a:lnTo>
                  <a:pt x="3384804" y="3931920"/>
                </a:lnTo>
                <a:lnTo>
                  <a:pt x="3384804" y="4136136"/>
                </a:lnTo>
                <a:lnTo>
                  <a:pt x="4093464" y="4136136"/>
                </a:lnTo>
                <a:lnTo>
                  <a:pt x="4093464" y="3931920"/>
                </a:lnTo>
                <a:close/>
              </a:path>
              <a:path w="7275830" h="4343400">
                <a:moveTo>
                  <a:pt x="4093464" y="3726180"/>
                </a:moveTo>
                <a:lnTo>
                  <a:pt x="3384804" y="3726180"/>
                </a:lnTo>
                <a:lnTo>
                  <a:pt x="3384804" y="3928872"/>
                </a:lnTo>
                <a:lnTo>
                  <a:pt x="4093464" y="3928872"/>
                </a:lnTo>
                <a:lnTo>
                  <a:pt x="4093464" y="3726180"/>
                </a:lnTo>
                <a:close/>
              </a:path>
              <a:path w="7275830" h="4343400">
                <a:moveTo>
                  <a:pt x="4093464" y="3518916"/>
                </a:moveTo>
                <a:lnTo>
                  <a:pt x="3384804" y="3518916"/>
                </a:lnTo>
                <a:lnTo>
                  <a:pt x="3384804" y="3721608"/>
                </a:lnTo>
                <a:lnTo>
                  <a:pt x="4093464" y="3721608"/>
                </a:lnTo>
                <a:lnTo>
                  <a:pt x="4093464" y="3518916"/>
                </a:lnTo>
                <a:close/>
              </a:path>
              <a:path w="7275830" h="4343400">
                <a:moveTo>
                  <a:pt x="4093464" y="3311652"/>
                </a:moveTo>
                <a:lnTo>
                  <a:pt x="3384804" y="3311652"/>
                </a:lnTo>
                <a:lnTo>
                  <a:pt x="3384804" y="3515868"/>
                </a:lnTo>
                <a:lnTo>
                  <a:pt x="4093464" y="3515868"/>
                </a:lnTo>
                <a:lnTo>
                  <a:pt x="4093464" y="3311652"/>
                </a:lnTo>
                <a:close/>
              </a:path>
              <a:path w="7275830" h="4343400">
                <a:moveTo>
                  <a:pt x="4093464" y="3104388"/>
                </a:moveTo>
                <a:lnTo>
                  <a:pt x="3384804" y="3104388"/>
                </a:lnTo>
                <a:lnTo>
                  <a:pt x="3384804" y="3308604"/>
                </a:lnTo>
                <a:lnTo>
                  <a:pt x="4093464" y="3308604"/>
                </a:lnTo>
                <a:lnTo>
                  <a:pt x="4093464" y="3104388"/>
                </a:lnTo>
                <a:close/>
              </a:path>
              <a:path w="7275830" h="4343400">
                <a:moveTo>
                  <a:pt x="4093464" y="2897124"/>
                </a:moveTo>
                <a:lnTo>
                  <a:pt x="3384804" y="2897124"/>
                </a:lnTo>
                <a:lnTo>
                  <a:pt x="3384804" y="3101340"/>
                </a:lnTo>
                <a:lnTo>
                  <a:pt x="4093464" y="3101340"/>
                </a:lnTo>
                <a:lnTo>
                  <a:pt x="4093464" y="2897124"/>
                </a:lnTo>
                <a:close/>
              </a:path>
              <a:path w="7275830" h="4343400">
                <a:moveTo>
                  <a:pt x="5154168" y="4139184"/>
                </a:moveTo>
                <a:lnTo>
                  <a:pt x="4096512" y="4139184"/>
                </a:lnTo>
                <a:lnTo>
                  <a:pt x="4096512" y="4343400"/>
                </a:lnTo>
                <a:lnTo>
                  <a:pt x="5154168" y="4343400"/>
                </a:lnTo>
                <a:lnTo>
                  <a:pt x="5154168" y="4139184"/>
                </a:lnTo>
                <a:close/>
              </a:path>
              <a:path w="7275830" h="4343400">
                <a:moveTo>
                  <a:pt x="5154168" y="3931920"/>
                </a:moveTo>
                <a:lnTo>
                  <a:pt x="4096512" y="3931920"/>
                </a:lnTo>
                <a:lnTo>
                  <a:pt x="4096512" y="4136136"/>
                </a:lnTo>
                <a:lnTo>
                  <a:pt x="5154168" y="4136136"/>
                </a:lnTo>
                <a:lnTo>
                  <a:pt x="5154168" y="3931920"/>
                </a:lnTo>
                <a:close/>
              </a:path>
              <a:path w="7275830" h="4343400">
                <a:moveTo>
                  <a:pt x="5154168" y="3726180"/>
                </a:moveTo>
                <a:lnTo>
                  <a:pt x="4096512" y="3726180"/>
                </a:lnTo>
                <a:lnTo>
                  <a:pt x="4096512" y="3928872"/>
                </a:lnTo>
                <a:lnTo>
                  <a:pt x="5154168" y="3928872"/>
                </a:lnTo>
                <a:lnTo>
                  <a:pt x="5154168" y="3726180"/>
                </a:lnTo>
                <a:close/>
              </a:path>
              <a:path w="7275830" h="4343400">
                <a:moveTo>
                  <a:pt x="5154168" y="3518916"/>
                </a:moveTo>
                <a:lnTo>
                  <a:pt x="4096512" y="3518916"/>
                </a:lnTo>
                <a:lnTo>
                  <a:pt x="4096512" y="3721608"/>
                </a:lnTo>
                <a:lnTo>
                  <a:pt x="5154168" y="3721608"/>
                </a:lnTo>
                <a:lnTo>
                  <a:pt x="5154168" y="3518916"/>
                </a:lnTo>
                <a:close/>
              </a:path>
              <a:path w="7275830" h="4343400">
                <a:moveTo>
                  <a:pt x="5154168" y="3311652"/>
                </a:moveTo>
                <a:lnTo>
                  <a:pt x="4096512" y="3311652"/>
                </a:lnTo>
                <a:lnTo>
                  <a:pt x="4096512" y="3515868"/>
                </a:lnTo>
                <a:lnTo>
                  <a:pt x="5154168" y="3515868"/>
                </a:lnTo>
                <a:lnTo>
                  <a:pt x="5154168" y="3311652"/>
                </a:lnTo>
                <a:close/>
              </a:path>
              <a:path w="7275830" h="4343400">
                <a:moveTo>
                  <a:pt x="5154168" y="3104388"/>
                </a:moveTo>
                <a:lnTo>
                  <a:pt x="4096512" y="3104388"/>
                </a:lnTo>
                <a:lnTo>
                  <a:pt x="4096512" y="3308604"/>
                </a:lnTo>
                <a:lnTo>
                  <a:pt x="5154168" y="3308604"/>
                </a:lnTo>
                <a:lnTo>
                  <a:pt x="5154168" y="3104388"/>
                </a:lnTo>
                <a:close/>
              </a:path>
              <a:path w="7275830" h="4343400">
                <a:moveTo>
                  <a:pt x="5154168" y="2897124"/>
                </a:moveTo>
                <a:lnTo>
                  <a:pt x="4096512" y="2897124"/>
                </a:lnTo>
                <a:lnTo>
                  <a:pt x="4096512" y="3101340"/>
                </a:lnTo>
                <a:lnTo>
                  <a:pt x="5154168" y="3101340"/>
                </a:lnTo>
                <a:lnTo>
                  <a:pt x="5154168" y="2897124"/>
                </a:lnTo>
                <a:close/>
              </a:path>
              <a:path w="7275830" h="4343400">
                <a:moveTo>
                  <a:pt x="6214872" y="4139184"/>
                </a:moveTo>
                <a:lnTo>
                  <a:pt x="5157216" y="4139184"/>
                </a:lnTo>
                <a:lnTo>
                  <a:pt x="5157216" y="4343400"/>
                </a:lnTo>
                <a:lnTo>
                  <a:pt x="6214872" y="4343400"/>
                </a:lnTo>
                <a:lnTo>
                  <a:pt x="6214872" y="4139184"/>
                </a:lnTo>
                <a:close/>
              </a:path>
              <a:path w="7275830" h="4343400">
                <a:moveTo>
                  <a:pt x="6214872" y="3931920"/>
                </a:moveTo>
                <a:lnTo>
                  <a:pt x="5157216" y="3931920"/>
                </a:lnTo>
                <a:lnTo>
                  <a:pt x="5157216" y="4136136"/>
                </a:lnTo>
                <a:lnTo>
                  <a:pt x="6214872" y="4136136"/>
                </a:lnTo>
                <a:lnTo>
                  <a:pt x="6214872" y="3931920"/>
                </a:lnTo>
                <a:close/>
              </a:path>
              <a:path w="7275830" h="4343400">
                <a:moveTo>
                  <a:pt x="6214872" y="3726180"/>
                </a:moveTo>
                <a:lnTo>
                  <a:pt x="5157216" y="3726180"/>
                </a:lnTo>
                <a:lnTo>
                  <a:pt x="5157216" y="3928872"/>
                </a:lnTo>
                <a:lnTo>
                  <a:pt x="6214872" y="3928872"/>
                </a:lnTo>
                <a:lnTo>
                  <a:pt x="6214872" y="3726180"/>
                </a:lnTo>
                <a:close/>
              </a:path>
              <a:path w="7275830" h="4343400">
                <a:moveTo>
                  <a:pt x="6214872" y="3518916"/>
                </a:moveTo>
                <a:lnTo>
                  <a:pt x="5157216" y="3518916"/>
                </a:lnTo>
                <a:lnTo>
                  <a:pt x="5157216" y="3721608"/>
                </a:lnTo>
                <a:lnTo>
                  <a:pt x="6214872" y="3721608"/>
                </a:lnTo>
                <a:lnTo>
                  <a:pt x="6214872" y="3518916"/>
                </a:lnTo>
                <a:close/>
              </a:path>
              <a:path w="7275830" h="4343400">
                <a:moveTo>
                  <a:pt x="6214872" y="3311652"/>
                </a:moveTo>
                <a:lnTo>
                  <a:pt x="5157216" y="3311652"/>
                </a:lnTo>
                <a:lnTo>
                  <a:pt x="5157216" y="3515868"/>
                </a:lnTo>
                <a:lnTo>
                  <a:pt x="6214872" y="3515868"/>
                </a:lnTo>
                <a:lnTo>
                  <a:pt x="6214872" y="3311652"/>
                </a:lnTo>
                <a:close/>
              </a:path>
              <a:path w="7275830" h="4343400">
                <a:moveTo>
                  <a:pt x="6214872" y="3104388"/>
                </a:moveTo>
                <a:lnTo>
                  <a:pt x="5157216" y="3104388"/>
                </a:lnTo>
                <a:lnTo>
                  <a:pt x="5157216" y="3308604"/>
                </a:lnTo>
                <a:lnTo>
                  <a:pt x="6214872" y="3308604"/>
                </a:lnTo>
                <a:lnTo>
                  <a:pt x="6214872" y="3104388"/>
                </a:lnTo>
                <a:close/>
              </a:path>
              <a:path w="7275830" h="4343400">
                <a:moveTo>
                  <a:pt x="6214872" y="2897124"/>
                </a:moveTo>
                <a:lnTo>
                  <a:pt x="5157216" y="2897124"/>
                </a:lnTo>
                <a:lnTo>
                  <a:pt x="5157216" y="3101340"/>
                </a:lnTo>
                <a:lnTo>
                  <a:pt x="6214872" y="3101340"/>
                </a:lnTo>
                <a:lnTo>
                  <a:pt x="6214872" y="2897124"/>
                </a:lnTo>
                <a:close/>
              </a:path>
              <a:path w="7275830" h="4343400">
                <a:moveTo>
                  <a:pt x="6214872" y="2689860"/>
                </a:moveTo>
                <a:lnTo>
                  <a:pt x="5157216" y="2689860"/>
                </a:lnTo>
                <a:lnTo>
                  <a:pt x="5157216" y="2894076"/>
                </a:lnTo>
                <a:lnTo>
                  <a:pt x="6214872" y="2894076"/>
                </a:lnTo>
                <a:lnTo>
                  <a:pt x="6214872" y="2689860"/>
                </a:lnTo>
                <a:close/>
              </a:path>
              <a:path w="7275830" h="4343400">
                <a:moveTo>
                  <a:pt x="7275576" y="4139184"/>
                </a:moveTo>
                <a:lnTo>
                  <a:pt x="6217920" y="4139184"/>
                </a:lnTo>
                <a:lnTo>
                  <a:pt x="6217920" y="4343400"/>
                </a:lnTo>
                <a:lnTo>
                  <a:pt x="7275576" y="4343400"/>
                </a:lnTo>
                <a:lnTo>
                  <a:pt x="7275576" y="4139184"/>
                </a:lnTo>
                <a:close/>
              </a:path>
              <a:path w="7275830" h="4343400">
                <a:moveTo>
                  <a:pt x="7275576" y="3931920"/>
                </a:moveTo>
                <a:lnTo>
                  <a:pt x="6217920" y="3931920"/>
                </a:lnTo>
                <a:lnTo>
                  <a:pt x="6217920" y="4136136"/>
                </a:lnTo>
                <a:lnTo>
                  <a:pt x="7275576" y="4136136"/>
                </a:lnTo>
                <a:lnTo>
                  <a:pt x="7275576" y="3931920"/>
                </a:lnTo>
                <a:close/>
              </a:path>
              <a:path w="7275830" h="4343400">
                <a:moveTo>
                  <a:pt x="7275576" y="3726180"/>
                </a:moveTo>
                <a:lnTo>
                  <a:pt x="6217920" y="3726180"/>
                </a:lnTo>
                <a:lnTo>
                  <a:pt x="6217920" y="3928872"/>
                </a:lnTo>
                <a:lnTo>
                  <a:pt x="7275576" y="3928872"/>
                </a:lnTo>
                <a:lnTo>
                  <a:pt x="7275576" y="3726180"/>
                </a:lnTo>
                <a:close/>
              </a:path>
              <a:path w="7275830" h="4343400">
                <a:moveTo>
                  <a:pt x="7275576" y="3518916"/>
                </a:moveTo>
                <a:lnTo>
                  <a:pt x="6217920" y="3518916"/>
                </a:lnTo>
                <a:lnTo>
                  <a:pt x="6217920" y="3721608"/>
                </a:lnTo>
                <a:lnTo>
                  <a:pt x="7275576" y="3721608"/>
                </a:lnTo>
                <a:lnTo>
                  <a:pt x="7275576" y="3518916"/>
                </a:lnTo>
                <a:close/>
              </a:path>
              <a:path w="7275830" h="4343400">
                <a:moveTo>
                  <a:pt x="7275576" y="3311652"/>
                </a:moveTo>
                <a:lnTo>
                  <a:pt x="6217920" y="3311652"/>
                </a:lnTo>
                <a:lnTo>
                  <a:pt x="6217920" y="3515868"/>
                </a:lnTo>
                <a:lnTo>
                  <a:pt x="7275576" y="3515868"/>
                </a:lnTo>
                <a:lnTo>
                  <a:pt x="7275576" y="3311652"/>
                </a:lnTo>
                <a:close/>
              </a:path>
              <a:path w="7275830" h="4343400">
                <a:moveTo>
                  <a:pt x="7275576" y="3104388"/>
                </a:moveTo>
                <a:lnTo>
                  <a:pt x="6217920" y="3104388"/>
                </a:lnTo>
                <a:lnTo>
                  <a:pt x="6217920" y="3308604"/>
                </a:lnTo>
                <a:lnTo>
                  <a:pt x="7275576" y="3308604"/>
                </a:lnTo>
                <a:lnTo>
                  <a:pt x="7275576" y="3104388"/>
                </a:lnTo>
                <a:close/>
              </a:path>
              <a:path w="7275830" h="4343400">
                <a:moveTo>
                  <a:pt x="7275576" y="2897124"/>
                </a:moveTo>
                <a:lnTo>
                  <a:pt x="6217920" y="2897124"/>
                </a:lnTo>
                <a:lnTo>
                  <a:pt x="6217920" y="3101340"/>
                </a:lnTo>
                <a:lnTo>
                  <a:pt x="7275576" y="3101340"/>
                </a:lnTo>
                <a:lnTo>
                  <a:pt x="7275576" y="2897124"/>
                </a:lnTo>
                <a:close/>
              </a:path>
              <a:path w="7275830" h="4343400">
                <a:moveTo>
                  <a:pt x="7275576" y="2689860"/>
                </a:moveTo>
                <a:lnTo>
                  <a:pt x="6217920" y="2689860"/>
                </a:lnTo>
                <a:lnTo>
                  <a:pt x="6217920" y="2894076"/>
                </a:lnTo>
                <a:lnTo>
                  <a:pt x="7275576" y="2894076"/>
                </a:lnTo>
                <a:lnTo>
                  <a:pt x="7275576" y="268986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543941</xdr:colOff>
      <xdr:row>27</xdr:row>
      <xdr:rowOff>0</xdr:rowOff>
    </xdr:from>
    <xdr:ext cx="708660" cy="43434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0" y="0"/>
          <a:ext cx="708660" cy="4343400"/>
        </a:xfrm>
        <a:custGeom>
          <a:avLst/>
          <a:gdLst/>
          <a:ahLst/>
          <a:cxnLst/>
          <a:rect l="0" t="0" r="0" b="0"/>
          <a:pathLst>
            <a:path w="708660" h="4343400">
              <a:moveTo>
                <a:pt x="708660" y="4139184"/>
              </a:moveTo>
              <a:lnTo>
                <a:pt x="0" y="4139184"/>
              </a:lnTo>
              <a:lnTo>
                <a:pt x="0" y="4343400"/>
              </a:lnTo>
              <a:lnTo>
                <a:pt x="708660" y="4343400"/>
              </a:lnTo>
              <a:lnTo>
                <a:pt x="708660" y="4139184"/>
              </a:lnTo>
              <a:close/>
            </a:path>
            <a:path w="708660" h="4343400">
              <a:moveTo>
                <a:pt x="708660" y="3931920"/>
              </a:moveTo>
              <a:lnTo>
                <a:pt x="0" y="3931920"/>
              </a:lnTo>
              <a:lnTo>
                <a:pt x="0" y="4136136"/>
              </a:lnTo>
              <a:lnTo>
                <a:pt x="708660" y="4136136"/>
              </a:lnTo>
              <a:lnTo>
                <a:pt x="708660" y="3931920"/>
              </a:lnTo>
              <a:close/>
            </a:path>
            <a:path w="708660" h="4343400">
              <a:moveTo>
                <a:pt x="708660" y="3726180"/>
              </a:moveTo>
              <a:lnTo>
                <a:pt x="0" y="3726180"/>
              </a:lnTo>
              <a:lnTo>
                <a:pt x="0" y="3928872"/>
              </a:lnTo>
              <a:lnTo>
                <a:pt x="708660" y="3928872"/>
              </a:lnTo>
              <a:lnTo>
                <a:pt x="708660" y="3726180"/>
              </a:lnTo>
              <a:close/>
            </a:path>
            <a:path w="708660" h="4343400">
              <a:moveTo>
                <a:pt x="708660" y="3518916"/>
              </a:moveTo>
              <a:lnTo>
                <a:pt x="0" y="3518916"/>
              </a:lnTo>
              <a:lnTo>
                <a:pt x="0" y="3721608"/>
              </a:lnTo>
              <a:lnTo>
                <a:pt x="708660" y="3721608"/>
              </a:lnTo>
              <a:lnTo>
                <a:pt x="708660" y="3518916"/>
              </a:lnTo>
              <a:close/>
            </a:path>
            <a:path w="708660" h="4343400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4343400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4343400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434340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434340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434340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434340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434340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434340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434340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434340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434340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434340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434340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434340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434340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434340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22</xdr:row>
      <xdr:rowOff>206501</xdr:rowOff>
    </xdr:from>
    <xdr:ext cx="3179445" cy="37528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21" name="image1.jpe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22" name="image2.jpe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23" name="image3.jpe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24</xdr:row>
      <xdr:rowOff>0</xdr:rowOff>
    </xdr:from>
    <xdr:ext cx="7275830" cy="3930650"/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617854" y="5836920"/>
          <a:ext cx="7275830" cy="3930650"/>
          <a:chOff x="0" y="0"/>
          <a:chExt cx="7275830" cy="3930650"/>
        </a:xfrm>
      </xdr:grpSpPr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0" y="0"/>
            <a:ext cx="7275830" cy="2895600"/>
          </a:xfrm>
          <a:custGeom>
            <a:avLst/>
            <a:gdLst/>
            <a:ahLst/>
            <a:cxnLst/>
            <a:rect l="0" t="0" r="0" b="0"/>
            <a:pathLst>
              <a:path w="7275830" h="2895600">
                <a:moveTo>
                  <a:pt x="347472" y="1034796"/>
                </a:moveTo>
                <a:lnTo>
                  <a:pt x="0" y="1034796"/>
                </a:lnTo>
                <a:lnTo>
                  <a:pt x="0" y="2895600"/>
                </a:lnTo>
                <a:lnTo>
                  <a:pt x="347472" y="2895600"/>
                </a:lnTo>
                <a:lnTo>
                  <a:pt x="347472" y="1034796"/>
                </a:lnTo>
                <a:close/>
              </a:path>
              <a:path w="7275830" h="2895600">
                <a:moveTo>
                  <a:pt x="347472" y="0"/>
                </a:moveTo>
                <a:lnTo>
                  <a:pt x="0" y="0"/>
                </a:lnTo>
                <a:lnTo>
                  <a:pt x="0" y="1031748"/>
                </a:lnTo>
                <a:lnTo>
                  <a:pt x="347472" y="1031748"/>
                </a:lnTo>
                <a:lnTo>
                  <a:pt x="347472" y="0"/>
                </a:lnTo>
                <a:close/>
              </a:path>
              <a:path w="7275830" h="2895600">
                <a:moveTo>
                  <a:pt x="1408176" y="1034796"/>
                </a:moveTo>
                <a:lnTo>
                  <a:pt x="350520" y="1034796"/>
                </a:lnTo>
                <a:lnTo>
                  <a:pt x="350520" y="2895600"/>
                </a:lnTo>
                <a:lnTo>
                  <a:pt x="1408176" y="2895600"/>
                </a:lnTo>
                <a:lnTo>
                  <a:pt x="1408176" y="1034796"/>
                </a:lnTo>
                <a:close/>
              </a:path>
              <a:path w="7275830" h="2895600">
                <a:moveTo>
                  <a:pt x="1408176" y="0"/>
                </a:moveTo>
                <a:lnTo>
                  <a:pt x="350520" y="0"/>
                </a:lnTo>
                <a:lnTo>
                  <a:pt x="350520" y="1031748"/>
                </a:lnTo>
                <a:lnTo>
                  <a:pt x="1408176" y="1031748"/>
                </a:lnTo>
                <a:lnTo>
                  <a:pt x="1408176" y="0"/>
                </a:lnTo>
                <a:close/>
              </a:path>
              <a:path w="7275830" h="2895600">
                <a:moveTo>
                  <a:pt x="2819400" y="1034796"/>
                </a:moveTo>
                <a:lnTo>
                  <a:pt x="1411224" y="1034796"/>
                </a:lnTo>
                <a:lnTo>
                  <a:pt x="1411224" y="2481072"/>
                </a:lnTo>
                <a:lnTo>
                  <a:pt x="2819400" y="2481072"/>
                </a:lnTo>
                <a:lnTo>
                  <a:pt x="2819400" y="1034796"/>
                </a:lnTo>
                <a:close/>
              </a:path>
              <a:path w="7275830" h="2895600">
                <a:moveTo>
                  <a:pt x="2819400" y="0"/>
                </a:moveTo>
                <a:lnTo>
                  <a:pt x="1411224" y="0"/>
                </a:lnTo>
                <a:lnTo>
                  <a:pt x="1411224" y="1031748"/>
                </a:lnTo>
                <a:lnTo>
                  <a:pt x="2819400" y="1031748"/>
                </a:lnTo>
                <a:lnTo>
                  <a:pt x="2819400" y="0"/>
                </a:lnTo>
                <a:close/>
              </a:path>
              <a:path w="7275830" h="289560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89560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89560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89560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89560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89560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89560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89560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89560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89560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89560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89560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89560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895600">
                <a:moveTo>
                  <a:pt x="4093464" y="2484120"/>
                </a:moveTo>
                <a:lnTo>
                  <a:pt x="3384804" y="2484120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4120"/>
                </a:lnTo>
                <a:close/>
              </a:path>
              <a:path w="7275830" h="289560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89560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89560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89560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89560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89560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89560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89560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89560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89560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89560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89560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895600">
                <a:moveTo>
                  <a:pt x="5154168" y="2484120"/>
                </a:moveTo>
                <a:lnTo>
                  <a:pt x="4096512" y="2484120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4120"/>
                </a:lnTo>
                <a:close/>
              </a:path>
              <a:path w="7275830" h="289560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89560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89560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89560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89560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89560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89560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89560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89560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89560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89560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89560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895600">
                <a:moveTo>
                  <a:pt x="6214872" y="2484120"/>
                </a:moveTo>
                <a:lnTo>
                  <a:pt x="5157216" y="2484120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4120"/>
                </a:lnTo>
                <a:close/>
              </a:path>
              <a:path w="7275830" h="289560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89560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89560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89560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89560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89560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89560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89560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89560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89560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89560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89560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895600">
                <a:moveTo>
                  <a:pt x="7275576" y="2484120"/>
                </a:moveTo>
                <a:lnTo>
                  <a:pt x="6217920" y="2484120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4120"/>
                </a:lnTo>
                <a:close/>
              </a:path>
              <a:path w="7275830" h="289560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89560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89560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89560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89560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89560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89560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89560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89560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89560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89560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89560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350520" y="1034795"/>
            <a:ext cx="6925309" cy="2895600"/>
          </a:xfrm>
          <a:custGeom>
            <a:avLst/>
            <a:gdLst/>
            <a:ahLst/>
            <a:cxnLst/>
            <a:rect l="0" t="0" r="0" b="0"/>
            <a:pathLst>
              <a:path w="6925309" h="2895600">
                <a:moveTo>
                  <a:pt x="1057656" y="0"/>
                </a:moveTo>
                <a:lnTo>
                  <a:pt x="0" y="0"/>
                </a:lnTo>
                <a:lnTo>
                  <a:pt x="0" y="1860804"/>
                </a:lnTo>
                <a:lnTo>
                  <a:pt x="1057656" y="1860804"/>
                </a:lnTo>
                <a:lnTo>
                  <a:pt x="1057656" y="0"/>
                </a:lnTo>
                <a:close/>
              </a:path>
              <a:path w="6925309" h="2895600">
                <a:moveTo>
                  <a:pt x="2468880" y="1863852"/>
                </a:moveTo>
                <a:lnTo>
                  <a:pt x="1060704" y="1863852"/>
                </a:lnTo>
                <a:lnTo>
                  <a:pt x="1060704" y="2895600"/>
                </a:lnTo>
                <a:lnTo>
                  <a:pt x="2468880" y="2895600"/>
                </a:lnTo>
                <a:lnTo>
                  <a:pt x="2468880" y="1863852"/>
                </a:lnTo>
                <a:close/>
              </a:path>
              <a:path w="6925309" h="2895600">
                <a:moveTo>
                  <a:pt x="2468880" y="1449324"/>
                </a:moveTo>
                <a:lnTo>
                  <a:pt x="1060704" y="1449324"/>
                </a:lnTo>
                <a:lnTo>
                  <a:pt x="1060704" y="1860804"/>
                </a:lnTo>
                <a:lnTo>
                  <a:pt x="2468880" y="1860804"/>
                </a:lnTo>
                <a:lnTo>
                  <a:pt x="2468880" y="1449324"/>
                </a:lnTo>
                <a:close/>
              </a:path>
              <a:path w="6925309" h="2895600">
                <a:moveTo>
                  <a:pt x="3031236" y="2691384"/>
                </a:moveTo>
                <a:lnTo>
                  <a:pt x="2471928" y="2691384"/>
                </a:lnTo>
                <a:lnTo>
                  <a:pt x="2471928" y="2895600"/>
                </a:lnTo>
                <a:lnTo>
                  <a:pt x="3031236" y="2895600"/>
                </a:lnTo>
                <a:lnTo>
                  <a:pt x="3031236" y="2691384"/>
                </a:lnTo>
                <a:close/>
              </a:path>
              <a:path w="6925309" h="2895600">
                <a:moveTo>
                  <a:pt x="3031236" y="2484120"/>
                </a:moveTo>
                <a:lnTo>
                  <a:pt x="2471928" y="2484120"/>
                </a:lnTo>
                <a:lnTo>
                  <a:pt x="2471928" y="2688336"/>
                </a:lnTo>
                <a:lnTo>
                  <a:pt x="3031236" y="2688336"/>
                </a:lnTo>
                <a:lnTo>
                  <a:pt x="3031236" y="2484120"/>
                </a:lnTo>
                <a:close/>
              </a:path>
              <a:path w="6925309" h="2895600">
                <a:moveTo>
                  <a:pt x="3031236" y="2278380"/>
                </a:moveTo>
                <a:lnTo>
                  <a:pt x="2471928" y="2278380"/>
                </a:lnTo>
                <a:lnTo>
                  <a:pt x="2471928" y="2482596"/>
                </a:lnTo>
                <a:lnTo>
                  <a:pt x="3031236" y="2482596"/>
                </a:lnTo>
                <a:lnTo>
                  <a:pt x="3031236" y="2278380"/>
                </a:lnTo>
                <a:close/>
              </a:path>
              <a:path w="6925309" h="2895600">
                <a:moveTo>
                  <a:pt x="3031236" y="2071116"/>
                </a:moveTo>
                <a:lnTo>
                  <a:pt x="2471928" y="2071116"/>
                </a:lnTo>
                <a:lnTo>
                  <a:pt x="2471928" y="2275332"/>
                </a:lnTo>
                <a:lnTo>
                  <a:pt x="3031236" y="2275332"/>
                </a:lnTo>
                <a:lnTo>
                  <a:pt x="3031236" y="2071116"/>
                </a:lnTo>
                <a:close/>
              </a:path>
              <a:path w="6925309" h="2895600">
                <a:moveTo>
                  <a:pt x="3031236" y="1863852"/>
                </a:moveTo>
                <a:lnTo>
                  <a:pt x="2471928" y="1863852"/>
                </a:lnTo>
                <a:lnTo>
                  <a:pt x="2471928" y="2068068"/>
                </a:lnTo>
                <a:lnTo>
                  <a:pt x="3031236" y="2068068"/>
                </a:lnTo>
                <a:lnTo>
                  <a:pt x="3031236" y="1863852"/>
                </a:lnTo>
                <a:close/>
              </a:path>
              <a:path w="6925309" h="2895600">
                <a:moveTo>
                  <a:pt x="3031236" y="1655064"/>
                </a:moveTo>
                <a:lnTo>
                  <a:pt x="2471928" y="1655064"/>
                </a:lnTo>
                <a:lnTo>
                  <a:pt x="2471928" y="1860804"/>
                </a:lnTo>
                <a:lnTo>
                  <a:pt x="3031236" y="1860804"/>
                </a:lnTo>
                <a:lnTo>
                  <a:pt x="3031236" y="1655064"/>
                </a:lnTo>
                <a:close/>
              </a:path>
              <a:path w="6925309" h="2895600">
                <a:moveTo>
                  <a:pt x="3742944" y="2691384"/>
                </a:moveTo>
                <a:lnTo>
                  <a:pt x="3034284" y="2691384"/>
                </a:lnTo>
                <a:lnTo>
                  <a:pt x="3034284" y="2895600"/>
                </a:lnTo>
                <a:lnTo>
                  <a:pt x="3742944" y="2895600"/>
                </a:lnTo>
                <a:lnTo>
                  <a:pt x="3742944" y="2691384"/>
                </a:lnTo>
                <a:close/>
              </a:path>
              <a:path w="6925309" h="2895600">
                <a:moveTo>
                  <a:pt x="3742944" y="2484120"/>
                </a:moveTo>
                <a:lnTo>
                  <a:pt x="3034284" y="2484120"/>
                </a:lnTo>
                <a:lnTo>
                  <a:pt x="3034284" y="2688336"/>
                </a:lnTo>
                <a:lnTo>
                  <a:pt x="3742944" y="2688336"/>
                </a:lnTo>
                <a:lnTo>
                  <a:pt x="3742944" y="2484120"/>
                </a:lnTo>
                <a:close/>
              </a:path>
              <a:path w="6925309" h="2895600">
                <a:moveTo>
                  <a:pt x="3742944" y="2278380"/>
                </a:moveTo>
                <a:lnTo>
                  <a:pt x="3034284" y="2278380"/>
                </a:lnTo>
                <a:lnTo>
                  <a:pt x="3034284" y="2482596"/>
                </a:lnTo>
                <a:lnTo>
                  <a:pt x="3742944" y="2482596"/>
                </a:lnTo>
                <a:lnTo>
                  <a:pt x="3742944" y="2278380"/>
                </a:lnTo>
                <a:close/>
              </a:path>
              <a:path w="6925309" h="2895600">
                <a:moveTo>
                  <a:pt x="3742944" y="2071116"/>
                </a:moveTo>
                <a:lnTo>
                  <a:pt x="3034284" y="2071116"/>
                </a:lnTo>
                <a:lnTo>
                  <a:pt x="3034284" y="2275332"/>
                </a:lnTo>
                <a:lnTo>
                  <a:pt x="3742944" y="2275332"/>
                </a:lnTo>
                <a:lnTo>
                  <a:pt x="3742944" y="2071116"/>
                </a:lnTo>
                <a:close/>
              </a:path>
              <a:path w="6925309" h="2895600">
                <a:moveTo>
                  <a:pt x="3742944" y="1863852"/>
                </a:moveTo>
                <a:lnTo>
                  <a:pt x="3034284" y="1863852"/>
                </a:lnTo>
                <a:lnTo>
                  <a:pt x="3034284" y="2068068"/>
                </a:lnTo>
                <a:lnTo>
                  <a:pt x="3742944" y="2068068"/>
                </a:lnTo>
                <a:lnTo>
                  <a:pt x="3742944" y="1863852"/>
                </a:lnTo>
                <a:close/>
              </a:path>
              <a:path w="6925309" h="2895600">
                <a:moveTo>
                  <a:pt x="3742944" y="1655064"/>
                </a:moveTo>
                <a:lnTo>
                  <a:pt x="3034284" y="1655064"/>
                </a:lnTo>
                <a:lnTo>
                  <a:pt x="3034284" y="1860804"/>
                </a:lnTo>
                <a:lnTo>
                  <a:pt x="3742944" y="1860804"/>
                </a:lnTo>
                <a:lnTo>
                  <a:pt x="3742944" y="1655064"/>
                </a:lnTo>
                <a:close/>
              </a:path>
              <a:path w="6925309" h="2895600">
                <a:moveTo>
                  <a:pt x="4803648" y="2691384"/>
                </a:moveTo>
                <a:lnTo>
                  <a:pt x="3745992" y="2691384"/>
                </a:lnTo>
                <a:lnTo>
                  <a:pt x="3745992" y="2895600"/>
                </a:lnTo>
                <a:lnTo>
                  <a:pt x="4803648" y="2895600"/>
                </a:lnTo>
                <a:lnTo>
                  <a:pt x="4803648" y="2691384"/>
                </a:lnTo>
                <a:close/>
              </a:path>
              <a:path w="6925309" h="2895600">
                <a:moveTo>
                  <a:pt x="4803648" y="2484120"/>
                </a:moveTo>
                <a:lnTo>
                  <a:pt x="3745992" y="2484120"/>
                </a:lnTo>
                <a:lnTo>
                  <a:pt x="3745992" y="2688336"/>
                </a:lnTo>
                <a:lnTo>
                  <a:pt x="4803648" y="2688336"/>
                </a:lnTo>
                <a:lnTo>
                  <a:pt x="4803648" y="2484120"/>
                </a:lnTo>
                <a:close/>
              </a:path>
              <a:path w="6925309" h="2895600">
                <a:moveTo>
                  <a:pt x="4803648" y="2278380"/>
                </a:moveTo>
                <a:lnTo>
                  <a:pt x="3745992" y="2278380"/>
                </a:lnTo>
                <a:lnTo>
                  <a:pt x="3745992" y="2482596"/>
                </a:lnTo>
                <a:lnTo>
                  <a:pt x="4803648" y="2482596"/>
                </a:lnTo>
                <a:lnTo>
                  <a:pt x="4803648" y="2278380"/>
                </a:lnTo>
                <a:close/>
              </a:path>
              <a:path w="6925309" h="2895600">
                <a:moveTo>
                  <a:pt x="4803648" y="2071116"/>
                </a:moveTo>
                <a:lnTo>
                  <a:pt x="3745992" y="2071116"/>
                </a:lnTo>
                <a:lnTo>
                  <a:pt x="3745992" y="2275332"/>
                </a:lnTo>
                <a:lnTo>
                  <a:pt x="4803648" y="2275332"/>
                </a:lnTo>
                <a:lnTo>
                  <a:pt x="4803648" y="2071116"/>
                </a:lnTo>
                <a:close/>
              </a:path>
              <a:path w="6925309" h="2895600">
                <a:moveTo>
                  <a:pt x="4803648" y="1863852"/>
                </a:moveTo>
                <a:lnTo>
                  <a:pt x="3745992" y="1863852"/>
                </a:lnTo>
                <a:lnTo>
                  <a:pt x="3745992" y="2068068"/>
                </a:lnTo>
                <a:lnTo>
                  <a:pt x="4803648" y="2068068"/>
                </a:lnTo>
                <a:lnTo>
                  <a:pt x="4803648" y="1863852"/>
                </a:lnTo>
                <a:close/>
              </a:path>
              <a:path w="6925309" h="2895600">
                <a:moveTo>
                  <a:pt x="4803648" y="1655064"/>
                </a:moveTo>
                <a:lnTo>
                  <a:pt x="3745992" y="1655064"/>
                </a:lnTo>
                <a:lnTo>
                  <a:pt x="3745992" y="1860804"/>
                </a:lnTo>
                <a:lnTo>
                  <a:pt x="4803648" y="1860804"/>
                </a:lnTo>
                <a:lnTo>
                  <a:pt x="4803648" y="1655064"/>
                </a:lnTo>
                <a:close/>
              </a:path>
              <a:path w="6925309" h="2895600">
                <a:moveTo>
                  <a:pt x="5864352" y="2691384"/>
                </a:moveTo>
                <a:lnTo>
                  <a:pt x="4806696" y="2691384"/>
                </a:lnTo>
                <a:lnTo>
                  <a:pt x="4806696" y="2895600"/>
                </a:lnTo>
                <a:lnTo>
                  <a:pt x="5864352" y="2895600"/>
                </a:lnTo>
                <a:lnTo>
                  <a:pt x="5864352" y="2691384"/>
                </a:lnTo>
                <a:close/>
              </a:path>
              <a:path w="6925309" h="2895600">
                <a:moveTo>
                  <a:pt x="5864352" y="2484120"/>
                </a:moveTo>
                <a:lnTo>
                  <a:pt x="4806696" y="2484120"/>
                </a:lnTo>
                <a:lnTo>
                  <a:pt x="4806696" y="2688336"/>
                </a:lnTo>
                <a:lnTo>
                  <a:pt x="5864352" y="2688336"/>
                </a:lnTo>
                <a:lnTo>
                  <a:pt x="5864352" y="2484120"/>
                </a:lnTo>
                <a:close/>
              </a:path>
              <a:path w="6925309" h="2895600">
                <a:moveTo>
                  <a:pt x="5864352" y="2278380"/>
                </a:moveTo>
                <a:lnTo>
                  <a:pt x="4806696" y="2278380"/>
                </a:lnTo>
                <a:lnTo>
                  <a:pt x="4806696" y="2482596"/>
                </a:lnTo>
                <a:lnTo>
                  <a:pt x="5864352" y="2482596"/>
                </a:lnTo>
                <a:lnTo>
                  <a:pt x="5864352" y="2278380"/>
                </a:lnTo>
                <a:close/>
              </a:path>
              <a:path w="6925309" h="2895600">
                <a:moveTo>
                  <a:pt x="5864352" y="2071116"/>
                </a:moveTo>
                <a:lnTo>
                  <a:pt x="4806696" y="2071116"/>
                </a:lnTo>
                <a:lnTo>
                  <a:pt x="4806696" y="2275332"/>
                </a:lnTo>
                <a:lnTo>
                  <a:pt x="5864352" y="2275332"/>
                </a:lnTo>
                <a:lnTo>
                  <a:pt x="5864352" y="2071116"/>
                </a:lnTo>
                <a:close/>
              </a:path>
              <a:path w="6925309" h="2895600">
                <a:moveTo>
                  <a:pt x="5864352" y="1863852"/>
                </a:moveTo>
                <a:lnTo>
                  <a:pt x="4806696" y="1863852"/>
                </a:lnTo>
                <a:lnTo>
                  <a:pt x="4806696" y="2068068"/>
                </a:lnTo>
                <a:lnTo>
                  <a:pt x="5864352" y="2068068"/>
                </a:lnTo>
                <a:lnTo>
                  <a:pt x="5864352" y="1863852"/>
                </a:lnTo>
                <a:close/>
              </a:path>
              <a:path w="6925309" h="2895600">
                <a:moveTo>
                  <a:pt x="5864352" y="1655064"/>
                </a:moveTo>
                <a:lnTo>
                  <a:pt x="4806696" y="1655064"/>
                </a:lnTo>
                <a:lnTo>
                  <a:pt x="4806696" y="1860804"/>
                </a:lnTo>
                <a:lnTo>
                  <a:pt x="5864352" y="1860804"/>
                </a:lnTo>
                <a:lnTo>
                  <a:pt x="5864352" y="1655064"/>
                </a:lnTo>
                <a:close/>
              </a:path>
              <a:path w="6925309" h="2895600">
                <a:moveTo>
                  <a:pt x="6925056" y="2691384"/>
                </a:moveTo>
                <a:lnTo>
                  <a:pt x="5867400" y="2691384"/>
                </a:lnTo>
                <a:lnTo>
                  <a:pt x="5867400" y="2895600"/>
                </a:lnTo>
                <a:lnTo>
                  <a:pt x="6925056" y="2895600"/>
                </a:lnTo>
                <a:lnTo>
                  <a:pt x="6925056" y="2691384"/>
                </a:lnTo>
                <a:close/>
              </a:path>
              <a:path w="6925309" h="2895600">
                <a:moveTo>
                  <a:pt x="6925056" y="2484120"/>
                </a:moveTo>
                <a:lnTo>
                  <a:pt x="5867400" y="2484120"/>
                </a:lnTo>
                <a:lnTo>
                  <a:pt x="5867400" y="2688336"/>
                </a:lnTo>
                <a:lnTo>
                  <a:pt x="6925056" y="2688336"/>
                </a:lnTo>
                <a:lnTo>
                  <a:pt x="6925056" y="2484120"/>
                </a:lnTo>
                <a:close/>
              </a:path>
              <a:path w="6925309" h="2895600">
                <a:moveTo>
                  <a:pt x="6925056" y="2278380"/>
                </a:moveTo>
                <a:lnTo>
                  <a:pt x="5867400" y="2278380"/>
                </a:lnTo>
                <a:lnTo>
                  <a:pt x="5867400" y="2482596"/>
                </a:lnTo>
                <a:lnTo>
                  <a:pt x="6925056" y="2482596"/>
                </a:lnTo>
                <a:lnTo>
                  <a:pt x="6925056" y="2278380"/>
                </a:lnTo>
                <a:close/>
              </a:path>
              <a:path w="6925309" h="2895600">
                <a:moveTo>
                  <a:pt x="6925056" y="2071116"/>
                </a:moveTo>
                <a:lnTo>
                  <a:pt x="5867400" y="2071116"/>
                </a:lnTo>
                <a:lnTo>
                  <a:pt x="5867400" y="2275332"/>
                </a:lnTo>
                <a:lnTo>
                  <a:pt x="6925056" y="2275332"/>
                </a:lnTo>
                <a:lnTo>
                  <a:pt x="6925056" y="2071116"/>
                </a:lnTo>
                <a:close/>
              </a:path>
              <a:path w="6925309" h="2895600">
                <a:moveTo>
                  <a:pt x="6925056" y="1863852"/>
                </a:moveTo>
                <a:lnTo>
                  <a:pt x="5867400" y="1863852"/>
                </a:lnTo>
                <a:lnTo>
                  <a:pt x="5867400" y="2068068"/>
                </a:lnTo>
                <a:lnTo>
                  <a:pt x="6925056" y="2068068"/>
                </a:lnTo>
                <a:lnTo>
                  <a:pt x="6925056" y="1863852"/>
                </a:lnTo>
                <a:close/>
              </a:path>
              <a:path w="6925309" h="2895600">
                <a:moveTo>
                  <a:pt x="6925056" y="1655064"/>
                </a:moveTo>
                <a:lnTo>
                  <a:pt x="5867400" y="1655064"/>
                </a:lnTo>
                <a:lnTo>
                  <a:pt x="5867400" y="1860804"/>
                </a:lnTo>
                <a:lnTo>
                  <a:pt x="6925056" y="1860804"/>
                </a:lnTo>
                <a:lnTo>
                  <a:pt x="6925056" y="16550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539496</xdr:colOff>
      <xdr:row>25</xdr:row>
      <xdr:rowOff>0</xdr:rowOff>
    </xdr:from>
    <xdr:ext cx="708660" cy="39306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0" y="0"/>
          <a:ext cx="708660" cy="3930650"/>
        </a:xfrm>
        <a:custGeom>
          <a:avLst/>
          <a:gdLst/>
          <a:ahLst/>
          <a:cxnLst/>
          <a:rect l="0" t="0" r="0" b="0"/>
          <a:pathLst>
            <a:path w="708660" h="3930650">
              <a:moveTo>
                <a:pt x="708660" y="3726180"/>
              </a:moveTo>
              <a:lnTo>
                <a:pt x="0" y="3726180"/>
              </a:lnTo>
              <a:lnTo>
                <a:pt x="0" y="3930396"/>
              </a:lnTo>
              <a:lnTo>
                <a:pt x="708660" y="3930396"/>
              </a:lnTo>
              <a:lnTo>
                <a:pt x="708660" y="3726180"/>
              </a:lnTo>
              <a:close/>
            </a:path>
            <a:path w="708660" h="3930650">
              <a:moveTo>
                <a:pt x="708660" y="3518916"/>
              </a:moveTo>
              <a:lnTo>
                <a:pt x="0" y="3518916"/>
              </a:lnTo>
              <a:lnTo>
                <a:pt x="0" y="3723132"/>
              </a:lnTo>
              <a:lnTo>
                <a:pt x="708660" y="3723132"/>
              </a:lnTo>
              <a:lnTo>
                <a:pt x="708660" y="3518916"/>
              </a:lnTo>
              <a:close/>
            </a:path>
            <a:path w="708660" h="3930650">
              <a:moveTo>
                <a:pt x="708660" y="3313176"/>
              </a:moveTo>
              <a:lnTo>
                <a:pt x="0" y="3313176"/>
              </a:lnTo>
              <a:lnTo>
                <a:pt x="0" y="3517392"/>
              </a:lnTo>
              <a:lnTo>
                <a:pt x="708660" y="3517392"/>
              </a:lnTo>
              <a:lnTo>
                <a:pt x="708660" y="3313176"/>
              </a:lnTo>
              <a:close/>
            </a:path>
            <a:path w="708660" h="3930650">
              <a:moveTo>
                <a:pt x="708660" y="3105912"/>
              </a:moveTo>
              <a:lnTo>
                <a:pt x="0" y="3105912"/>
              </a:lnTo>
              <a:lnTo>
                <a:pt x="0" y="3310128"/>
              </a:lnTo>
              <a:lnTo>
                <a:pt x="708660" y="3310128"/>
              </a:lnTo>
              <a:lnTo>
                <a:pt x="708660" y="3105912"/>
              </a:lnTo>
              <a:close/>
            </a:path>
            <a:path w="708660" h="3930650">
              <a:moveTo>
                <a:pt x="708660" y="2898648"/>
              </a:moveTo>
              <a:lnTo>
                <a:pt x="0" y="2898648"/>
              </a:lnTo>
              <a:lnTo>
                <a:pt x="0" y="3102864"/>
              </a:lnTo>
              <a:lnTo>
                <a:pt x="708660" y="3102864"/>
              </a:lnTo>
              <a:lnTo>
                <a:pt x="708660" y="2898648"/>
              </a:lnTo>
              <a:close/>
            </a:path>
            <a:path w="708660" h="3930650">
              <a:moveTo>
                <a:pt x="708660" y="2689860"/>
              </a:moveTo>
              <a:lnTo>
                <a:pt x="0" y="2689860"/>
              </a:lnTo>
              <a:lnTo>
                <a:pt x="0" y="2895600"/>
              </a:lnTo>
              <a:lnTo>
                <a:pt x="708660" y="2895600"/>
              </a:lnTo>
              <a:lnTo>
                <a:pt x="708660" y="2689860"/>
              </a:lnTo>
              <a:close/>
            </a:path>
            <a:path w="708660" h="393065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393065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393065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393065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393065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393065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393065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393065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93065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93065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93065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93065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93065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20</xdr:row>
      <xdr:rowOff>206501</xdr:rowOff>
    </xdr:from>
    <xdr:ext cx="3179445" cy="37528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29" name="image1.jpe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30" name="image2.jpe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31" name="image3.jpe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22</xdr:row>
      <xdr:rowOff>0</xdr:rowOff>
    </xdr:from>
    <xdr:ext cx="7275830" cy="3515995"/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pSpPr/>
      </xdr:nvGrpSpPr>
      <xdr:grpSpPr>
        <a:xfrm>
          <a:off x="617854" y="5410200"/>
          <a:ext cx="7275830" cy="3515995"/>
          <a:chOff x="0" y="0"/>
          <a:chExt cx="7275830" cy="3515995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/>
        </xdr:nvSpPr>
        <xdr:spPr>
          <a:xfrm>
            <a:off x="0" y="0"/>
            <a:ext cx="7275830" cy="2687320"/>
          </a:xfrm>
          <a:custGeom>
            <a:avLst/>
            <a:gdLst/>
            <a:ahLst/>
            <a:cxnLst/>
            <a:rect l="0" t="0" r="0" b="0"/>
            <a:pathLst>
              <a:path w="7275830" h="2687320">
                <a:moveTo>
                  <a:pt x="347472" y="827532"/>
                </a:moveTo>
                <a:lnTo>
                  <a:pt x="0" y="827532"/>
                </a:lnTo>
                <a:lnTo>
                  <a:pt x="0" y="2273808"/>
                </a:lnTo>
                <a:lnTo>
                  <a:pt x="347472" y="2273808"/>
                </a:lnTo>
                <a:lnTo>
                  <a:pt x="347472" y="827532"/>
                </a:lnTo>
                <a:close/>
              </a:path>
              <a:path w="7275830" h="2687320">
                <a:moveTo>
                  <a:pt x="347472" y="0"/>
                </a:moveTo>
                <a:lnTo>
                  <a:pt x="0" y="0"/>
                </a:lnTo>
                <a:lnTo>
                  <a:pt x="0" y="824484"/>
                </a:lnTo>
                <a:lnTo>
                  <a:pt x="347472" y="824484"/>
                </a:lnTo>
                <a:lnTo>
                  <a:pt x="347472" y="0"/>
                </a:lnTo>
                <a:close/>
              </a:path>
              <a:path w="7275830" h="2687320">
                <a:moveTo>
                  <a:pt x="1408176" y="827532"/>
                </a:moveTo>
                <a:lnTo>
                  <a:pt x="350520" y="827532"/>
                </a:lnTo>
                <a:lnTo>
                  <a:pt x="350520" y="2273808"/>
                </a:lnTo>
                <a:lnTo>
                  <a:pt x="1408176" y="2273808"/>
                </a:lnTo>
                <a:lnTo>
                  <a:pt x="1408176" y="827532"/>
                </a:lnTo>
                <a:close/>
              </a:path>
              <a:path w="7275830" h="2687320">
                <a:moveTo>
                  <a:pt x="1408176" y="0"/>
                </a:moveTo>
                <a:lnTo>
                  <a:pt x="350520" y="0"/>
                </a:lnTo>
                <a:lnTo>
                  <a:pt x="350520" y="824484"/>
                </a:lnTo>
                <a:lnTo>
                  <a:pt x="1408176" y="824484"/>
                </a:lnTo>
                <a:lnTo>
                  <a:pt x="1408176" y="0"/>
                </a:lnTo>
                <a:close/>
              </a:path>
              <a:path w="7275830" h="2687320">
                <a:moveTo>
                  <a:pt x="2819400" y="827532"/>
                </a:moveTo>
                <a:lnTo>
                  <a:pt x="1411224" y="827532"/>
                </a:lnTo>
                <a:lnTo>
                  <a:pt x="1411224" y="2273808"/>
                </a:lnTo>
                <a:lnTo>
                  <a:pt x="2819400" y="2273808"/>
                </a:lnTo>
                <a:lnTo>
                  <a:pt x="2819400" y="827532"/>
                </a:lnTo>
                <a:close/>
              </a:path>
              <a:path w="7275830" h="2687320">
                <a:moveTo>
                  <a:pt x="2819400" y="0"/>
                </a:moveTo>
                <a:lnTo>
                  <a:pt x="1411224" y="0"/>
                </a:lnTo>
                <a:lnTo>
                  <a:pt x="1411224" y="824484"/>
                </a:lnTo>
                <a:lnTo>
                  <a:pt x="2819400" y="824484"/>
                </a:lnTo>
                <a:lnTo>
                  <a:pt x="2819400" y="0"/>
                </a:lnTo>
                <a:close/>
              </a:path>
              <a:path w="7275830" h="268732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68732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68732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68732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68732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68732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68732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68732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68732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68732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68732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68732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68732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687320">
                <a:moveTo>
                  <a:pt x="4093464" y="2484120"/>
                </a:moveTo>
                <a:lnTo>
                  <a:pt x="3384804" y="2484120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4120"/>
                </a:lnTo>
                <a:close/>
              </a:path>
              <a:path w="7275830" h="268732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68732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68732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68732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68732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68732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68732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68732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68732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68732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68732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68732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687320">
                <a:moveTo>
                  <a:pt x="5154168" y="2484120"/>
                </a:moveTo>
                <a:lnTo>
                  <a:pt x="4096512" y="2484120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4120"/>
                </a:lnTo>
                <a:close/>
              </a:path>
              <a:path w="7275830" h="268732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68732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68732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68732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68732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68732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68732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68732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68732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68732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68732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68732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687320">
                <a:moveTo>
                  <a:pt x="6214872" y="2484120"/>
                </a:moveTo>
                <a:lnTo>
                  <a:pt x="5157216" y="2484120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4120"/>
                </a:lnTo>
                <a:close/>
              </a:path>
              <a:path w="7275830" h="268732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68732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68732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68732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68732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68732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68732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68732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68732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68732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68732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68732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687320">
                <a:moveTo>
                  <a:pt x="7275576" y="2484120"/>
                </a:moveTo>
                <a:lnTo>
                  <a:pt x="6217920" y="2484120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4120"/>
                </a:lnTo>
                <a:close/>
              </a:path>
              <a:path w="7275830" h="268732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68732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68732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68732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68732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68732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68732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68732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68732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68732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68732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68732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/>
        </xdr:nvSpPr>
        <xdr:spPr>
          <a:xfrm>
            <a:off x="0" y="2276855"/>
            <a:ext cx="7275830" cy="1239520"/>
          </a:xfrm>
          <a:custGeom>
            <a:avLst/>
            <a:gdLst/>
            <a:ahLst/>
            <a:cxnLst/>
            <a:rect l="0" t="0" r="0" b="0"/>
            <a:pathLst>
              <a:path w="7275830" h="1239520">
                <a:moveTo>
                  <a:pt x="347472" y="0"/>
                </a:moveTo>
                <a:lnTo>
                  <a:pt x="0" y="0"/>
                </a:lnTo>
                <a:lnTo>
                  <a:pt x="0" y="1239012"/>
                </a:lnTo>
                <a:lnTo>
                  <a:pt x="347472" y="1239012"/>
                </a:lnTo>
                <a:lnTo>
                  <a:pt x="347472" y="0"/>
                </a:lnTo>
                <a:close/>
              </a:path>
              <a:path w="7275830" h="1239520">
                <a:moveTo>
                  <a:pt x="1408176" y="0"/>
                </a:moveTo>
                <a:lnTo>
                  <a:pt x="350520" y="0"/>
                </a:lnTo>
                <a:lnTo>
                  <a:pt x="350520" y="1239012"/>
                </a:lnTo>
                <a:lnTo>
                  <a:pt x="1408176" y="1239012"/>
                </a:lnTo>
                <a:lnTo>
                  <a:pt x="1408176" y="0"/>
                </a:lnTo>
                <a:close/>
              </a:path>
              <a:path w="7275830" h="1239520">
                <a:moveTo>
                  <a:pt x="2819400" y="0"/>
                </a:moveTo>
                <a:lnTo>
                  <a:pt x="1411224" y="0"/>
                </a:lnTo>
                <a:lnTo>
                  <a:pt x="1411224" y="1239012"/>
                </a:lnTo>
                <a:lnTo>
                  <a:pt x="2819400" y="1239012"/>
                </a:lnTo>
                <a:lnTo>
                  <a:pt x="2819400" y="0"/>
                </a:lnTo>
                <a:close/>
              </a:path>
              <a:path w="7275830" h="123952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123952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123952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1239520">
                <a:moveTo>
                  <a:pt x="3381756" y="413004"/>
                </a:moveTo>
                <a:lnTo>
                  <a:pt x="2822448" y="413004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3004"/>
                </a:lnTo>
                <a:close/>
              </a:path>
              <a:path w="7275830" h="123952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123952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123952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1239520">
                <a:moveTo>
                  <a:pt x="4093464" y="413004"/>
                </a:moveTo>
                <a:lnTo>
                  <a:pt x="3384804" y="413004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3004"/>
                </a:lnTo>
                <a:close/>
              </a:path>
              <a:path w="7275830" h="123952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123952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123952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1239520">
                <a:moveTo>
                  <a:pt x="5154168" y="413004"/>
                </a:moveTo>
                <a:lnTo>
                  <a:pt x="4096512" y="413004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3004"/>
                </a:lnTo>
                <a:close/>
              </a:path>
              <a:path w="7275830" h="123952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123952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123952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1239520">
                <a:moveTo>
                  <a:pt x="6214872" y="413004"/>
                </a:moveTo>
                <a:lnTo>
                  <a:pt x="5157216" y="413004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3004"/>
                </a:lnTo>
                <a:close/>
              </a:path>
              <a:path w="7275830" h="123952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123952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123952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1239520">
                <a:moveTo>
                  <a:pt x="7275576" y="413004"/>
                </a:moveTo>
                <a:lnTo>
                  <a:pt x="6217920" y="413004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3004"/>
                </a:lnTo>
                <a:close/>
              </a:path>
              <a:path w="7275830" h="1239520">
                <a:moveTo>
                  <a:pt x="7275576" y="207264"/>
                </a:moveTo>
                <a:lnTo>
                  <a:pt x="6217920" y="207264"/>
                </a:lnTo>
                <a:lnTo>
                  <a:pt x="6217920" y="409956"/>
                </a:lnTo>
                <a:lnTo>
                  <a:pt x="7275576" y="409956"/>
                </a:lnTo>
                <a:lnTo>
                  <a:pt x="7275576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23</xdr:row>
      <xdr:rowOff>0</xdr:rowOff>
    </xdr:from>
    <xdr:ext cx="708660" cy="351599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0" y="0"/>
          <a:ext cx="708660" cy="3515995"/>
        </a:xfrm>
        <a:custGeom>
          <a:avLst/>
          <a:gdLst/>
          <a:ahLst/>
          <a:cxnLst/>
          <a:rect l="0" t="0" r="0" b="0"/>
          <a:pathLst>
            <a:path w="708660" h="3515995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3515995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3515995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3515995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3515995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3515995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3515995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3515995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3515995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3515995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3515995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3515995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515995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515995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515995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515995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515995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17</xdr:row>
      <xdr:rowOff>206501</xdr:rowOff>
    </xdr:from>
    <xdr:ext cx="3179445" cy="37528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37" name="image1.jpe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38" name="image2.jpe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39" name="image3.jpe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19</xdr:row>
      <xdr:rowOff>0</xdr:rowOff>
    </xdr:from>
    <xdr:ext cx="7275830" cy="2894330"/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GrpSpPr/>
      </xdr:nvGrpSpPr>
      <xdr:grpSpPr>
        <a:xfrm>
          <a:off x="617854" y="4770120"/>
          <a:ext cx="7275830" cy="2894330"/>
          <a:chOff x="0" y="0"/>
          <a:chExt cx="7275830" cy="2894330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SpPr/>
        </xdr:nvSpPr>
        <xdr:spPr>
          <a:xfrm>
            <a:off x="0" y="0"/>
            <a:ext cx="7275830" cy="2894330"/>
          </a:xfrm>
          <a:custGeom>
            <a:avLst/>
            <a:gdLst/>
            <a:ahLst/>
            <a:cxnLst/>
            <a:rect l="0" t="0" r="0" b="0"/>
            <a:pathLst>
              <a:path w="7275830" h="2894330">
                <a:moveTo>
                  <a:pt x="347472" y="0"/>
                </a:moveTo>
                <a:lnTo>
                  <a:pt x="0" y="0"/>
                </a:lnTo>
                <a:lnTo>
                  <a:pt x="0" y="2894076"/>
                </a:lnTo>
                <a:lnTo>
                  <a:pt x="347472" y="2894076"/>
                </a:lnTo>
                <a:lnTo>
                  <a:pt x="347472" y="0"/>
                </a:lnTo>
                <a:close/>
              </a:path>
              <a:path w="7275830" h="2894330">
                <a:moveTo>
                  <a:pt x="1408176" y="0"/>
                </a:moveTo>
                <a:lnTo>
                  <a:pt x="350520" y="0"/>
                </a:lnTo>
                <a:lnTo>
                  <a:pt x="350520" y="2894076"/>
                </a:lnTo>
                <a:lnTo>
                  <a:pt x="1408176" y="2894076"/>
                </a:lnTo>
                <a:lnTo>
                  <a:pt x="1408176" y="0"/>
                </a:lnTo>
                <a:close/>
              </a:path>
              <a:path w="7275830" h="2894330">
                <a:moveTo>
                  <a:pt x="2819400" y="1034796"/>
                </a:moveTo>
                <a:lnTo>
                  <a:pt x="1411224" y="1034796"/>
                </a:lnTo>
                <a:lnTo>
                  <a:pt x="1411224" y="2894076"/>
                </a:lnTo>
                <a:lnTo>
                  <a:pt x="2819400" y="2894076"/>
                </a:lnTo>
                <a:lnTo>
                  <a:pt x="2819400" y="1034796"/>
                </a:lnTo>
                <a:close/>
              </a:path>
              <a:path w="7275830" h="2894330">
                <a:moveTo>
                  <a:pt x="2819400" y="0"/>
                </a:moveTo>
                <a:lnTo>
                  <a:pt x="1411224" y="0"/>
                </a:lnTo>
                <a:lnTo>
                  <a:pt x="1411224" y="1031748"/>
                </a:lnTo>
                <a:lnTo>
                  <a:pt x="2819400" y="1031748"/>
                </a:lnTo>
                <a:lnTo>
                  <a:pt x="2819400" y="0"/>
                </a:lnTo>
                <a:close/>
              </a:path>
              <a:path w="7275830" h="2894330">
                <a:moveTo>
                  <a:pt x="3381756" y="2689860"/>
                </a:moveTo>
                <a:lnTo>
                  <a:pt x="2822448" y="2689860"/>
                </a:lnTo>
                <a:lnTo>
                  <a:pt x="2822448" y="2894076"/>
                </a:lnTo>
                <a:lnTo>
                  <a:pt x="3381756" y="2894076"/>
                </a:lnTo>
                <a:lnTo>
                  <a:pt x="3381756" y="2689860"/>
                </a:lnTo>
                <a:close/>
              </a:path>
              <a:path w="7275830" h="289433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89433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89433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89433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89433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89433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89433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89433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89433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89433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89433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89433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89433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894330">
                <a:moveTo>
                  <a:pt x="4093464" y="2689860"/>
                </a:moveTo>
                <a:lnTo>
                  <a:pt x="3384804" y="2689860"/>
                </a:lnTo>
                <a:lnTo>
                  <a:pt x="3384804" y="2894076"/>
                </a:lnTo>
                <a:lnTo>
                  <a:pt x="4093464" y="2894076"/>
                </a:lnTo>
                <a:lnTo>
                  <a:pt x="4093464" y="2689860"/>
                </a:lnTo>
                <a:close/>
              </a:path>
              <a:path w="7275830" h="2894330">
                <a:moveTo>
                  <a:pt x="4093464" y="2484120"/>
                </a:moveTo>
                <a:lnTo>
                  <a:pt x="3384804" y="2484120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4120"/>
                </a:lnTo>
                <a:close/>
              </a:path>
              <a:path w="7275830" h="289433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89433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89433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89433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89433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89433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89433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89433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89433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89433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89433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89433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894330">
                <a:moveTo>
                  <a:pt x="5154168" y="2484120"/>
                </a:moveTo>
                <a:lnTo>
                  <a:pt x="4096512" y="2484120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4120"/>
                </a:lnTo>
                <a:close/>
              </a:path>
              <a:path w="7275830" h="289433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89433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89433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89433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89433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89433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89433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89433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89433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89433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89433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89433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894330">
                <a:moveTo>
                  <a:pt x="6214872" y="2484120"/>
                </a:moveTo>
                <a:lnTo>
                  <a:pt x="5157216" y="2484120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4120"/>
                </a:lnTo>
                <a:close/>
              </a:path>
              <a:path w="7275830" h="289433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89433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89433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89433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89433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89433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89433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89433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89433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89433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89433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89433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894330">
                <a:moveTo>
                  <a:pt x="7275576" y="2484120"/>
                </a:moveTo>
                <a:lnTo>
                  <a:pt x="6217920" y="2484120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4120"/>
                </a:lnTo>
                <a:close/>
              </a:path>
              <a:path w="7275830" h="289433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89433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89433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89433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89433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89433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89433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89433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89433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89433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89433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89433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400-00002A000000}"/>
              </a:ext>
            </a:extLst>
          </xdr:cNvPr>
          <xdr:cNvSpPr/>
        </xdr:nvSpPr>
        <xdr:spPr>
          <a:xfrm>
            <a:off x="3384804" y="2689859"/>
            <a:ext cx="3891279" cy="204470"/>
          </a:xfrm>
          <a:custGeom>
            <a:avLst/>
            <a:gdLst/>
            <a:ahLst/>
            <a:cxnLst/>
            <a:rect l="0" t="0" r="0" b="0"/>
            <a:pathLst>
              <a:path w="3891279" h="204470">
                <a:moveTo>
                  <a:pt x="708660" y="0"/>
                </a:moveTo>
                <a:lnTo>
                  <a:pt x="0" y="0"/>
                </a:lnTo>
                <a:lnTo>
                  <a:pt x="0" y="204216"/>
                </a:lnTo>
                <a:lnTo>
                  <a:pt x="708660" y="204216"/>
                </a:lnTo>
                <a:lnTo>
                  <a:pt x="708660" y="0"/>
                </a:lnTo>
                <a:close/>
              </a:path>
              <a:path w="3891279" h="204470">
                <a:moveTo>
                  <a:pt x="1769364" y="0"/>
                </a:moveTo>
                <a:lnTo>
                  <a:pt x="711708" y="0"/>
                </a:lnTo>
                <a:lnTo>
                  <a:pt x="711708" y="204216"/>
                </a:lnTo>
                <a:lnTo>
                  <a:pt x="1769364" y="204216"/>
                </a:lnTo>
                <a:lnTo>
                  <a:pt x="1769364" y="0"/>
                </a:lnTo>
                <a:close/>
              </a:path>
              <a:path w="3891279" h="204470">
                <a:moveTo>
                  <a:pt x="2830068" y="0"/>
                </a:moveTo>
                <a:lnTo>
                  <a:pt x="1772412" y="0"/>
                </a:lnTo>
                <a:lnTo>
                  <a:pt x="1772412" y="204216"/>
                </a:lnTo>
                <a:lnTo>
                  <a:pt x="2830068" y="204216"/>
                </a:lnTo>
                <a:lnTo>
                  <a:pt x="2830068" y="0"/>
                </a:lnTo>
                <a:close/>
              </a:path>
              <a:path w="3891279" h="204470">
                <a:moveTo>
                  <a:pt x="3890772" y="0"/>
                </a:moveTo>
                <a:lnTo>
                  <a:pt x="2833116" y="0"/>
                </a:lnTo>
                <a:lnTo>
                  <a:pt x="2833116" y="204216"/>
                </a:lnTo>
                <a:lnTo>
                  <a:pt x="3890772" y="204216"/>
                </a:lnTo>
                <a:lnTo>
                  <a:pt x="3890772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20</xdr:row>
      <xdr:rowOff>0</xdr:rowOff>
    </xdr:from>
    <xdr:ext cx="708660" cy="289433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0" y="0"/>
          <a:ext cx="708660" cy="2894330"/>
        </a:xfrm>
        <a:custGeom>
          <a:avLst/>
          <a:gdLst/>
          <a:ahLst/>
          <a:cxnLst/>
          <a:rect l="0" t="0" r="0" b="0"/>
          <a:pathLst>
            <a:path w="708660" h="289433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289433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289433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289433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289433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289433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289433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289433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289433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289433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289433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289433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289433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289433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22</xdr:row>
      <xdr:rowOff>206501</xdr:rowOff>
    </xdr:from>
    <xdr:ext cx="3179445" cy="37528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45" name="image1.jpeg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46" name="image2.jpeg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47" name="image3.jpeg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24</xdr:row>
      <xdr:rowOff>0</xdr:rowOff>
    </xdr:from>
    <xdr:ext cx="7275830" cy="4137660"/>
    <xdr:grpSp>
      <xdr:nvGrpSpPr>
        <xdr:cNvPr id="48" name="Group 48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GrpSpPr/>
      </xdr:nvGrpSpPr>
      <xdr:grpSpPr>
        <a:xfrm>
          <a:off x="617854" y="6035040"/>
          <a:ext cx="7275830" cy="4137660"/>
          <a:chOff x="0" y="0"/>
          <a:chExt cx="7275830" cy="4137660"/>
        </a:xfrm>
      </xdr:grpSpPr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500-000031000000}"/>
              </a:ext>
            </a:extLst>
          </xdr:cNvPr>
          <xdr:cNvSpPr/>
        </xdr:nvSpPr>
        <xdr:spPr>
          <a:xfrm>
            <a:off x="1411224" y="0"/>
            <a:ext cx="5864860" cy="2894330"/>
          </a:xfrm>
          <a:custGeom>
            <a:avLst/>
            <a:gdLst/>
            <a:ahLst/>
            <a:cxnLst/>
            <a:rect l="0" t="0" r="0" b="0"/>
            <a:pathLst>
              <a:path w="5864860" h="2894330">
                <a:moveTo>
                  <a:pt x="1408176" y="1656588"/>
                </a:moveTo>
                <a:lnTo>
                  <a:pt x="0" y="1656588"/>
                </a:lnTo>
                <a:lnTo>
                  <a:pt x="0" y="2273808"/>
                </a:lnTo>
                <a:lnTo>
                  <a:pt x="1408176" y="2273808"/>
                </a:lnTo>
                <a:lnTo>
                  <a:pt x="1408176" y="1656588"/>
                </a:lnTo>
                <a:close/>
              </a:path>
              <a:path w="5864860" h="2894330">
                <a:moveTo>
                  <a:pt x="1408176" y="0"/>
                </a:moveTo>
                <a:lnTo>
                  <a:pt x="0" y="0"/>
                </a:lnTo>
                <a:lnTo>
                  <a:pt x="0" y="1653540"/>
                </a:lnTo>
                <a:lnTo>
                  <a:pt x="1408176" y="1653540"/>
                </a:lnTo>
                <a:lnTo>
                  <a:pt x="1408176" y="0"/>
                </a:lnTo>
                <a:close/>
              </a:path>
              <a:path w="5864860" h="2894330">
                <a:moveTo>
                  <a:pt x="1970532" y="2689860"/>
                </a:moveTo>
                <a:lnTo>
                  <a:pt x="1411224" y="2689860"/>
                </a:lnTo>
                <a:lnTo>
                  <a:pt x="1411224" y="2894076"/>
                </a:lnTo>
                <a:lnTo>
                  <a:pt x="1970532" y="2894076"/>
                </a:lnTo>
                <a:lnTo>
                  <a:pt x="1970532" y="2689860"/>
                </a:lnTo>
                <a:close/>
              </a:path>
              <a:path w="5864860" h="2894330">
                <a:moveTo>
                  <a:pt x="1970532" y="2484120"/>
                </a:moveTo>
                <a:lnTo>
                  <a:pt x="1411224" y="2484120"/>
                </a:lnTo>
                <a:lnTo>
                  <a:pt x="1411224" y="2686812"/>
                </a:lnTo>
                <a:lnTo>
                  <a:pt x="1970532" y="2686812"/>
                </a:lnTo>
                <a:lnTo>
                  <a:pt x="1970532" y="2484120"/>
                </a:lnTo>
                <a:close/>
              </a:path>
              <a:path w="5864860" h="2894330">
                <a:moveTo>
                  <a:pt x="1970532" y="2276856"/>
                </a:moveTo>
                <a:lnTo>
                  <a:pt x="1411224" y="2276856"/>
                </a:lnTo>
                <a:lnTo>
                  <a:pt x="1411224" y="2481072"/>
                </a:lnTo>
                <a:lnTo>
                  <a:pt x="1970532" y="2481072"/>
                </a:lnTo>
                <a:lnTo>
                  <a:pt x="1970532" y="2276856"/>
                </a:lnTo>
                <a:close/>
              </a:path>
              <a:path w="5864860" h="2894330">
                <a:moveTo>
                  <a:pt x="1970532" y="2069592"/>
                </a:moveTo>
                <a:lnTo>
                  <a:pt x="1411224" y="2069592"/>
                </a:lnTo>
                <a:lnTo>
                  <a:pt x="1411224" y="2273808"/>
                </a:lnTo>
                <a:lnTo>
                  <a:pt x="1970532" y="2273808"/>
                </a:lnTo>
                <a:lnTo>
                  <a:pt x="1970532" y="2069592"/>
                </a:lnTo>
                <a:close/>
              </a:path>
              <a:path w="5864860" h="2894330">
                <a:moveTo>
                  <a:pt x="1970532" y="1862328"/>
                </a:moveTo>
                <a:lnTo>
                  <a:pt x="1411224" y="1862328"/>
                </a:lnTo>
                <a:lnTo>
                  <a:pt x="1411224" y="2066544"/>
                </a:lnTo>
                <a:lnTo>
                  <a:pt x="1970532" y="2066544"/>
                </a:lnTo>
                <a:lnTo>
                  <a:pt x="1970532" y="1862328"/>
                </a:lnTo>
                <a:close/>
              </a:path>
              <a:path w="5864860" h="2894330">
                <a:moveTo>
                  <a:pt x="1970532" y="1656588"/>
                </a:moveTo>
                <a:lnTo>
                  <a:pt x="1411224" y="1656588"/>
                </a:lnTo>
                <a:lnTo>
                  <a:pt x="1411224" y="1859280"/>
                </a:lnTo>
                <a:lnTo>
                  <a:pt x="1970532" y="1859280"/>
                </a:lnTo>
                <a:lnTo>
                  <a:pt x="1970532" y="1656588"/>
                </a:lnTo>
                <a:close/>
              </a:path>
              <a:path w="5864860" h="2894330">
                <a:moveTo>
                  <a:pt x="1970532" y="1449324"/>
                </a:moveTo>
                <a:lnTo>
                  <a:pt x="1411224" y="1449324"/>
                </a:lnTo>
                <a:lnTo>
                  <a:pt x="1411224" y="1653540"/>
                </a:lnTo>
                <a:lnTo>
                  <a:pt x="1970532" y="1653540"/>
                </a:lnTo>
                <a:lnTo>
                  <a:pt x="1970532" y="1449324"/>
                </a:lnTo>
                <a:close/>
              </a:path>
              <a:path w="5864860" h="2894330">
                <a:moveTo>
                  <a:pt x="1970532" y="1242060"/>
                </a:moveTo>
                <a:lnTo>
                  <a:pt x="1411224" y="1242060"/>
                </a:lnTo>
                <a:lnTo>
                  <a:pt x="1411224" y="1446276"/>
                </a:lnTo>
                <a:lnTo>
                  <a:pt x="1970532" y="1446276"/>
                </a:lnTo>
                <a:lnTo>
                  <a:pt x="1970532" y="1242060"/>
                </a:lnTo>
                <a:close/>
              </a:path>
              <a:path w="5864860" h="2894330">
                <a:moveTo>
                  <a:pt x="1970532" y="1034796"/>
                </a:moveTo>
                <a:lnTo>
                  <a:pt x="1411224" y="1034796"/>
                </a:lnTo>
                <a:lnTo>
                  <a:pt x="1411224" y="1239012"/>
                </a:lnTo>
                <a:lnTo>
                  <a:pt x="1970532" y="1239012"/>
                </a:lnTo>
                <a:lnTo>
                  <a:pt x="1970532" y="1034796"/>
                </a:lnTo>
                <a:close/>
              </a:path>
              <a:path w="5864860" h="2894330">
                <a:moveTo>
                  <a:pt x="1970532" y="827532"/>
                </a:moveTo>
                <a:lnTo>
                  <a:pt x="1411224" y="827532"/>
                </a:lnTo>
                <a:lnTo>
                  <a:pt x="1411224" y="1031748"/>
                </a:lnTo>
                <a:lnTo>
                  <a:pt x="1970532" y="1031748"/>
                </a:lnTo>
                <a:lnTo>
                  <a:pt x="1970532" y="827532"/>
                </a:lnTo>
                <a:close/>
              </a:path>
              <a:path w="5864860" h="2894330">
                <a:moveTo>
                  <a:pt x="1970532" y="620268"/>
                </a:moveTo>
                <a:lnTo>
                  <a:pt x="1411224" y="620268"/>
                </a:lnTo>
                <a:lnTo>
                  <a:pt x="1411224" y="824484"/>
                </a:lnTo>
                <a:lnTo>
                  <a:pt x="1970532" y="824484"/>
                </a:lnTo>
                <a:lnTo>
                  <a:pt x="1970532" y="620268"/>
                </a:lnTo>
                <a:close/>
              </a:path>
              <a:path w="5864860" h="2894330">
                <a:moveTo>
                  <a:pt x="1970532" y="414528"/>
                </a:moveTo>
                <a:lnTo>
                  <a:pt x="1411224" y="414528"/>
                </a:lnTo>
                <a:lnTo>
                  <a:pt x="1411224" y="617220"/>
                </a:lnTo>
                <a:lnTo>
                  <a:pt x="1970532" y="617220"/>
                </a:lnTo>
                <a:lnTo>
                  <a:pt x="1970532" y="414528"/>
                </a:lnTo>
                <a:close/>
              </a:path>
              <a:path w="5864860" h="2894330">
                <a:moveTo>
                  <a:pt x="1970532" y="207264"/>
                </a:moveTo>
                <a:lnTo>
                  <a:pt x="1411224" y="207264"/>
                </a:lnTo>
                <a:lnTo>
                  <a:pt x="1411224" y="411480"/>
                </a:lnTo>
                <a:lnTo>
                  <a:pt x="1970532" y="411480"/>
                </a:lnTo>
                <a:lnTo>
                  <a:pt x="1970532" y="207264"/>
                </a:lnTo>
                <a:close/>
              </a:path>
              <a:path w="5864860" h="2894330">
                <a:moveTo>
                  <a:pt x="1970532" y="0"/>
                </a:moveTo>
                <a:lnTo>
                  <a:pt x="1411224" y="0"/>
                </a:lnTo>
                <a:lnTo>
                  <a:pt x="1411224" y="204216"/>
                </a:lnTo>
                <a:lnTo>
                  <a:pt x="1970532" y="204216"/>
                </a:lnTo>
                <a:lnTo>
                  <a:pt x="1970532" y="0"/>
                </a:lnTo>
                <a:close/>
              </a:path>
              <a:path w="5864860" h="2894330">
                <a:moveTo>
                  <a:pt x="2682240" y="2689860"/>
                </a:moveTo>
                <a:lnTo>
                  <a:pt x="1973580" y="2689860"/>
                </a:lnTo>
                <a:lnTo>
                  <a:pt x="1973580" y="2894076"/>
                </a:lnTo>
                <a:lnTo>
                  <a:pt x="2682240" y="2894076"/>
                </a:lnTo>
                <a:lnTo>
                  <a:pt x="2682240" y="2689860"/>
                </a:lnTo>
                <a:close/>
              </a:path>
              <a:path w="5864860" h="2894330">
                <a:moveTo>
                  <a:pt x="2682240" y="2484120"/>
                </a:moveTo>
                <a:lnTo>
                  <a:pt x="1973580" y="2484120"/>
                </a:lnTo>
                <a:lnTo>
                  <a:pt x="1973580" y="2686812"/>
                </a:lnTo>
                <a:lnTo>
                  <a:pt x="2682240" y="2686812"/>
                </a:lnTo>
                <a:lnTo>
                  <a:pt x="2682240" y="2484120"/>
                </a:lnTo>
                <a:close/>
              </a:path>
              <a:path w="5864860" h="2894330">
                <a:moveTo>
                  <a:pt x="2682240" y="2276856"/>
                </a:moveTo>
                <a:lnTo>
                  <a:pt x="1973580" y="2276856"/>
                </a:lnTo>
                <a:lnTo>
                  <a:pt x="1973580" y="2481072"/>
                </a:lnTo>
                <a:lnTo>
                  <a:pt x="2682240" y="2481072"/>
                </a:lnTo>
                <a:lnTo>
                  <a:pt x="2682240" y="2276856"/>
                </a:lnTo>
                <a:close/>
              </a:path>
              <a:path w="5864860" h="2894330">
                <a:moveTo>
                  <a:pt x="2682240" y="2069592"/>
                </a:moveTo>
                <a:lnTo>
                  <a:pt x="1973580" y="2069592"/>
                </a:lnTo>
                <a:lnTo>
                  <a:pt x="1973580" y="2273808"/>
                </a:lnTo>
                <a:lnTo>
                  <a:pt x="2682240" y="2273808"/>
                </a:lnTo>
                <a:lnTo>
                  <a:pt x="2682240" y="2069592"/>
                </a:lnTo>
                <a:close/>
              </a:path>
              <a:path w="5864860" h="2894330">
                <a:moveTo>
                  <a:pt x="2682240" y="1862328"/>
                </a:moveTo>
                <a:lnTo>
                  <a:pt x="1973580" y="1862328"/>
                </a:lnTo>
                <a:lnTo>
                  <a:pt x="1973580" y="2066544"/>
                </a:lnTo>
                <a:lnTo>
                  <a:pt x="2682240" y="2066544"/>
                </a:lnTo>
                <a:lnTo>
                  <a:pt x="2682240" y="1862328"/>
                </a:lnTo>
                <a:close/>
              </a:path>
              <a:path w="5864860" h="2894330">
                <a:moveTo>
                  <a:pt x="2682240" y="1656588"/>
                </a:moveTo>
                <a:lnTo>
                  <a:pt x="1973580" y="1656588"/>
                </a:lnTo>
                <a:lnTo>
                  <a:pt x="1973580" y="1859280"/>
                </a:lnTo>
                <a:lnTo>
                  <a:pt x="2682240" y="1859280"/>
                </a:lnTo>
                <a:lnTo>
                  <a:pt x="2682240" y="1656588"/>
                </a:lnTo>
                <a:close/>
              </a:path>
              <a:path w="5864860" h="2894330">
                <a:moveTo>
                  <a:pt x="2682240" y="1449324"/>
                </a:moveTo>
                <a:lnTo>
                  <a:pt x="1973580" y="1449324"/>
                </a:lnTo>
                <a:lnTo>
                  <a:pt x="1973580" y="1653540"/>
                </a:lnTo>
                <a:lnTo>
                  <a:pt x="2682240" y="1653540"/>
                </a:lnTo>
                <a:lnTo>
                  <a:pt x="2682240" y="1449324"/>
                </a:lnTo>
                <a:close/>
              </a:path>
              <a:path w="5864860" h="2894330">
                <a:moveTo>
                  <a:pt x="2682240" y="1242060"/>
                </a:moveTo>
                <a:lnTo>
                  <a:pt x="1973580" y="1242060"/>
                </a:lnTo>
                <a:lnTo>
                  <a:pt x="1973580" y="1446276"/>
                </a:lnTo>
                <a:lnTo>
                  <a:pt x="2682240" y="1446276"/>
                </a:lnTo>
                <a:lnTo>
                  <a:pt x="2682240" y="1242060"/>
                </a:lnTo>
                <a:close/>
              </a:path>
              <a:path w="5864860" h="2894330">
                <a:moveTo>
                  <a:pt x="2682240" y="1034796"/>
                </a:moveTo>
                <a:lnTo>
                  <a:pt x="1973580" y="1034796"/>
                </a:lnTo>
                <a:lnTo>
                  <a:pt x="1973580" y="1239012"/>
                </a:lnTo>
                <a:lnTo>
                  <a:pt x="2682240" y="1239012"/>
                </a:lnTo>
                <a:lnTo>
                  <a:pt x="2682240" y="1034796"/>
                </a:lnTo>
                <a:close/>
              </a:path>
              <a:path w="5864860" h="2894330">
                <a:moveTo>
                  <a:pt x="2682240" y="827532"/>
                </a:moveTo>
                <a:lnTo>
                  <a:pt x="1973580" y="827532"/>
                </a:lnTo>
                <a:lnTo>
                  <a:pt x="1973580" y="1031748"/>
                </a:lnTo>
                <a:lnTo>
                  <a:pt x="2682240" y="1031748"/>
                </a:lnTo>
                <a:lnTo>
                  <a:pt x="2682240" y="827532"/>
                </a:lnTo>
                <a:close/>
              </a:path>
              <a:path w="5864860" h="2894330">
                <a:moveTo>
                  <a:pt x="2682240" y="620268"/>
                </a:moveTo>
                <a:lnTo>
                  <a:pt x="1973580" y="620268"/>
                </a:lnTo>
                <a:lnTo>
                  <a:pt x="1973580" y="824484"/>
                </a:lnTo>
                <a:lnTo>
                  <a:pt x="2682240" y="824484"/>
                </a:lnTo>
                <a:lnTo>
                  <a:pt x="2682240" y="620268"/>
                </a:lnTo>
                <a:close/>
              </a:path>
              <a:path w="5864860" h="2894330">
                <a:moveTo>
                  <a:pt x="2682240" y="414528"/>
                </a:moveTo>
                <a:lnTo>
                  <a:pt x="1973580" y="414528"/>
                </a:lnTo>
                <a:lnTo>
                  <a:pt x="1973580" y="617220"/>
                </a:lnTo>
                <a:lnTo>
                  <a:pt x="2682240" y="617220"/>
                </a:lnTo>
                <a:lnTo>
                  <a:pt x="2682240" y="414528"/>
                </a:lnTo>
                <a:close/>
              </a:path>
              <a:path w="5864860" h="2894330">
                <a:moveTo>
                  <a:pt x="2682240" y="207264"/>
                </a:moveTo>
                <a:lnTo>
                  <a:pt x="1973580" y="207264"/>
                </a:lnTo>
                <a:lnTo>
                  <a:pt x="1973580" y="411480"/>
                </a:lnTo>
                <a:lnTo>
                  <a:pt x="2682240" y="411480"/>
                </a:lnTo>
                <a:lnTo>
                  <a:pt x="2682240" y="207264"/>
                </a:lnTo>
                <a:close/>
              </a:path>
              <a:path w="5864860" h="2894330">
                <a:moveTo>
                  <a:pt x="2682240" y="0"/>
                </a:moveTo>
                <a:lnTo>
                  <a:pt x="1973580" y="0"/>
                </a:lnTo>
                <a:lnTo>
                  <a:pt x="1973580" y="204216"/>
                </a:lnTo>
                <a:lnTo>
                  <a:pt x="2682240" y="204216"/>
                </a:lnTo>
                <a:lnTo>
                  <a:pt x="2682240" y="0"/>
                </a:lnTo>
                <a:close/>
              </a:path>
              <a:path w="5864860" h="2894330">
                <a:moveTo>
                  <a:pt x="3742944" y="2689860"/>
                </a:moveTo>
                <a:lnTo>
                  <a:pt x="2685288" y="2689860"/>
                </a:lnTo>
                <a:lnTo>
                  <a:pt x="2685288" y="2894076"/>
                </a:lnTo>
                <a:lnTo>
                  <a:pt x="3742944" y="2894076"/>
                </a:lnTo>
                <a:lnTo>
                  <a:pt x="3742944" y="2689860"/>
                </a:lnTo>
                <a:close/>
              </a:path>
              <a:path w="5864860" h="2894330">
                <a:moveTo>
                  <a:pt x="3742944" y="2484120"/>
                </a:moveTo>
                <a:lnTo>
                  <a:pt x="2685288" y="2484120"/>
                </a:lnTo>
                <a:lnTo>
                  <a:pt x="2685288" y="2686812"/>
                </a:lnTo>
                <a:lnTo>
                  <a:pt x="3742944" y="2686812"/>
                </a:lnTo>
                <a:lnTo>
                  <a:pt x="3742944" y="2484120"/>
                </a:lnTo>
                <a:close/>
              </a:path>
              <a:path w="5864860" h="2894330">
                <a:moveTo>
                  <a:pt x="3742944" y="2276856"/>
                </a:moveTo>
                <a:lnTo>
                  <a:pt x="2685288" y="2276856"/>
                </a:lnTo>
                <a:lnTo>
                  <a:pt x="2685288" y="2481072"/>
                </a:lnTo>
                <a:lnTo>
                  <a:pt x="3742944" y="2481072"/>
                </a:lnTo>
                <a:lnTo>
                  <a:pt x="3742944" y="2276856"/>
                </a:lnTo>
                <a:close/>
              </a:path>
              <a:path w="5864860" h="2894330">
                <a:moveTo>
                  <a:pt x="3742944" y="2069592"/>
                </a:moveTo>
                <a:lnTo>
                  <a:pt x="2685288" y="2069592"/>
                </a:lnTo>
                <a:lnTo>
                  <a:pt x="2685288" y="2273808"/>
                </a:lnTo>
                <a:lnTo>
                  <a:pt x="3742944" y="2273808"/>
                </a:lnTo>
                <a:lnTo>
                  <a:pt x="3742944" y="2069592"/>
                </a:lnTo>
                <a:close/>
              </a:path>
              <a:path w="5864860" h="2894330">
                <a:moveTo>
                  <a:pt x="3742944" y="1862328"/>
                </a:moveTo>
                <a:lnTo>
                  <a:pt x="2685288" y="1862328"/>
                </a:lnTo>
                <a:lnTo>
                  <a:pt x="2685288" y="2066544"/>
                </a:lnTo>
                <a:lnTo>
                  <a:pt x="3742944" y="2066544"/>
                </a:lnTo>
                <a:lnTo>
                  <a:pt x="3742944" y="1862328"/>
                </a:lnTo>
                <a:close/>
              </a:path>
              <a:path w="5864860" h="2894330">
                <a:moveTo>
                  <a:pt x="3742944" y="1656588"/>
                </a:moveTo>
                <a:lnTo>
                  <a:pt x="2685288" y="1656588"/>
                </a:lnTo>
                <a:lnTo>
                  <a:pt x="2685288" y="1859280"/>
                </a:lnTo>
                <a:lnTo>
                  <a:pt x="3742944" y="1859280"/>
                </a:lnTo>
                <a:lnTo>
                  <a:pt x="3742944" y="1656588"/>
                </a:lnTo>
                <a:close/>
              </a:path>
              <a:path w="5864860" h="2894330">
                <a:moveTo>
                  <a:pt x="3742944" y="1449324"/>
                </a:moveTo>
                <a:lnTo>
                  <a:pt x="2685288" y="1449324"/>
                </a:lnTo>
                <a:lnTo>
                  <a:pt x="2685288" y="1653540"/>
                </a:lnTo>
                <a:lnTo>
                  <a:pt x="3742944" y="1653540"/>
                </a:lnTo>
                <a:lnTo>
                  <a:pt x="3742944" y="1449324"/>
                </a:lnTo>
                <a:close/>
              </a:path>
              <a:path w="5864860" h="2894330">
                <a:moveTo>
                  <a:pt x="3742944" y="1242060"/>
                </a:moveTo>
                <a:lnTo>
                  <a:pt x="2685288" y="1242060"/>
                </a:lnTo>
                <a:lnTo>
                  <a:pt x="2685288" y="1446276"/>
                </a:lnTo>
                <a:lnTo>
                  <a:pt x="3742944" y="1446276"/>
                </a:lnTo>
                <a:lnTo>
                  <a:pt x="3742944" y="1242060"/>
                </a:lnTo>
                <a:close/>
              </a:path>
              <a:path w="5864860" h="2894330">
                <a:moveTo>
                  <a:pt x="3742944" y="1034796"/>
                </a:moveTo>
                <a:lnTo>
                  <a:pt x="2685288" y="1034796"/>
                </a:lnTo>
                <a:lnTo>
                  <a:pt x="2685288" y="1239012"/>
                </a:lnTo>
                <a:lnTo>
                  <a:pt x="3742944" y="1239012"/>
                </a:lnTo>
                <a:lnTo>
                  <a:pt x="3742944" y="1034796"/>
                </a:lnTo>
                <a:close/>
              </a:path>
              <a:path w="5864860" h="2894330">
                <a:moveTo>
                  <a:pt x="3742944" y="827532"/>
                </a:moveTo>
                <a:lnTo>
                  <a:pt x="2685288" y="827532"/>
                </a:lnTo>
                <a:lnTo>
                  <a:pt x="2685288" y="1031748"/>
                </a:lnTo>
                <a:lnTo>
                  <a:pt x="3742944" y="1031748"/>
                </a:lnTo>
                <a:lnTo>
                  <a:pt x="3742944" y="827532"/>
                </a:lnTo>
                <a:close/>
              </a:path>
              <a:path w="5864860" h="2894330">
                <a:moveTo>
                  <a:pt x="3742944" y="620268"/>
                </a:moveTo>
                <a:lnTo>
                  <a:pt x="2685288" y="620268"/>
                </a:lnTo>
                <a:lnTo>
                  <a:pt x="2685288" y="824484"/>
                </a:lnTo>
                <a:lnTo>
                  <a:pt x="3742944" y="824484"/>
                </a:lnTo>
                <a:lnTo>
                  <a:pt x="3742944" y="620268"/>
                </a:lnTo>
                <a:close/>
              </a:path>
              <a:path w="5864860" h="2894330">
                <a:moveTo>
                  <a:pt x="3742944" y="414528"/>
                </a:moveTo>
                <a:lnTo>
                  <a:pt x="2685288" y="414528"/>
                </a:lnTo>
                <a:lnTo>
                  <a:pt x="2685288" y="617220"/>
                </a:lnTo>
                <a:lnTo>
                  <a:pt x="3742944" y="617220"/>
                </a:lnTo>
                <a:lnTo>
                  <a:pt x="3742944" y="414528"/>
                </a:lnTo>
                <a:close/>
              </a:path>
              <a:path w="5864860" h="2894330">
                <a:moveTo>
                  <a:pt x="3742944" y="207264"/>
                </a:moveTo>
                <a:lnTo>
                  <a:pt x="2685288" y="207264"/>
                </a:lnTo>
                <a:lnTo>
                  <a:pt x="2685288" y="411480"/>
                </a:lnTo>
                <a:lnTo>
                  <a:pt x="3742944" y="411480"/>
                </a:lnTo>
                <a:lnTo>
                  <a:pt x="3742944" y="207264"/>
                </a:lnTo>
                <a:close/>
              </a:path>
              <a:path w="5864860" h="2894330">
                <a:moveTo>
                  <a:pt x="3742944" y="0"/>
                </a:moveTo>
                <a:lnTo>
                  <a:pt x="2685288" y="0"/>
                </a:lnTo>
                <a:lnTo>
                  <a:pt x="2685288" y="204216"/>
                </a:lnTo>
                <a:lnTo>
                  <a:pt x="3742944" y="204216"/>
                </a:lnTo>
                <a:lnTo>
                  <a:pt x="3742944" y="0"/>
                </a:lnTo>
                <a:close/>
              </a:path>
              <a:path w="5864860" h="2894330">
                <a:moveTo>
                  <a:pt x="4803648" y="2689860"/>
                </a:moveTo>
                <a:lnTo>
                  <a:pt x="3745992" y="2689860"/>
                </a:lnTo>
                <a:lnTo>
                  <a:pt x="3745992" y="2894076"/>
                </a:lnTo>
                <a:lnTo>
                  <a:pt x="4803648" y="2894076"/>
                </a:lnTo>
                <a:lnTo>
                  <a:pt x="4803648" y="2689860"/>
                </a:lnTo>
                <a:close/>
              </a:path>
              <a:path w="5864860" h="2894330">
                <a:moveTo>
                  <a:pt x="4803648" y="2484120"/>
                </a:moveTo>
                <a:lnTo>
                  <a:pt x="3745992" y="2484120"/>
                </a:lnTo>
                <a:lnTo>
                  <a:pt x="3745992" y="2686812"/>
                </a:lnTo>
                <a:lnTo>
                  <a:pt x="4803648" y="2686812"/>
                </a:lnTo>
                <a:lnTo>
                  <a:pt x="4803648" y="2484120"/>
                </a:lnTo>
                <a:close/>
              </a:path>
              <a:path w="5864860" h="2894330">
                <a:moveTo>
                  <a:pt x="4803648" y="2276856"/>
                </a:moveTo>
                <a:lnTo>
                  <a:pt x="3745992" y="2276856"/>
                </a:lnTo>
                <a:lnTo>
                  <a:pt x="3745992" y="2481072"/>
                </a:lnTo>
                <a:lnTo>
                  <a:pt x="4803648" y="2481072"/>
                </a:lnTo>
                <a:lnTo>
                  <a:pt x="4803648" y="2276856"/>
                </a:lnTo>
                <a:close/>
              </a:path>
              <a:path w="5864860" h="2894330">
                <a:moveTo>
                  <a:pt x="4803648" y="2069592"/>
                </a:moveTo>
                <a:lnTo>
                  <a:pt x="3745992" y="2069592"/>
                </a:lnTo>
                <a:lnTo>
                  <a:pt x="3745992" y="2273808"/>
                </a:lnTo>
                <a:lnTo>
                  <a:pt x="4803648" y="2273808"/>
                </a:lnTo>
                <a:lnTo>
                  <a:pt x="4803648" y="2069592"/>
                </a:lnTo>
                <a:close/>
              </a:path>
              <a:path w="5864860" h="2894330">
                <a:moveTo>
                  <a:pt x="4803648" y="1862328"/>
                </a:moveTo>
                <a:lnTo>
                  <a:pt x="3745992" y="1862328"/>
                </a:lnTo>
                <a:lnTo>
                  <a:pt x="3745992" y="2066544"/>
                </a:lnTo>
                <a:lnTo>
                  <a:pt x="4803648" y="2066544"/>
                </a:lnTo>
                <a:lnTo>
                  <a:pt x="4803648" y="1862328"/>
                </a:lnTo>
                <a:close/>
              </a:path>
              <a:path w="5864860" h="2894330">
                <a:moveTo>
                  <a:pt x="4803648" y="1656588"/>
                </a:moveTo>
                <a:lnTo>
                  <a:pt x="3745992" y="1656588"/>
                </a:lnTo>
                <a:lnTo>
                  <a:pt x="3745992" y="1859280"/>
                </a:lnTo>
                <a:lnTo>
                  <a:pt x="4803648" y="1859280"/>
                </a:lnTo>
                <a:lnTo>
                  <a:pt x="4803648" y="1656588"/>
                </a:lnTo>
                <a:close/>
              </a:path>
              <a:path w="5864860" h="2894330">
                <a:moveTo>
                  <a:pt x="4803648" y="1449324"/>
                </a:moveTo>
                <a:lnTo>
                  <a:pt x="3745992" y="1449324"/>
                </a:lnTo>
                <a:lnTo>
                  <a:pt x="3745992" y="1653540"/>
                </a:lnTo>
                <a:lnTo>
                  <a:pt x="4803648" y="1653540"/>
                </a:lnTo>
                <a:lnTo>
                  <a:pt x="4803648" y="1449324"/>
                </a:lnTo>
                <a:close/>
              </a:path>
              <a:path w="5864860" h="2894330">
                <a:moveTo>
                  <a:pt x="4803648" y="1242060"/>
                </a:moveTo>
                <a:lnTo>
                  <a:pt x="3745992" y="1242060"/>
                </a:lnTo>
                <a:lnTo>
                  <a:pt x="3745992" y="1446276"/>
                </a:lnTo>
                <a:lnTo>
                  <a:pt x="4803648" y="1446276"/>
                </a:lnTo>
                <a:lnTo>
                  <a:pt x="4803648" y="1242060"/>
                </a:lnTo>
                <a:close/>
              </a:path>
              <a:path w="5864860" h="2894330">
                <a:moveTo>
                  <a:pt x="4803648" y="1034796"/>
                </a:moveTo>
                <a:lnTo>
                  <a:pt x="3745992" y="1034796"/>
                </a:lnTo>
                <a:lnTo>
                  <a:pt x="3745992" y="1239012"/>
                </a:lnTo>
                <a:lnTo>
                  <a:pt x="4803648" y="1239012"/>
                </a:lnTo>
                <a:lnTo>
                  <a:pt x="4803648" y="1034796"/>
                </a:lnTo>
                <a:close/>
              </a:path>
              <a:path w="5864860" h="2894330">
                <a:moveTo>
                  <a:pt x="4803648" y="827532"/>
                </a:moveTo>
                <a:lnTo>
                  <a:pt x="3745992" y="827532"/>
                </a:lnTo>
                <a:lnTo>
                  <a:pt x="3745992" y="1031748"/>
                </a:lnTo>
                <a:lnTo>
                  <a:pt x="4803648" y="1031748"/>
                </a:lnTo>
                <a:lnTo>
                  <a:pt x="4803648" y="827532"/>
                </a:lnTo>
                <a:close/>
              </a:path>
              <a:path w="5864860" h="2894330">
                <a:moveTo>
                  <a:pt x="4803648" y="620268"/>
                </a:moveTo>
                <a:lnTo>
                  <a:pt x="3745992" y="620268"/>
                </a:lnTo>
                <a:lnTo>
                  <a:pt x="3745992" y="824484"/>
                </a:lnTo>
                <a:lnTo>
                  <a:pt x="4803648" y="824484"/>
                </a:lnTo>
                <a:lnTo>
                  <a:pt x="4803648" y="620268"/>
                </a:lnTo>
                <a:close/>
              </a:path>
              <a:path w="5864860" h="2894330">
                <a:moveTo>
                  <a:pt x="4803648" y="414528"/>
                </a:moveTo>
                <a:lnTo>
                  <a:pt x="3745992" y="414528"/>
                </a:lnTo>
                <a:lnTo>
                  <a:pt x="3745992" y="617220"/>
                </a:lnTo>
                <a:lnTo>
                  <a:pt x="4803648" y="617220"/>
                </a:lnTo>
                <a:lnTo>
                  <a:pt x="4803648" y="414528"/>
                </a:lnTo>
                <a:close/>
              </a:path>
              <a:path w="5864860" h="2894330">
                <a:moveTo>
                  <a:pt x="4803648" y="207264"/>
                </a:moveTo>
                <a:lnTo>
                  <a:pt x="3745992" y="207264"/>
                </a:lnTo>
                <a:lnTo>
                  <a:pt x="3745992" y="411480"/>
                </a:lnTo>
                <a:lnTo>
                  <a:pt x="4803648" y="411480"/>
                </a:lnTo>
                <a:lnTo>
                  <a:pt x="4803648" y="207264"/>
                </a:lnTo>
                <a:close/>
              </a:path>
              <a:path w="5864860" h="2894330">
                <a:moveTo>
                  <a:pt x="4803648" y="0"/>
                </a:moveTo>
                <a:lnTo>
                  <a:pt x="3745992" y="0"/>
                </a:lnTo>
                <a:lnTo>
                  <a:pt x="3745992" y="204216"/>
                </a:lnTo>
                <a:lnTo>
                  <a:pt x="4803648" y="204216"/>
                </a:lnTo>
                <a:lnTo>
                  <a:pt x="4803648" y="0"/>
                </a:lnTo>
                <a:close/>
              </a:path>
              <a:path w="5864860" h="2894330">
                <a:moveTo>
                  <a:pt x="5864352" y="2484120"/>
                </a:moveTo>
                <a:lnTo>
                  <a:pt x="4806696" y="2484120"/>
                </a:lnTo>
                <a:lnTo>
                  <a:pt x="4806696" y="2686812"/>
                </a:lnTo>
                <a:lnTo>
                  <a:pt x="5864352" y="2686812"/>
                </a:lnTo>
                <a:lnTo>
                  <a:pt x="5864352" y="2484120"/>
                </a:lnTo>
                <a:close/>
              </a:path>
              <a:path w="5864860" h="2894330">
                <a:moveTo>
                  <a:pt x="5864352" y="2276856"/>
                </a:moveTo>
                <a:lnTo>
                  <a:pt x="4806696" y="2276856"/>
                </a:lnTo>
                <a:lnTo>
                  <a:pt x="4806696" y="2481072"/>
                </a:lnTo>
                <a:lnTo>
                  <a:pt x="5864352" y="2481072"/>
                </a:lnTo>
                <a:lnTo>
                  <a:pt x="5864352" y="2276856"/>
                </a:lnTo>
                <a:close/>
              </a:path>
              <a:path w="5864860" h="2894330">
                <a:moveTo>
                  <a:pt x="5864352" y="2069592"/>
                </a:moveTo>
                <a:lnTo>
                  <a:pt x="4806696" y="2069592"/>
                </a:lnTo>
                <a:lnTo>
                  <a:pt x="4806696" y="2273808"/>
                </a:lnTo>
                <a:lnTo>
                  <a:pt x="5864352" y="2273808"/>
                </a:lnTo>
                <a:lnTo>
                  <a:pt x="5864352" y="2069592"/>
                </a:lnTo>
                <a:close/>
              </a:path>
              <a:path w="5864860" h="2894330">
                <a:moveTo>
                  <a:pt x="5864352" y="1862328"/>
                </a:moveTo>
                <a:lnTo>
                  <a:pt x="4806696" y="1862328"/>
                </a:lnTo>
                <a:lnTo>
                  <a:pt x="4806696" y="2066544"/>
                </a:lnTo>
                <a:lnTo>
                  <a:pt x="5864352" y="2066544"/>
                </a:lnTo>
                <a:lnTo>
                  <a:pt x="5864352" y="1862328"/>
                </a:lnTo>
                <a:close/>
              </a:path>
              <a:path w="5864860" h="2894330">
                <a:moveTo>
                  <a:pt x="5864352" y="1656588"/>
                </a:moveTo>
                <a:lnTo>
                  <a:pt x="4806696" y="1656588"/>
                </a:lnTo>
                <a:lnTo>
                  <a:pt x="4806696" y="1859280"/>
                </a:lnTo>
                <a:lnTo>
                  <a:pt x="5864352" y="1859280"/>
                </a:lnTo>
                <a:lnTo>
                  <a:pt x="5864352" y="1656588"/>
                </a:lnTo>
                <a:close/>
              </a:path>
              <a:path w="5864860" h="2894330">
                <a:moveTo>
                  <a:pt x="5864352" y="1449324"/>
                </a:moveTo>
                <a:lnTo>
                  <a:pt x="4806696" y="1449324"/>
                </a:lnTo>
                <a:lnTo>
                  <a:pt x="4806696" y="1653540"/>
                </a:lnTo>
                <a:lnTo>
                  <a:pt x="5864352" y="1653540"/>
                </a:lnTo>
                <a:lnTo>
                  <a:pt x="5864352" y="1449324"/>
                </a:lnTo>
                <a:close/>
              </a:path>
              <a:path w="5864860" h="2894330">
                <a:moveTo>
                  <a:pt x="5864352" y="1242060"/>
                </a:moveTo>
                <a:lnTo>
                  <a:pt x="4806696" y="1242060"/>
                </a:lnTo>
                <a:lnTo>
                  <a:pt x="4806696" y="1446276"/>
                </a:lnTo>
                <a:lnTo>
                  <a:pt x="5864352" y="1446276"/>
                </a:lnTo>
                <a:lnTo>
                  <a:pt x="5864352" y="1242060"/>
                </a:lnTo>
                <a:close/>
              </a:path>
              <a:path w="5864860" h="2894330">
                <a:moveTo>
                  <a:pt x="5864352" y="1034796"/>
                </a:moveTo>
                <a:lnTo>
                  <a:pt x="4806696" y="1034796"/>
                </a:lnTo>
                <a:lnTo>
                  <a:pt x="4806696" y="1239012"/>
                </a:lnTo>
                <a:lnTo>
                  <a:pt x="5864352" y="1239012"/>
                </a:lnTo>
                <a:lnTo>
                  <a:pt x="5864352" y="1034796"/>
                </a:lnTo>
                <a:close/>
              </a:path>
              <a:path w="5864860" h="2894330">
                <a:moveTo>
                  <a:pt x="5864352" y="827532"/>
                </a:moveTo>
                <a:lnTo>
                  <a:pt x="4806696" y="827532"/>
                </a:lnTo>
                <a:lnTo>
                  <a:pt x="4806696" y="1031748"/>
                </a:lnTo>
                <a:lnTo>
                  <a:pt x="5864352" y="1031748"/>
                </a:lnTo>
                <a:lnTo>
                  <a:pt x="5864352" y="827532"/>
                </a:lnTo>
                <a:close/>
              </a:path>
              <a:path w="5864860" h="2894330">
                <a:moveTo>
                  <a:pt x="5864352" y="620268"/>
                </a:moveTo>
                <a:lnTo>
                  <a:pt x="4806696" y="620268"/>
                </a:lnTo>
                <a:lnTo>
                  <a:pt x="4806696" y="824484"/>
                </a:lnTo>
                <a:lnTo>
                  <a:pt x="5864352" y="824484"/>
                </a:lnTo>
                <a:lnTo>
                  <a:pt x="5864352" y="620268"/>
                </a:lnTo>
                <a:close/>
              </a:path>
              <a:path w="5864860" h="2894330">
                <a:moveTo>
                  <a:pt x="5864352" y="414528"/>
                </a:moveTo>
                <a:lnTo>
                  <a:pt x="4806696" y="414528"/>
                </a:lnTo>
                <a:lnTo>
                  <a:pt x="4806696" y="617220"/>
                </a:lnTo>
                <a:lnTo>
                  <a:pt x="5864352" y="617220"/>
                </a:lnTo>
                <a:lnTo>
                  <a:pt x="5864352" y="414528"/>
                </a:lnTo>
                <a:close/>
              </a:path>
              <a:path w="5864860" h="2894330">
                <a:moveTo>
                  <a:pt x="5864352" y="207264"/>
                </a:moveTo>
                <a:lnTo>
                  <a:pt x="4806696" y="207264"/>
                </a:lnTo>
                <a:lnTo>
                  <a:pt x="4806696" y="411480"/>
                </a:lnTo>
                <a:lnTo>
                  <a:pt x="5864352" y="411480"/>
                </a:lnTo>
                <a:lnTo>
                  <a:pt x="5864352" y="207264"/>
                </a:lnTo>
                <a:close/>
              </a:path>
              <a:path w="5864860" h="2894330">
                <a:moveTo>
                  <a:pt x="5864352" y="0"/>
                </a:moveTo>
                <a:lnTo>
                  <a:pt x="4806696" y="0"/>
                </a:lnTo>
                <a:lnTo>
                  <a:pt x="4806696" y="204216"/>
                </a:lnTo>
                <a:lnTo>
                  <a:pt x="5864352" y="204216"/>
                </a:lnTo>
                <a:lnTo>
                  <a:pt x="5864352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500-000032000000}"/>
              </a:ext>
            </a:extLst>
          </xdr:cNvPr>
          <xdr:cNvSpPr/>
        </xdr:nvSpPr>
        <xdr:spPr>
          <a:xfrm>
            <a:off x="0" y="0"/>
            <a:ext cx="7275830" cy="4137660"/>
          </a:xfrm>
          <a:custGeom>
            <a:avLst/>
            <a:gdLst/>
            <a:ahLst/>
            <a:cxnLst/>
            <a:rect l="0" t="0" r="0" b="0"/>
            <a:pathLst>
              <a:path w="7275830" h="4137660">
                <a:moveTo>
                  <a:pt x="347472" y="3518916"/>
                </a:moveTo>
                <a:lnTo>
                  <a:pt x="0" y="3518916"/>
                </a:lnTo>
                <a:lnTo>
                  <a:pt x="0" y="4137660"/>
                </a:lnTo>
                <a:lnTo>
                  <a:pt x="347472" y="4137660"/>
                </a:lnTo>
                <a:lnTo>
                  <a:pt x="347472" y="3518916"/>
                </a:lnTo>
                <a:close/>
              </a:path>
              <a:path w="7275830" h="4137660">
                <a:moveTo>
                  <a:pt x="347472" y="3104388"/>
                </a:moveTo>
                <a:lnTo>
                  <a:pt x="0" y="3104388"/>
                </a:lnTo>
                <a:lnTo>
                  <a:pt x="0" y="3517392"/>
                </a:lnTo>
                <a:lnTo>
                  <a:pt x="347472" y="3517392"/>
                </a:lnTo>
                <a:lnTo>
                  <a:pt x="347472" y="3104388"/>
                </a:lnTo>
                <a:close/>
              </a:path>
              <a:path w="7275830" h="4137660">
                <a:moveTo>
                  <a:pt x="347472" y="0"/>
                </a:moveTo>
                <a:lnTo>
                  <a:pt x="0" y="0"/>
                </a:lnTo>
                <a:lnTo>
                  <a:pt x="0" y="3101340"/>
                </a:lnTo>
                <a:lnTo>
                  <a:pt x="347472" y="3101340"/>
                </a:lnTo>
                <a:lnTo>
                  <a:pt x="347472" y="0"/>
                </a:lnTo>
                <a:close/>
              </a:path>
              <a:path w="7275830" h="4137660">
                <a:moveTo>
                  <a:pt x="1408176" y="3518916"/>
                </a:moveTo>
                <a:lnTo>
                  <a:pt x="350520" y="3518916"/>
                </a:lnTo>
                <a:lnTo>
                  <a:pt x="350520" y="4137660"/>
                </a:lnTo>
                <a:lnTo>
                  <a:pt x="1408176" y="4137660"/>
                </a:lnTo>
                <a:lnTo>
                  <a:pt x="1408176" y="3518916"/>
                </a:lnTo>
                <a:close/>
              </a:path>
              <a:path w="7275830" h="4137660">
                <a:moveTo>
                  <a:pt x="1408176" y="3104388"/>
                </a:moveTo>
                <a:lnTo>
                  <a:pt x="350520" y="3104388"/>
                </a:lnTo>
                <a:lnTo>
                  <a:pt x="350520" y="3517392"/>
                </a:lnTo>
                <a:lnTo>
                  <a:pt x="1408176" y="3517392"/>
                </a:lnTo>
                <a:lnTo>
                  <a:pt x="1408176" y="3104388"/>
                </a:lnTo>
                <a:close/>
              </a:path>
              <a:path w="7275830" h="4137660">
                <a:moveTo>
                  <a:pt x="1408176" y="0"/>
                </a:moveTo>
                <a:lnTo>
                  <a:pt x="350520" y="0"/>
                </a:lnTo>
                <a:lnTo>
                  <a:pt x="350520" y="3101340"/>
                </a:lnTo>
                <a:lnTo>
                  <a:pt x="1408176" y="3101340"/>
                </a:lnTo>
                <a:lnTo>
                  <a:pt x="1408176" y="0"/>
                </a:lnTo>
                <a:close/>
              </a:path>
              <a:path w="7275830" h="4137660">
                <a:moveTo>
                  <a:pt x="2819400" y="3518916"/>
                </a:moveTo>
                <a:lnTo>
                  <a:pt x="1411224" y="3518916"/>
                </a:lnTo>
                <a:lnTo>
                  <a:pt x="1411224" y="4137660"/>
                </a:lnTo>
                <a:lnTo>
                  <a:pt x="2819400" y="4137660"/>
                </a:lnTo>
                <a:lnTo>
                  <a:pt x="2819400" y="3518916"/>
                </a:lnTo>
                <a:close/>
              </a:path>
              <a:path w="7275830" h="4137660">
                <a:moveTo>
                  <a:pt x="2819400" y="3104388"/>
                </a:moveTo>
                <a:lnTo>
                  <a:pt x="1411224" y="3104388"/>
                </a:lnTo>
                <a:lnTo>
                  <a:pt x="1411224" y="3517392"/>
                </a:lnTo>
                <a:lnTo>
                  <a:pt x="2819400" y="3517392"/>
                </a:lnTo>
                <a:lnTo>
                  <a:pt x="2819400" y="3104388"/>
                </a:lnTo>
                <a:close/>
              </a:path>
              <a:path w="7275830" h="4137660">
                <a:moveTo>
                  <a:pt x="2819400" y="2276856"/>
                </a:moveTo>
                <a:lnTo>
                  <a:pt x="1411224" y="2276856"/>
                </a:lnTo>
                <a:lnTo>
                  <a:pt x="1411224" y="3101340"/>
                </a:lnTo>
                <a:lnTo>
                  <a:pt x="2819400" y="3101340"/>
                </a:lnTo>
                <a:lnTo>
                  <a:pt x="2819400" y="2276856"/>
                </a:lnTo>
                <a:close/>
              </a:path>
              <a:path w="7275830" h="4137660">
                <a:moveTo>
                  <a:pt x="3381756" y="3933444"/>
                </a:moveTo>
                <a:lnTo>
                  <a:pt x="2822448" y="3933444"/>
                </a:lnTo>
                <a:lnTo>
                  <a:pt x="2822448" y="4137660"/>
                </a:lnTo>
                <a:lnTo>
                  <a:pt x="3381756" y="4137660"/>
                </a:lnTo>
                <a:lnTo>
                  <a:pt x="3381756" y="3933444"/>
                </a:lnTo>
                <a:close/>
              </a:path>
              <a:path w="7275830" h="4137660">
                <a:moveTo>
                  <a:pt x="3381756" y="3726180"/>
                </a:moveTo>
                <a:lnTo>
                  <a:pt x="2822448" y="3726180"/>
                </a:lnTo>
                <a:lnTo>
                  <a:pt x="2822448" y="3930396"/>
                </a:lnTo>
                <a:lnTo>
                  <a:pt x="3381756" y="3930396"/>
                </a:lnTo>
                <a:lnTo>
                  <a:pt x="3381756" y="3726180"/>
                </a:lnTo>
                <a:close/>
              </a:path>
              <a:path w="7275830" h="4137660">
                <a:moveTo>
                  <a:pt x="3381756" y="3518916"/>
                </a:moveTo>
                <a:lnTo>
                  <a:pt x="2822448" y="3518916"/>
                </a:lnTo>
                <a:lnTo>
                  <a:pt x="2822448" y="3723132"/>
                </a:lnTo>
                <a:lnTo>
                  <a:pt x="3381756" y="3723132"/>
                </a:lnTo>
                <a:lnTo>
                  <a:pt x="3381756" y="3518916"/>
                </a:lnTo>
                <a:close/>
              </a:path>
              <a:path w="7275830" h="4137660">
                <a:moveTo>
                  <a:pt x="3381756" y="3104388"/>
                </a:moveTo>
                <a:lnTo>
                  <a:pt x="2822448" y="3104388"/>
                </a:lnTo>
                <a:lnTo>
                  <a:pt x="2822448" y="3517392"/>
                </a:lnTo>
                <a:lnTo>
                  <a:pt x="3381756" y="3517392"/>
                </a:lnTo>
                <a:lnTo>
                  <a:pt x="3381756" y="3104388"/>
                </a:lnTo>
                <a:close/>
              </a:path>
              <a:path w="7275830" h="4137660">
                <a:moveTo>
                  <a:pt x="3381756" y="2897124"/>
                </a:moveTo>
                <a:lnTo>
                  <a:pt x="2822448" y="2897124"/>
                </a:lnTo>
                <a:lnTo>
                  <a:pt x="2822448" y="3101340"/>
                </a:lnTo>
                <a:lnTo>
                  <a:pt x="3381756" y="3101340"/>
                </a:lnTo>
                <a:lnTo>
                  <a:pt x="3381756" y="2897124"/>
                </a:lnTo>
                <a:close/>
              </a:path>
              <a:path w="7275830" h="4137660">
                <a:moveTo>
                  <a:pt x="4093464" y="3933444"/>
                </a:moveTo>
                <a:lnTo>
                  <a:pt x="3384804" y="3933444"/>
                </a:lnTo>
                <a:lnTo>
                  <a:pt x="3384804" y="4137660"/>
                </a:lnTo>
                <a:lnTo>
                  <a:pt x="4093464" y="4137660"/>
                </a:lnTo>
                <a:lnTo>
                  <a:pt x="4093464" y="3933444"/>
                </a:lnTo>
                <a:close/>
              </a:path>
              <a:path w="7275830" h="4137660">
                <a:moveTo>
                  <a:pt x="4093464" y="3726180"/>
                </a:moveTo>
                <a:lnTo>
                  <a:pt x="3384804" y="3726180"/>
                </a:lnTo>
                <a:lnTo>
                  <a:pt x="3384804" y="3930396"/>
                </a:lnTo>
                <a:lnTo>
                  <a:pt x="4093464" y="3930396"/>
                </a:lnTo>
                <a:lnTo>
                  <a:pt x="4093464" y="3726180"/>
                </a:lnTo>
                <a:close/>
              </a:path>
              <a:path w="7275830" h="4137660">
                <a:moveTo>
                  <a:pt x="4093464" y="3518916"/>
                </a:moveTo>
                <a:lnTo>
                  <a:pt x="3384804" y="3518916"/>
                </a:lnTo>
                <a:lnTo>
                  <a:pt x="3384804" y="3723132"/>
                </a:lnTo>
                <a:lnTo>
                  <a:pt x="4093464" y="3723132"/>
                </a:lnTo>
                <a:lnTo>
                  <a:pt x="4093464" y="3518916"/>
                </a:lnTo>
                <a:close/>
              </a:path>
              <a:path w="7275830" h="4137660">
                <a:moveTo>
                  <a:pt x="4093464" y="3104388"/>
                </a:moveTo>
                <a:lnTo>
                  <a:pt x="3384804" y="3104388"/>
                </a:lnTo>
                <a:lnTo>
                  <a:pt x="3384804" y="3517392"/>
                </a:lnTo>
                <a:lnTo>
                  <a:pt x="4093464" y="3517392"/>
                </a:lnTo>
                <a:lnTo>
                  <a:pt x="4093464" y="3104388"/>
                </a:lnTo>
                <a:close/>
              </a:path>
              <a:path w="7275830" h="4137660">
                <a:moveTo>
                  <a:pt x="4093464" y="2897124"/>
                </a:moveTo>
                <a:lnTo>
                  <a:pt x="3384804" y="2897124"/>
                </a:lnTo>
                <a:lnTo>
                  <a:pt x="3384804" y="3101340"/>
                </a:lnTo>
                <a:lnTo>
                  <a:pt x="4093464" y="3101340"/>
                </a:lnTo>
                <a:lnTo>
                  <a:pt x="4093464" y="2897124"/>
                </a:lnTo>
                <a:close/>
              </a:path>
              <a:path w="7275830" h="4137660">
                <a:moveTo>
                  <a:pt x="5154168" y="3933444"/>
                </a:moveTo>
                <a:lnTo>
                  <a:pt x="4096512" y="3933444"/>
                </a:lnTo>
                <a:lnTo>
                  <a:pt x="4096512" y="4137660"/>
                </a:lnTo>
                <a:lnTo>
                  <a:pt x="5154168" y="4137660"/>
                </a:lnTo>
                <a:lnTo>
                  <a:pt x="5154168" y="3933444"/>
                </a:lnTo>
                <a:close/>
              </a:path>
              <a:path w="7275830" h="4137660">
                <a:moveTo>
                  <a:pt x="5154168" y="3726180"/>
                </a:moveTo>
                <a:lnTo>
                  <a:pt x="4096512" y="3726180"/>
                </a:lnTo>
                <a:lnTo>
                  <a:pt x="4096512" y="3930396"/>
                </a:lnTo>
                <a:lnTo>
                  <a:pt x="5154168" y="3930396"/>
                </a:lnTo>
                <a:lnTo>
                  <a:pt x="5154168" y="3726180"/>
                </a:lnTo>
                <a:close/>
              </a:path>
              <a:path w="7275830" h="4137660">
                <a:moveTo>
                  <a:pt x="5154168" y="3518916"/>
                </a:moveTo>
                <a:lnTo>
                  <a:pt x="4096512" y="3518916"/>
                </a:lnTo>
                <a:lnTo>
                  <a:pt x="4096512" y="3723132"/>
                </a:lnTo>
                <a:lnTo>
                  <a:pt x="5154168" y="3723132"/>
                </a:lnTo>
                <a:lnTo>
                  <a:pt x="5154168" y="3518916"/>
                </a:lnTo>
                <a:close/>
              </a:path>
              <a:path w="7275830" h="4137660">
                <a:moveTo>
                  <a:pt x="5154168" y="3104388"/>
                </a:moveTo>
                <a:lnTo>
                  <a:pt x="4096512" y="3104388"/>
                </a:lnTo>
                <a:lnTo>
                  <a:pt x="4096512" y="3517392"/>
                </a:lnTo>
                <a:lnTo>
                  <a:pt x="5154168" y="3517392"/>
                </a:lnTo>
                <a:lnTo>
                  <a:pt x="5154168" y="3104388"/>
                </a:lnTo>
                <a:close/>
              </a:path>
              <a:path w="7275830" h="4137660">
                <a:moveTo>
                  <a:pt x="5154168" y="2897124"/>
                </a:moveTo>
                <a:lnTo>
                  <a:pt x="4096512" y="2897124"/>
                </a:lnTo>
                <a:lnTo>
                  <a:pt x="4096512" y="3101340"/>
                </a:lnTo>
                <a:lnTo>
                  <a:pt x="5154168" y="3101340"/>
                </a:lnTo>
                <a:lnTo>
                  <a:pt x="5154168" y="2897124"/>
                </a:lnTo>
                <a:close/>
              </a:path>
              <a:path w="7275830" h="4137660">
                <a:moveTo>
                  <a:pt x="6214872" y="3933444"/>
                </a:moveTo>
                <a:lnTo>
                  <a:pt x="5157216" y="3933444"/>
                </a:lnTo>
                <a:lnTo>
                  <a:pt x="5157216" y="4137660"/>
                </a:lnTo>
                <a:lnTo>
                  <a:pt x="6214872" y="4137660"/>
                </a:lnTo>
                <a:lnTo>
                  <a:pt x="6214872" y="3933444"/>
                </a:lnTo>
                <a:close/>
              </a:path>
              <a:path w="7275830" h="4137660">
                <a:moveTo>
                  <a:pt x="6214872" y="3726180"/>
                </a:moveTo>
                <a:lnTo>
                  <a:pt x="5157216" y="3726180"/>
                </a:lnTo>
                <a:lnTo>
                  <a:pt x="5157216" y="3930396"/>
                </a:lnTo>
                <a:lnTo>
                  <a:pt x="6214872" y="3930396"/>
                </a:lnTo>
                <a:lnTo>
                  <a:pt x="6214872" y="3726180"/>
                </a:lnTo>
                <a:close/>
              </a:path>
              <a:path w="7275830" h="4137660">
                <a:moveTo>
                  <a:pt x="6214872" y="3518916"/>
                </a:moveTo>
                <a:lnTo>
                  <a:pt x="5157216" y="3518916"/>
                </a:lnTo>
                <a:lnTo>
                  <a:pt x="5157216" y="3723132"/>
                </a:lnTo>
                <a:lnTo>
                  <a:pt x="6214872" y="3723132"/>
                </a:lnTo>
                <a:lnTo>
                  <a:pt x="6214872" y="3518916"/>
                </a:lnTo>
                <a:close/>
              </a:path>
              <a:path w="7275830" h="4137660">
                <a:moveTo>
                  <a:pt x="6214872" y="3104388"/>
                </a:moveTo>
                <a:lnTo>
                  <a:pt x="5157216" y="3104388"/>
                </a:lnTo>
                <a:lnTo>
                  <a:pt x="5157216" y="3517392"/>
                </a:lnTo>
                <a:lnTo>
                  <a:pt x="6214872" y="3517392"/>
                </a:lnTo>
                <a:lnTo>
                  <a:pt x="6214872" y="3104388"/>
                </a:lnTo>
                <a:close/>
              </a:path>
              <a:path w="7275830" h="4137660">
                <a:moveTo>
                  <a:pt x="6214872" y="2897124"/>
                </a:moveTo>
                <a:lnTo>
                  <a:pt x="5157216" y="2897124"/>
                </a:lnTo>
                <a:lnTo>
                  <a:pt x="5157216" y="3101340"/>
                </a:lnTo>
                <a:lnTo>
                  <a:pt x="6214872" y="3101340"/>
                </a:lnTo>
                <a:lnTo>
                  <a:pt x="6214872" y="2897124"/>
                </a:lnTo>
                <a:close/>
              </a:path>
              <a:path w="7275830" h="4137660">
                <a:moveTo>
                  <a:pt x="6214872" y="2689860"/>
                </a:moveTo>
                <a:lnTo>
                  <a:pt x="5157216" y="2689860"/>
                </a:lnTo>
                <a:lnTo>
                  <a:pt x="5157216" y="2894076"/>
                </a:lnTo>
                <a:lnTo>
                  <a:pt x="6214872" y="2894076"/>
                </a:lnTo>
                <a:lnTo>
                  <a:pt x="6214872" y="2689860"/>
                </a:lnTo>
                <a:close/>
              </a:path>
              <a:path w="7275830" h="4137660">
                <a:moveTo>
                  <a:pt x="7275576" y="3933444"/>
                </a:moveTo>
                <a:lnTo>
                  <a:pt x="6217920" y="3933444"/>
                </a:lnTo>
                <a:lnTo>
                  <a:pt x="6217920" y="4137660"/>
                </a:lnTo>
                <a:lnTo>
                  <a:pt x="7275576" y="4137660"/>
                </a:lnTo>
                <a:lnTo>
                  <a:pt x="7275576" y="3933444"/>
                </a:lnTo>
                <a:close/>
              </a:path>
              <a:path w="7275830" h="4137660">
                <a:moveTo>
                  <a:pt x="7275576" y="3726180"/>
                </a:moveTo>
                <a:lnTo>
                  <a:pt x="6217920" y="3726180"/>
                </a:lnTo>
                <a:lnTo>
                  <a:pt x="6217920" y="3930396"/>
                </a:lnTo>
                <a:lnTo>
                  <a:pt x="7275576" y="3930396"/>
                </a:lnTo>
                <a:lnTo>
                  <a:pt x="7275576" y="3726180"/>
                </a:lnTo>
                <a:close/>
              </a:path>
              <a:path w="7275830" h="4137660">
                <a:moveTo>
                  <a:pt x="7275576" y="3518916"/>
                </a:moveTo>
                <a:lnTo>
                  <a:pt x="6217920" y="3518916"/>
                </a:lnTo>
                <a:lnTo>
                  <a:pt x="6217920" y="3723132"/>
                </a:lnTo>
                <a:lnTo>
                  <a:pt x="7275576" y="3723132"/>
                </a:lnTo>
                <a:lnTo>
                  <a:pt x="7275576" y="3518916"/>
                </a:lnTo>
                <a:close/>
              </a:path>
              <a:path w="7275830" h="4137660">
                <a:moveTo>
                  <a:pt x="7275576" y="3104388"/>
                </a:moveTo>
                <a:lnTo>
                  <a:pt x="6217920" y="3104388"/>
                </a:lnTo>
                <a:lnTo>
                  <a:pt x="6217920" y="3517392"/>
                </a:lnTo>
                <a:lnTo>
                  <a:pt x="7275576" y="3517392"/>
                </a:lnTo>
                <a:lnTo>
                  <a:pt x="7275576" y="3104388"/>
                </a:lnTo>
                <a:close/>
              </a:path>
              <a:path w="7275830" h="4137660">
                <a:moveTo>
                  <a:pt x="7275576" y="2897124"/>
                </a:moveTo>
                <a:lnTo>
                  <a:pt x="6217920" y="2897124"/>
                </a:lnTo>
                <a:lnTo>
                  <a:pt x="6217920" y="3101340"/>
                </a:lnTo>
                <a:lnTo>
                  <a:pt x="7275576" y="3101340"/>
                </a:lnTo>
                <a:lnTo>
                  <a:pt x="7275576" y="2897124"/>
                </a:lnTo>
                <a:close/>
              </a:path>
              <a:path w="7275830" h="4137660">
                <a:moveTo>
                  <a:pt x="7275576" y="2689860"/>
                </a:moveTo>
                <a:lnTo>
                  <a:pt x="6217920" y="2689860"/>
                </a:lnTo>
                <a:lnTo>
                  <a:pt x="6217920" y="2894076"/>
                </a:lnTo>
                <a:lnTo>
                  <a:pt x="7275576" y="2894076"/>
                </a:lnTo>
                <a:lnTo>
                  <a:pt x="7275576" y="268986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25</xdr:row>
      <xdr:rowOff>0</xdr:rowOff>
    </xdr:from>
    <xdr:ext cx="708660" cy="413766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0" y="0"/>
          <a:ext cx="708660" cy="4137660"/>
        </a:xfrm>
        <a:custGeom>
          <a:avLst/>
          <a:gdLst/>
          <a:ahLst/>
          <a:cxnLst/>
          <a:rect l="0" t="0" r="0" b="0"/>
          <a:pathLst>
            <a:path w="708660" h="4137660">
              <a:moveTo>
                <a:pt x="708660" y="3933444"/>
              </a:moveTo>
              <a:lnTo>
                <a:pt x="0" y="3933444"/>
              </a:lnTo>
              <a:lnTo>
                <a:pt x="0" y="4137660"/>
              </a:lnTo>
              <a:lnTo>
                <a:pt x="708660" y="4137660"/>
              </a:lnTo>
              <a:lnTo>
                <a:pt x="708660" y="3933444"/>
              </a:lnTo>
              <a:close/>
            </a:path>
            <a:path w="708660" h="4137660">
              <a:moveTo>
                <a:pt x="708660" y="3726180"/>
              </a:moveTo>
              <a:lnTo>
                <a:pt x="0" y="3726180"/>
              </a:lnTo>
              <a:lnTo>
                <a:pt x="0" y="3930396"/>
              </a:lnTo>
              <a:lnTo>
                <a:pt x="708660" y="3930396"/>
              </a:lnTo>
              <a:lnTo>
                <a:pt x="708660" y="3726180"/>
              </a:lnTo>
              <a:close/>
            </a:path>
            <a:path w="708660" h="4137660">
              <a:moveTo>
                <a:pt x="708660" y="3518916"/>
              </a:moveTo>
              <a:lnTo>
                <a:pt x="0" y="3518916"/>
              </a:lnTo>
              <a:lnTo>
                <a:pt x="0" y="3723132"/>
              </a:lnTo>
              <a:lnTo>
                <a:pt x="708660" y="3723132"/>
              </a:lnTo>
              <a:lnTo>
                <a:pt x="708660" y="3518916"/>
              </a:lnTo>
              <a:close/>
            </a:path>
            <a:path w="708660" h="4137660">
              <a:moveTo>
                <a:pt x="708660" y="3104388"/>
              </a:moveTo>
              <a:lnTo>
                <a:pt x="0" y="3104388"/>
              </a:lnTo>
              <a:lnTo>
                <a:pt x="0" y="3517392"/>
              </a:lnTo>
              <a:lnTo>
                <a:pt x="708660" y="3517392"/>
              </a:lnTo>
              <a:lnTo>
                <a:pt x="708660" y="3104388"/>
              </a:lnTo>
              <a:close/>
            </a:path>
            <a:path w="708660" h="4137660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413766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413766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413766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413766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413766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413766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413766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413766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413766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413766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413766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413766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413766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413766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20</xdr:row>
      <xdr:rowOff>206501</xdr:rowOff>
    </xdr:from>
    <xdr:ext cx="3179445" cy="37528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53" name="image1.jpeg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54" name="image2.jpeg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55" name="image3.jpeg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22</xdr:row>
      <xdr:rowOff>0</xdr:rowOff>
    </xdr:from>
    <xdr:ext cx="7275830" cy="3517900"/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GrpSpPr/>
      </xdr:nvGrpSpPr>
      <xdr:grpSpPr>
        <a:xfrm>
          <a:off x="617854" y="5410200"/>
          <a:ext cx="7275830" cy="3517900"/>
          <a:chOff x="0" y="0"/>
          <a:chExt cx="7275830" cy="3517900"/>
        </a:xfrm>
      </xdr:grpSpPr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600-000039000000}"/>
              </a:ext>
            </a:extLst>
          </xdr:cNvPr>
          <xdr:cNvSpPr/>
        </xdr:nvSpPr>
        <xdr:spPr>
          <a:xfrm>
            <a:off x="0" y="0"/>
            <a:ext cx="7275830" cy="2482850"/>
          </a:xfrm>
          <a:custGeom>
            <a:avLst/>
            <a:gdLst/>
            <a:ahLst/>
            <a:cxnLst/>
            <a:rect l="0" t="0" r="0" b="0"/>
            <a:pathLst>
              <a:path w="7275830" h="2482850">
                <a:moveTo>
                  <a:pt x="347472" y="1450848"/>
                </a:moveTo>
                <a:lnTo>
                  <a:pt x="0" y="1450848"/>
                </a:lnTo>
                <a:lnTo>
                  <a:pt x="0" y="2068068"/>
                </a:lnTo>
                <a:lnTo>
                  <a:pt x="347472" y="2068068"/>
                </a:lnTo>
                <a:lnTo>
                  <a:pt x="347472" y="1450848"/>
                </a:lnTo>
                <a:close/>
              </a:path>
              <a:path w="7275830" h="2482850">
                <a:moveTo>
                  <a:pt x="347472" y="1034796"/>
                </a:moveTo>
                <a:lnTo>
                  <a:pt x="0" y="1034796"/>
                </a:lnTo>
                <a:lnTo>
                  <a:pt x="0" y="1447800"/>
                </a:lnTo>
                <a:lnTo>
                  <a:pt x="347472" y="1447800"/>
                </a:lnTo>
                <a:lnTo>
                  <a:pt x="347472" y="1034796"/>
                </a:lnTo>
                <a:close/>
              </a:path>
              <a:path w="7275830" h="2482850">
                <a:moveTo>
                  <a:pt x="347472" y="620268"/>
                </a:moveTo>
                <a:lnTo>
                  <a:pt x="0" y="620268"/>
                </a:lnTo>
                <a:lnTo>
                  <a:pt x="0" y="1031748"/>
                </a:lnTo>
                <a:lnTo>
                  <a:pt x="347472" y="1031748"/>
                </a:lnTo>
                <a:lnTo>
                  <a:pt x="347472" y="620268"/>
                </a:lnTo>
                <a:close/>
              </a:path>
              <a:path w="7275830" h="2482850">
                <a:moveTo>
                  <a:pt x="347472" y="0"/>
                </a:moveTo>
                <a:lnTo>
                  <a:pt x="0" y="0"/>
                </a:lnTo>
                <a:lnTo>
                  <a:pt x="0" y="617220"/>
                </a:lnTo>
                <a:lnTo>
                  <a:pt x="347472" y="617220"/>
                </a:lnTo>
                <a:lnTo>
                  <a:pt x="347472" y="0"/>
                </a:lnTo>
                <a:close/>
              </a:path>
              <a:path w="7275830" h="2482850">
                <a:moveTo>
                  <a:pt x="1408176" y="1450848"/>
                </a:moveTo>
                <a:lnTo>
                  <a:pt x="350520" y="1450848"/>
                </a:lnTo>
                <a:lnTo>
                  <a:pt x="350520" y="2068068"/>
                </a:lnTo>
                <a:lnTo>
                  <a:pt x="1408176" y="2068068"/>
                </a:lnTo>
                <a:lnTo>
                  <a:pt x="1408176" y="1450848"/>
                </a:lnTo>
                <a:close/>
              </a:path>
              <a:path w="7275830" h="2482850">
                <a:moveTo>
                  <a:pt x="1408176" y="1034796"/>
                </a:moveTo>
                <a:lnTo>
                  <a:pt x="350520" y="1034796"/>
                </a:lnTo>
                <a:lnTo>
                  <a:pt x="350520" y="1447800"/>
                </a:lnTo>
                <a:lnTo>
                  <a:pt x="1408176" y="1447800"/>
                </a:lnTo>
                <a:lnTo>
                  <a:pt x="1408176" y="1034796"/>
                </a:lnTo>
                <a:close/>
              </a:path>
              <a:path w="7275830" h="2482850">
                <a:moveTo>
                  <a:pt x="1408176" y="620268"/>
                </a:moveTo>
                <a:lnTo>
                  <a:pt x="350520" y="620268"/>
                </a:lnTo>
                <a:lnTo>
                  <a:pt x="350520" y="1031748"/>
                </a:lnTo>
                <a:lnTo>
                  <a:pt x="1408176" y="1031748"/>
                </a:lnTo>
                <a:lnTo>
                  <a:pt x="1408176" y="620268"/>
                </a:lnTo>
                <a:close/>
              </a:path>
              <a:path w="7275830" h="2482850">
                <a:moveTo>
                  <a:pt x="1408176" y="0"/>
                </a:moveTo>
                <a:lnTo>
                  <a:pt x="350520" y="0"/>
                </a:lnTo>
                <a:lnTo>
                  <a:pt x="350520" y="617220"/>
                </a:lnTo>
                <a:lnTo>
                  <a:pt x="1408176" y="617220"/>
                </a:lnTo>
                <a:lnTo>
                  <a:pt x="1408176" y="0"/>
                </a:lnTo>
                <a:close/>
              </a:path>
              <a:path w="7275830" h="2482850">
                <a:moveTo>
                  <a:pt x="2819400" y="1450848"/>
                </a:moveTo>
                <a:lnTo>
                  <a:pt x="1411224" y="1450848"/>
                </a:lnTo>
                <a:lnTo>
                  <a:pt x="1411224" y="2068068"/>
                </a:lnTo>
                <a:lnTo>
                  <a:pt x="2819400" y="2068068"/>
                </a:lnTo>
                <a:lnTo>
                  <a:pt x="2819400" y="1450848"/>
                </a:lnTo>
                <a:close/>
              </a:path>
              <a:path w="7275830" h="2482850">
                <a:moveTo>
                  <a:pt x="2819400" y="1034796"/>
                </a:moveTo>
                <a:lnTo>
                  <a:pt x="1411224" y="1034796"/>
                </a:lnTo>
                <a:lnTo>
                  <a:pt x="1411224" y="1447800"/>
                </a:lnTo>
                <a:lnTo>
                  <a:pt x="2819400" y="1447800"/>
                </a:lnTo>
                <a:lnTo>
                  <a:pt x="2819400" y="1034796"/>
                </a:lnTo>
                <a:close/>
              </a:path>
              <a:path w="7275830" h="2482850">
                <a:moveTo>
                  <a:pt x="2819400" y="620268"/>
                </a:moveTo>
                <a:lnTo>
                  <a:pt x="1411224" y="620268"/>
                </a:lnTo>
                <a:lnTo>
                  <a:pt x="1411224" y="1031748"/>
                </a:lnTo>
                <a:lnTo>
                  <a:pt x="2819400" y="1031748"/>
                </a:lnTo>
                <a:lnTo>
                  <a:pt x="2819400" y="620268"/>
                </a:lnTo>
                <a:close/>
              </a:path>
              <a:path w="7275830" h="2482850">
                <a:moveTo>
                  <a:pt x="2819400" y="0"/>
                </a:moveTo>
                <a:lnTo>
                  <a:pt x="1411224" y="0"/>
                </a:lnTo>
                <a:lnTo>
                  <a:pt x="1411224" y="617220"/>
                </a:lnTo>
                <a:lnTo>
                  <a:pt x="2819400" y="617220"/>
                </a:lnTo>
                <a:lnTo>
                  <a:pt x="2819400" y="0"/>
                </a:lnTo>
                <a:close/>
              </a:path>
              <a:path w="7275830" h="2482850">
                <a:moveTo>
                  <a:pt x="3381756" y="2278380"/>
                </a:moveTo>
                <a:lnTo>
                  <a:pt x="2822448" y="2278380"/>
                </a:lnTo>
                <a:lnTo>
                  <a:pt x="2822448" y="2482596"/>
                </a:lnTo>
                <a:lnTo>
                  <a:pt x="3381756" y="2482596"/>
                </a:lnTo>
                <a:lnTo>
                  <a:pt x="3381756" y="2278380"/>
                </a:lnTo>
                <a:close/>
              </a:path>
              <a:path w="7275830" h="2482850">
                <a:moveTo>
                  <a:pt x="3381756" y="2071116"/>
                </a:moveTo>
                <a:lnTo>
                  <a:pt x="2822448" y="2071116"/>
                </a:lnTo>
                <a:lnTo>
                  <a:pt x="2822448" y="2275332"/>
                </a:lnTo>
                <a:lnTo>
                  <a:pt x="3381756" y="2275332"/>
                </a:lnTo>
                <a:lnTo>
                  <a:pt x="3381756" y="2071116"/>
                </a:lnTo>
                <a:close/>
              </a:path>
              <a:path w="7275830" h="2482850">
                <a:moveTo>
                  <a:pt x="3381756" y="1863852"/>
                </a:moveTo>
                <a:lnTo>
                  <a:pt x="2822448" y="1863852"/>
                </a:lnTo>
                <a:lnTo>
                  <a:pt x="2822448" y="2068068"/>
                </a:lnTo>
                <a:lnTo>
                  <a:pt x="3381756" y="2068068"/>
                </a:lnTo>
                <a:lnTo>
                  <a:pt x="3381756" y="1863852"/>
                </a:lnTo>
                <a:close/>
              </a:path>
              <a:path w="7275830" h="2482850">
                <a:moveTo>
                  <a:pt x="3381756" y="1656588"/>
                </a:moveTo>
                <a:lnTo>
                  <a:pt x="2822448" y="1656588"/>
                </a:lnTo>
                <a:lnTo>
                  <a:pt x="2822448" y="1860804"/>
                </a:lnTo>
                <a:lnTo>
                  <a:pt x="3381756" y="1860804"/>
                </a:lnTo>
                <a:lnTo>
                  <a:pt x="3381756" y="1656588"/>
                </a:lnTo>
                <a:close/>
              </a:path>
              <a:path w="7275830" h="2482850">
                <a:moveTo>
                  <a:pt x="3381756" y="1450848"/>
                </a:moveTo>
                <a:lnTo>
                  <a:pt x="2822448" y="1450848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50848"/>
                </a:lnTo>
                <a:close/>
              </a:path>
              <a:path w="7275830" h="2482850">
                <a:moveTo>
                  <a:pt x="3381756" y="1242060"/>
                </a:moveTo>
                <a:lnTo>
                  <a:pt x="2822448" y="1242060"/>
                </a:lnTo>
                <a:lnTo>
                  <a:pt x="2822448" y="1447800"/>
                </a:lnTo>
                <a:lnTo>
                  <a:pt x="3381756" y="1447800"/>
                </a:lnTo>
                <a:lnTo>
                  <a:pt x="3381756" y="1242060"/>
                </a:lnTo>
                <a:close/>
              </a:path>
              <a:path w="7275830" h="248285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48285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48285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48285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48285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48285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482850">
                <a:moveTo>
                  <a:pt x="4093464" y="2278380"/>
                </a:moveTo>
                <a:lnTo>
                  <a:pt x="3384804" y="2278380"/>
                </a:lnTo>
                <a:lnTo>
                  <a:pt x="3384804" y="2482596"/>
                </a:lnTo>
                <a:lnTo>
                  <a:pt x="4093464" y="2482596"/>
                </a:lnTo>
                <a:lnTo>
                  <a:pt x="4093464" y="2278380"/>
                </a:lnTo>
                <a:close/>
              </a:path>
              <a:path w="7275830" h="2482850">
                <a:moveTo>
                  <a:pt x="4093464" y="2071116"/>
                </a:moveTo>
                <a:lnTo>
                  <a:pt x="3384804" y="2071116"/>
                </a:lnTo>
                <a:lnTo>
                  <a:pt x="3384804" y="2275332"/>
                </a:lnTo>
                <a:lnTo>
                  <a:pt x="4093464" y="2275332"/>
                </a:lnTo>
                <a:lnTo>
                  <a:pt x="4093464" y="2071116"/>
                </a:lnTo>
                <a:close/>
              </a:path>
              <a:path w="7275830" h="2482850">
                <a:moveTo>
                  <a:pt x="4093464" y="1863852"/>
                </a:moveTo>
                <a:lnTo>
                  <a:pt x="3384804" y="1863852"/>
                </a:lnTo>
                <a:lnTo>
                  <a:pt x="3384804" y="2068068"/>
                </a:lnTo>
                <a:lnTo>
                  <a:pt x="4093464" y="2068068"/>
                </a:lnTo>
                <a:lnTo>
                  <a:pt x="4093464" y="1863852"/>
                </a:lnTo>
                <a:close/>
              </a:path>
              <a:path w="7275830" h="2482850">
                <a:moveTo>
                  <a:pt x="4093464" y="1656588"/>
                </a:moveTo>
                <a:lnTo>
                  <a:pt x="3384804" y="1656588"/>
                </a:lnTo>
                <a:lnTo>
                  <a:pt x="3384804" y="1860804"/>
                </a:lnTo>
                <a:lnTo>
                  <a:pt x="4093464" y="1860804"/>
                </a:lnTo>
                <a:lnTo>
                  <a:pt x="4093464" y="1656588"/>
                </a:lnTo>
                <a:close/>
              </a:path>
              <a:path w="7275830" h="2482850">
                <a:moveTo>
                  <a:pt x="4093464" y="1450848"/>
                </a:moveTo>
                <a:lnTo>
                  <a:pt x="3384804" y="1450848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50848"/>
                </a:lnTo>
                <a:close/>
              </a:path>
              <a:path w="7275830" h="2482850">
                <a:moveTo>
                  <a:pt x="4093464" y="1242060"/>
                </a:moveTo>
                <a:lnTo>
                  <a:pt x="3384804" y="1242060"/>
                </a:lnTo>
                <a:lnTo>
                  <a:pt x="3384804" y="1447800"/>
                </a:lnTo>
                <a:lnTo>
                  <a:pt x="4093464" y="1447800"/>
                </a:lnTo>
                <a:lnTo>
                  <a:pt x="4093464" y="1242060"/>
                </a:lnTo>
                <a:close/>
              </a:path>
              <a:path w="7275830" h="248285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48285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48285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48285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48285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48285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482850">
                <a:moveTo>
                  <a:pt x="5154168" y="2278380"/>
                </a:moveTo>
                <a:lnTo>
                  <a:pt x="4096512" y="2278380"/>
                </a:lnTo>
                <a:lnTo>
                  <a:pt x="4096512" y="2482596"/>
                </a:lnTo>
                <a:lnTo>
                  <a:pt x="5154168" y="2482596"/>
                </a:lnTo>
                <a:lnTo>
                  <a:pt x="5154168" y="2278380"/>
                </a:lnTo>
                <a:close/>
              </a:path>
              <a:path w="7275830" h="2482850">
                <a:moveTo>
                  <a:pt x="5154168" y="2071116"/>
                </a:moveTo>
                <a:lnTo>
                  <a:pt x="4096512" y="2071116"/>
                </a:lnTo>
                <a:lnTo>
                  <a:pt x="4096512" y="2275332"/>
                </a:lnTo>
                <a:lnTo>
                  <a:pt x="5154168" y="2275332"/>
                </a:lnTo>
                <a:lnTo>
                  <a:pt x="5154168" y="2071116"/>
                </a:lnTo>
                <a:close/>
              </a:path>
              <a:path w="7275830" h="2482850">
                <a:moveTo>
                  <a:pt x="5154168" y="1863852"/>
                </a:moveTo>
                <a:lnTo>
                  <a:pt x="4096512" y="1863852"/>
                </a:lnTo>
                <a:lnTo>
                  <a:pt x="4096512" y="2068068"/>
                </a:lnTo>
                <a:lnTo>
                  <a:pt x="5154168" y="2068068"/>
                </a:lnTo>
                <a:lnTo>
                  <a:pt x="5154168" y="1863852"/>
                </a:lnTo>
                <a:close/>
              </a:path>
              <a:path w="7275830" h="2482850">
                <a:moveTo>
                  <a:pt x="5154168" y="1656588"/>
                </a:moveTo>
                <a:lnTo>
                  <a:pt x="4096512" y="1656588"/>
                </a:lnTo>
                <a:lnTo>
                  <a:pt x="4096512" y="1860804"/>
                </a:lnTo>
                <a:lnTo>
                  <a:pt x="5154168" y="1860804"/>
                </a:lnTo>
                <a:lnTo>
                  <a:pt x="5154168" y="1656588"/>
                </a:lnTo>
                <a:close/>
              </a:path>
              <a:path w="7275830" h="2482850">
                <a:moveTo>
                  <a:pt x="5154168" y="1450848"/>
                </a:moveTo>
                <a:lnTo>
                  <a:pt x="4096512" y="1450848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50848"/>
                </a:lnTo>
                <a:close/>
              </a:path>
              <a:path w="7275830" h="2482850">
                <a:moveTo>
                  <a:pt x="5154168" y="1242060"/>
                </a:moveTo>
                <a:lnTo>
                  <a:pt x="4096512" y="1242060"/>
                </a:lnTo>
                <a:lnTo>
                  <a:pt x="4096512" y="1447800"/>
                </a:lnTo>
                <a:lnTo>
                  <a:pt x="5154168" y="1447800"/>
                </a:lnTo>
                <a:lnTo>
                  <a:pt x="5154168" y="1242060"/>
                </a:lnTo>
                <a:close/>
              </a:path>
              <a:path w="7275830" h="248285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48285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48285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48285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48285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48285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482850">
                <a:moveTo>
                  <a:pt x="6214872" y="2278380"/>
                </a:moveTo>
                <a:lnTo>
                  <a:pt x="5157216" y="2278380"/>
                </a:lnTo>
                <a:lnTo>
                  <a:pt x="5157216" y="2482596"/>
                </a:lnTo>
                <a:lnTo>
                  <a:pt x="6214872" y="2482596"/>
                </a:lnTo>
                <a:lnTo>
                  <a:pt x="6214872" y="2278380"/>
                </a:lnTo>
                <a:close/>
              </a:path>
              <a:path w="7275830" h="2482850">
                <a:moveTo>
                  <a:pt x="6214872" y="2071116"/>
                </a:moveTo>
                <a:lnTo>
                  <a:pt x="5157216" y="2071116"/>
                </a:lnTo>
                <a:lnTo>
                  <a:pt x="5157216" y="2275332"/>
                </a:lnTo>
                <a:lnTo>
                  <a:pt x="6214872" y="2275332"/>
                </a:lnTo>
                <a:lnTo>
                  <a:pt x="6214872" y="2071116"/>
                </a:lnTo>
                <a:close/>
              </a:path>
              <a:path w="7275830" h="2482850">
                <a:moveTo>
                  <a:pt x="6214872" y="1863852"/>
                </a:moveTo>
                <a:lnTo>
                  <a:pt x="5157216" y="1863852"/>
                </a:lnTo>
                <a:lnTo>
                  <a:pt x="5157216" y="2068068"/>
                </a:lnTo>
                <a:lnTo>
                  <a:pt x="6214872" y="2068068"/>
                </a:lnTo>
                <a:lnTo>
                  <a:pt x="6214872" y="1863852"/>
                </a:lnTo>
                <a:close/>
              </a:path>
              <a:path w="7275830" h="2482850">
                <a:moveTo>
                  <a:pt x="6214872" y="1656588"/>
                </a:moveTo>
                <a:lnTo>
                  <a:pt x="5157216" y="1656588"/>
                </a:lnTo>
                <a:lnTo>
                  <a:pt x="5157216" y="1860804"/>
                </a:lnTo>
                <a:lnTo>
                  <a:pt x="6214872" y="1860804"/>
                </a:lnTo>
                <a:lnTo>
                  <a:pt x="6214872" y="1656588"/>
                </a:lnTo>
                <a:close/>
              </a:path>
              <a:path w="7275830" h="2482850">
                <a:moveTo>
                  <a:pt x="6214872" y="1450848"/>
                </a:moveTo>
                <a:lnTo>
                  <a:pt x="5157216" y="1450848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50848"/>
                </a:lnTo>
                <a:close/>
              </a:path>
              <a:path w="7275830" h="2482850">
                <a:moveTo>
                  <a:pt x="6214872" y="1242060"/>
                </a:moveTo>
                <a:lnTo>
                  <a:pt x="5157216" y="1242060"/>
                </a:lnTo>
                <a:lnTo>
                  <a:pt x="5157216" y="1447800"/>
                </a:lnTo>
                <a:lnTo>
                  <a:pt x="6214872" y="1447800"/>
                </a:lnTo>
                <a:lnTo>
                  <a:pt x="6214872" y="1242060"/>
                </a:lnTo>
                <a:close/>
              </a:path>
              <a:path w="7275830" h="248285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48285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48285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48285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48285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48285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482850">
                <a:moveTo>
                  <a:pt x="7275576" y="2071116"/>
                </a:moveTo>
                <a:lnTo>
                  <a:pt x="6217920" y="2071116"/>
                </a:lnTo>
                <a:lnTo>
                  <a:pt x="6217920" y="2275332"/>
                </a:lnTo>
                <a:lnTo>
                  <a:pt x="7275576" y="2275332"/>
                </a:lnTo>
                <a:lnTo>
                  <a:pt x="7275576" y="2071116"/>
                </a:lnTo>
                <a:close/>
              </a:path>
              <a:path w="7275830" h="2482850">
                <a:moveTo>
                  <a:pt x="7275576" y="1863852"/>
                </a:moveTo>
                <a:lnTo>
                  <a:pt x="6217920" y="1863852"/>
                </a:lnTo>
                <a:lnTo>
                  <a:pt x="6217920" y="2068068"/>
                </a:lnTo>
                <a:lnTo>
                  <a:pt x="7275576" y="2068068"/>
                </a:lnTo>
                <a:lnTo>
                  <a:pt x="7275576" y="1863852"/>
                </a:lnTo>
                <a:close/>
              </a:path>
              <a:path w="7275830" h="2482850">
                <a:moveTo>
                  <a:pt x="7275576" y="1656588"/>
                </a:moveTo>
                <a:lnTo>
                  <a:pt x="6217920" y="1656588"/>
                </a:lnTo>
                <a:lnTo>
                  <a:pt x="6217920" y="1860804"/>
                </a:lnTo>
                <a:lnTo>
                  <a:pt x="7275576" y="1860804"/>
                </a:lnTo>
                <a:lnTo>
                  <a:pt x="7275576" y="1656588"/>
                </a:lnTo>
                <a:close/>
              </a:path>
              <a:path w="7275830" h="2482850">
                <a:moveTo>
                  <a:pt x="7275576" y="1450848"/>
                </a:moveTo>
                <a:lnTo>
                  <a:pt x="6217920" y="1450848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50848"/>
                </a:lnTo>
                <a:close/>
              </a:path>
              <a:path w="7275830" h="2482850">
                <a:moveTo>
                  <a:pt x="7275576" y="1242060"/>
                </a:moveTo>
                <a:lnTo>
                  <a:pt x="6217920" y="1242060"/>
                </a:lnTo>
                <a:lnTo>
                  <a:pt x="6217920" y="1447800"/>
                </a:lnTo>
                <a:lnTo>
                  <a:pt x="7275576" y="1447800"/>
                </a:lnTo>
                <a:lnTo>
                  <a:pt x="7275576" y="1242060"/>
                </a:lnTo>
                <a:close/>
              </a:path>
              <a:path w="7275830" h="248285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48285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48285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48285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48285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48285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600-00003A000000}"/>
              </a:ext>
            </a:extLst>
          </xdr:cNvPr>
          <xdr:cNvSpPr/>
        </xdr:nvSpPr>
        <xdr:spPr>
          <a:xfrm>
            <a:off x="0" y="2071115"/>
            <a:ext cx="7275830" cy="1446530"/>
          </a:xfrm>
          <a:custGeom>
            <a:avLst/>
            <a:gdLst/>
            <a:ahLst/>
            <a:cxnLst/>
            <a:rect l="0" t="0" r="0" b="0"/>
            <a:pathLst>
              <a:path w="7275830" h="1446530">
                <a:moveTo>
                  <a:pt x="347472" y="0"/>
                </a:moveTo>
                <a:lnTo>
                  <a:pt x="0" y="0"/>
                </a:lnTo>
                <a:lnTo>
                  <a:pt x="0" y="1446276"/>
                </a:lnTo>
                <a:lnTo>
                  <a:pt x="347472" y="1446276"/>
                </a:lnTo>
                <a:lnTo>
                  <a:pt x="347472" y="0"/>
                </a:lnTo>
                <a:close/>
              </a:path>
              <a:path w="7275830" h="1446530">
                <a:moveTo>
                  <a:pt x="1408176" y="0"/>
                </a:moveTo>
                <a:lnTo>
                  <a:pt x="350520" y="0"/>
                </a:lnTo>
                <a:lnTo>
                  <a:pt x="350520" y="1446276"/>
                </a:lnTo>
                <a:lnTo>
                  <a:pt x="1408176" y="1446276"/>
                </a:lnTo>
                <a:lnTo>
                  <a:pt x="1408176" y="0"/>
                </a:lnTo>
                <a:close/>
              </a:path>
              <a:path w="7275830" h="1446530">
                <a:moveTo>
                  <a:pt x="2819400" y="0"/>
                </a:moveTo>
                <a:lnTo>
                  <a:pt x="1411224" y="0"/>
                </a:lnTo>
                <a:lnTo>
                  <a:pt x="1411224" y="1446276"/>
                </a:lnTo>
                <a:lnTo>
                  <a:pt x="2819400" y="1446276"/>
                </a:lnTo>
                <a:lnTo>
                  <a:pt x="2819400" y="0"/>
                </a:lnTo>
                <a:close/>
              </a:path>
              <a:path w="7275830" h="144653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144653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144653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1446530">
                <a:moveTo>
                  <a:pt x="3381756" y="621792"/>
                </a:moveTo>
                <a:lnTo>
                  <a:pt x="2822448" y="621792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1792"/>
                </a:lnTo>
                <a:close/>
              </a:path>
              <a:path w="7275830" h="1446530">
                <a:moveTo>
                  <a:pt x="3381756" y="414528"/>
                </a:moveTo>
                <a:lnTo>
                  <a:pt x="2822448" y="414528"/>
                </a:lnTo>
                <a:lnTo>
                  <a:pt x="2822448" y="618744"/>
                </a:lnTo>
                <a:lnTo>
                  <a:pt x="3381756" y="618744"/>
                </a:lnTo>
                <a:lnTo>
                  <a:pt x="3381756" y="414528"/>
                </a:lnTo>
                <a:close/>
              </a:path>
              <a:path w="7275830" h="144653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144653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144653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1446530">
                <a:moveTo>
                  <a:pt x="4093464" y="621792"/>
                </a:moveTo>
                <a:lnTo>
                  <a:pt x="3384804" y="621792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1792"/>
                </a:lnTo>
                <a:close/>
              </a:path>
              <a:path w="7275830" h="1446530">
                <a:moveTo>
                  <a:pt x="4093464" y="414528"/>
                </a:moveTo>
                <a:lnTo>
                  <a:pt x="3384804" y="414528"/>
                </a:lnTo>
                <a:lnTo>
                  <a:pt x="3384804" y="618744"/>
                </a:lnTo>
                <a:lnTo>
                  <a:pt x="4093464" y="618744"/>
                </a:lnTo>
                <a:lnTo>
                  <a:pt x="4093464" y="414528"/>
                </a:lnTo>
                <a:close/>
              </a:path>
              <a:path w="7275830" h="144653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144653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144653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1446530">
                <a:moveTo>
                  <a:pt x="5154168" y="621792"/>
                </a:moveTo>
                <a:lnTo>
                  <a:pt x="4096512" y="621792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1792"/>
                </a:lnTo>
                <a:close/>
              </a:path>
              <a:path w="7275830" h="1446530">
                <a:moveTo>
                  <a:pt x="5154168" y="414528"/>
                </a:moveTo>
                <a:lnTo>
                  <a:pt x="4096512" y="414528"/>
                </a:lnTo>
                <a:lnTo>
                  <a:pt x="4096512" y="618744"/>
                </a:lnTo>
                <a:lnTo>
                  <a:pt x="5154168" y="618744"/>
                </a:lnTo>
                <a:lnTo>
                  <a:pt x="5154168" y="414528"/>
                </a:lnTo>
                <a:close/>
              </a:path>
              <a:path w="7275830" h="144653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144653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144653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1446530">
                <a:moveTo>
                  <a:pt x="6214872" y="621792"/>
                </a:moveTo>
                <a:lnTo>
                  <a:pt x="5157216" y="621792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1792"/>
                </a:lnTo>
                <a:close/>
              </a:path>
              <a:path w="7275830" h="1446530">
                <a:moveTo>
                  <a:pt x="6214872" y="414528"/>
                </a:moveTo>
                <a:lnTo>
                  <a:pt x="5157216" y="414528"/>
                </a:lnTo>
                <a:lnTo>
                  <a:pt x="5157216" y="618744"/>
                </a:lnTo>
                <a:lnTo>
                  <a:pt x="6214872" y="618744"/>
                </a:lnTo>
                <a:lnTo>
                  <a:pt x="6214872" y="414528"/>
                </a:lnTo>
                <a:close/>
              </a:path>
              <a:path w="7275830" h="144653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144653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144653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144653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1446530">
                <a:moveTo>
                  <a:pt x="7275576" y="621792"/>
                </a:moveTo>
                <a:lnTo>
                  <a:pt x="6217920" y="621792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1792"/>
                </a:lnTo>
                <a:close/>
              </a:path>
              <a:path w="7275830" h="1446530">
                <a:moveTo>
                  <a:pt x="7275576" y="414528"/>
                </a:moveTo>
                <a:lnTo>
                  <a:pt x="6217920" y="414528"/>
                </a:lnTo>
                <a:lnTo>
                  <a:pt x="6217920" y="618744"/>
                </a:lnTo>
                <a:lnTo>
                  <a:pt x="7275576" y="618744"/>
                </a:lnTo>
                <a:lnTo>
                  <a:pt x="7275576" y="414528"/>
                </a:lnTo>
                <a:close/>
              </a:path>
              <a:path w="7275830" h="144653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23</xdr:row>
      <xdr:rowOff>0</xdr:rowOff>
    </xdr:from>
    <xdr:ext cx="708660" cy="351790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/>
      </xdr:nvSpPr>
      <xdr:spPr>
        <a:xfrm>
          <a:off x="0" y="0"/>
          <a:ext cx="708660" cy="3517900"/>
        </a:xfrm>
        <a:custGeom>
          <a:avLst/>
          <a:gdLst/>
          <a:ahLst/>
          <a:cxnLst/>
          <a:rect l="0" t="0" r="0" b="0"/>
          <a:pathLst>
            <a:path w="708660" h="3517900">
              <a:moveTo>
                <a:pt x="708660" y="3313176"/>
              </a:moveTo>
              <a:lnTo>
                <a:pt x="0" y="3313176"/>
              </a:lnTo>
              <a:lnTo>
                <a:pt x="0" y="3517392"/>
              </a:lnTo>
              <a:lnTo>
                <a:pt x="708660" y="3517392"/>
              </a:lnTo>
              <a:lnTo>
                <a:pt x="708660" y="3313176"/>
              </a:lnTo>
              <a:close/>
            </a:path>
            <a:path w="708660" h="3517900">
              <a:moveTo>
                <a:pt x="708660" y="3105912"/>
              </a:moveTo>
              <a:lnTo>
                <a:pt x="0" y="3105912"/>
              </a:lnTo>
              <a:lnTo>
                <a:pt x="0" y="3310128"/>
              </a:lnTo>
              <a:lnTo>
                <a:pt x="708660" y="3310128"/>
              </a:lnTo>
              <a:lnTo>
                <a:pt x="708660" y="3105912"/>
              </a:lnTo>
              <a:close/>
            </a:path>
            <a:path w="708660" h="3517900">
              <a:moveTo>
                <a:pt x="708660" y="2898648"/>
              </a:moveTo>
              <a:lnTo>
                <a:pt x="0" y="2898648"/>
              </a:lnTo>
              <a:lnTo>
                <a:pt x="0" y="3102864"/>
              </a:lnTo>
              <a:lnTo>
                <a:pt x="708660" y="3102864"/>
              </a:lnTo>
              <a:lnTo>
                <a:pt x="708660" y="2898648"/>
              </a:lnTo>
              <a:close/>
            </a:path>
            <a:path w="708660" h="3517900">
              <a:moveTo>
                <a:pt x="708660" y="2692908"/>
              </a:moveTo>
              <a:lnTo>
                <a:pt x="0" y="2692908"/>
              </a:lnTo>
              <a:lnTo>
                <a:pt x="0" y="2895600"/>
              </a:lnTo>
              <a:lnTo>
                <a:pt x="708660" y="2895600"/>
              </a:lnTo>
              <a:lnTo>
                <a:pt x="708660" y="2692908"/>
              </a:lnTo>
              <a:close/>
            </a:path>
            <a:path w="708660" h="3517900">
              <a:moveTo>
                <a:pt x="708660" y="2485644"/>
              </a:moveTo>
              <a:lnTo>
                <a:pt x="0" y="2485644"/>
              </a:lnTo>
              <a:lnTo>
                <a:pt x="0" y="2689860"/>
              </a:lnTo>
              <a:lnTo>
                <a:pt x="708660" y="2689860"/>
              </a:lnTo>
              <a:lnTo>
                <a:pt x="708660" y="2485644"/>
              </a:lnTo>
              <a:close/>
            </a:path>
            <a:path w="708660" h="3517900">
              <a:moveTo>
                <a:pt x="708660" y="2278380"/>
              </a:moveTo>
              <a:lnTo>
                <a:pt x="0" y="2278380"/>
              </a:lnTo>
              <a:lnTo>
                <a:pt x="0" y="2482596"/>
              </a:lnTo>
              <a:lnTo>
                <a:pt x="708660" y="2482596"/>
              </a:lnTo>
              <a:lnTo>
                <a:pt x="708660" y="2278380"/>
              </a:lnTo>
              <a:close/>
            </a:path>
            <a:path w="708660" h="3517900">
              <a:moveTo>
                <a:pt x="708660" y="2071116"/>
              </a:moveTo>
              <a:lnTo>
                <a:pt x="0" y="2071116"/>
              </a:lnTo>
              <a:lnTo>
                <a:pt x="0" y="2275332"/>
              </a:lnTo>
              <a:lnTo>
                <a:pt x="708660" y="2275332"/>
              </a:lnTo>
              <a:lnTo>
                <a:pt x="708660" y="2071116"/>
              </a:lnTo>
              <a:close/>
            </a:path>
            <a:path w="708660" h="3517900">
              <a:moveTo>
                <a:pt x="708660" y="1863852"/>
              </a:moveTo>
              <a:lnTo>
                <a:pt x="0" y="1863852"/>
              </a:lnTo>
              <a:lnTo>
                <a:pt x="0" y="2068068"/>
              </a:lnTo>
              <a:lnTo>
                <a:pt x="708660" y="2068068"/>
              </a:lnTo>
              <a:lnTo>
                <a:pt x="708660" y="1863852"/>
              </a:lnTo>
              <a:close/>
            </a:path>
            <a:path w="708660" h="3517900">
              <a:moveTo>
                <a:pt x="708660" y="1656588"/>
              </a:moveTo>
              <a:lnTo>
                <a:pt x="0" y="1656588"/>
              </a:lnTo>
              <a:lnTo>
                <a:pt x="0" y="1860804"/>
              </a:lnTo>
              <a:lnTo>
                <a:pt x="708660" y="1860804"/>
              </a:lnTo>
              <a:lnTo>
                <a:pt x="708660" y="1656588"/>
              </a:lnTo>
              <a:close/>
            </a:path>
            <a:path w="708660" h="3517900">
              <a:moveTo>
                <a:pt x="708660" y="1450848"/>
              </a:moveTo>
              <a:lnTo>
                <a:pt x="0" y="1450848"/>
              </a:lnTo>
              <a:lnTo>
                <a:pt x="0" y="1653540"/>
              </a:lnTo>
              <a:lnTo>
                <a:pt x="708660" y="1653540"/>
              </a:lnTo>
              <a:lnTo>
                <a:pt x="708660" y="1450848"/>
              </a:lnTo>
              <a:close/>
            </a:path>
            <a:path w="708660" h="3517900">
              <a:moveTo>
                <a:pt x="708660" y="1242060"/>
              </a:moveTo>
              <a:lnTo>
                <a:pt x="0" y="1242060"/>
              </a:lnTo>
              <a:lnTo>
                <a:pt x="0" y="1447800"/>
              </a:lnTo>
              <a:lnTo>
                <a:pt x="708660" y="1447800"/>
              </a:lnTo>
              <a:lnTo>
                <a:pt x="708660" y="1242060"/>
              </a:lnTo>
              <a:close/>
            </a:path>
            <a:path w="708660" h="351790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51790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51790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51790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51790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51790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18</xdr:row>
      <xdr:rowOff>206501</xdr:rowOff>
    </xdr:from>
    <xdr:ext cx="3179445" cy="37528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61" name="image1.jpeg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62" name="image2.jpeg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63" name="image3.jpeg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2</xdr:col>
      <xdr:colOff>541274</xdr:colOff>
      <xdr:row>20</xdr:row>
      <xdr:rowOff>0</xdr:rowOff>
    </xdr:from>
    <xdr:ext cx="5864860" cy="3101340"/>
    <xdr:grpSp>
      <xdr:nvGrpSpPr>
        <xdr:cNvPr id="64" name="Group 64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GrpSpPr/>
      </xdr:nvGrpSpPr>
      <xdr:grpSpPr>
        <a:xfrm>
          <a:off x="2309114" y="4983480"/>
          <a:ext cx="5864860" cy="3101340"/>
          <a:chOff x="0" y="0"/>
          <a:chExt cx="5864860" cy="3101340"/>
        </a:xfrm>
      </xdr:grpSpPr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700-000041000000}"/>
              </a:ext>
            </a:extLst>
          </xdr:cNvPr>
          <xdr:cNvSpPr/>
        </xdr:nvSpPr>
        <xdr:spPr>
          <a:xfrm>
            <a:off x="0" y="0"/>
            <a:ext cx="5864860" cy="2894330"/>
          </a:xfrm>
          <a:custGeom>
            <a:avLst/>
            <a:gdLst/>
            <a:ahLst/>
            <a:cxnLst/>
            <a:rect l="0" t="0" r="0" b="0"/>
            <a:pathLst>
              <a:path w="5864860" h="2894330">
                <a:moveTo>
                  <a:pt x="1408176" y="0"/>
                </a:moveTo>
                <a:lnTo>
                  <a:pt x="0" y="0"/>
                </a:lnTo>
                <a:lnTo>
                  <a:pt x="0" y="1653540"/>
                </a:lnTo>
                <a:lnTo>
                  <a:pt x="1408176" y="1653540"/>
                </a:lnTo>
                <a:lnTo>
                  <a:pt x="1408176" y="0"/>
                </a:lnTo>
                <a:close/>
              </a:path>
              <a:path w="5864860" h="2894330">
                <a:moveTo>
                  <a:pt x="1970532" y="2689860"/>
                </a:moveTo>
                <a:lnTo>
                  <a:pt x="1411224" y="2689860"/>
                </a:lnTo>
                <a:lnTo>
                  <a:pt x="1411224" y="2894076"/>
                </a:lnTo>
                <a:lnTo>
                  <a:pt x="1970532" y="2894076"/>
                </a:lnTo>
                <a:lnTo>
                  <a:pt x="1970532" y="2689860"/>
                </a:lnTo>
                <a:close/>
              </a:path>
              <a:path w="5864860" h="2894330">
                <a:moveTo>
                  <a:pt x="1970532" y="2484120"/>
                </a:moveTo>
                <a:lnTo>
                  <a:pt x="1411224" y="2484120"/>
                </a:lnTo>
                <a:lnTo>
                  <a:pt x="1411224" y="2686812"/>
                </a:lnTo>
                <a:lnTo>
                  <a:pt x="1970532" y="2686812"/>
                </a:lnTo>
                <a:lnTo>
                  <a:pt x="1970532" y="2484120"/>
                </a:lnTo>
                <a:close/>
              </a:path>
              <a:path w="5864860" h="2894330">
                <a:moveTo>
                  <a:pt x="1970532" y="2276856"/>
                </a:moveTo>
                <a:lnTo>
                  <a:pt x="1411224" y="2276856"/>
                </a:lnTo>
                <a:lnTo>
                  <a:pt x="1411224" y="2481072"/>
                </a:lnTo>
                <a:lnTo>
                  <a:pt x="1970532" y="2481072"/>
                </a:lnTo>
                <a:lnTo>
                  <a:pt x="1970532" y="2276856"/>
                </a:lnTo>
                <a:close/>
              </a:path>
              <a:path w="5864860" h="2894330">
                <a:moveTo>
                  <a:pt x="1970532" y="2069592"/>
                </a:moveTo>
                <a:lnTo>
                  <a:pt x="1411224" y="2069592"/>
                </a:lnTo>
                <a:lnTo>
                  <a:pt x="1411224" y="2273808"/>
                </a:lnTo>
                <a:lnTo>
                  <a:pt x="1970532" y="2273808"/>
                </a:lnTo>
                <a:lnTo>
                  <a:pt x="1970532" y="2069592"/>
                </a:lnTo>
                <a:close/>
              </a:path>
              <a:path w="5864860" h="2894330">
                <a:moveTo>
                  <a:pt x="1970532" y="1862328"/>
                </a:moveTo>
                <a:lnTo>
                  <a:pt x="1411224" y="1862328"/>
                </a:lnTo>
                <a:lnTo>
                  <a:pt x="1411224" y="2066544"/>
                </a:lnTo>
                <a:lnTo>
                  <a:pt x="1970532" y="2066544"/>
                </a:lnTo>
                <a:lnTo>
                  <a:pt x="1970532" y="1862328"/>
                </a:lnTo>
                <a:close/>
              </a:path>
              <a:path w="5864860" h="2894330">
                <a:moveTo>
                  <a:pt x="1970532" y="1656588"/>
                </a:moveTo>
                <a:lnTo>
                  <a:pt x="1411224" y="1656588"/>
                </a:lnTo>
                <a:lnTo>
                  <a:pt x="1411224" y="1859280"/>
                </a:lnTo>
                <a:lnTo>
                  <a:pt x="1970532" y="1859280"/>
                </a:lnTo>
                <a:lnTo>
                  <a:pt x="1970532" y="1656588"/>
                </a:lnTo>
                <a:close/>
              </a:path>
              <a:path w="5864860" h="2894330">
                <a:moveTo>
                  <a:pt x="1970532" y="1449324"/>
                </a:moveTo>
                <a:lnTo>
                  <a:pt x="1411224" y="1449324"/>
                </a:lnTo>
                <a:lnTo>
                  <a:pt x="1411224" y="1653540"/>
                </a:lnTo>
                <a:lnTo>
                  <a:pt x="1970532" y="1653540"/>
                </a:lnTo>
                <a:lnTo>
                  <a:pt x="1970532" y="1449324"/>
                </a:lnTo>
                <a:close/>
              </a:path>
              <a:path w="5864860" h="2894330">
                <a:moveTo>
                  <a:pt x="1970532" y="1242060"/>
                </a:moveTo>
                <a:lnTo>
                  <a:pt x="1411224" y="1242060"/>
                </a:lnTo>
                <a:lnTo>
                  <a:pt x="1411224" y="1446276"/>
                </a:lnTo>
                <a:lnTo>
                  <a:pt x="1970532" y="1446276"/>
                </a:lnTo>
                <a:lnTo>
                  <a:pt x="1970532" y="1242060"/>
                </a:lnTo>
                <a:close/>
              </a:path>
              <a:path w="5864860" h="2894330">
                <a:moveTo>
                  <a:pt x="1970532" y="1034796"/>
                </a:moveTo>
                <a:lnTo>
                  <a:pt x="1411224" y="1034796"/>
                </a:lnTo>
                <a:lnTo>
                  <a:pt x="1411224" y="1239012"/>
                </a:lnTo>
                <a:lnTo>
                  <a:pt x="1970532" y="1239012"/>
                </a:lnTo>
                <a:lnTo>
                  <a:pt x="1970532" y="1034796"/>
                </a:lnTo>
                <a:close/>
              </a:path>
              <a:path w="5864860" h="2894330">
                <a:moveTo>
                  <a:pt x="1970532" y="827532"/>
                </a:moveTo>
                <a:lnTo>
                  <a:pt x="1411224" y="827532"/>
                </a:lnTo>
                <a:lnTo>
                  <a:pt x="1411224" y="1031748"/>
                </a:lnTo>
                <a:lnTo>
                  <a:pt x="1970532" y="1031748"/>
                </a:lnTo>
                <a:lnTo>
                  <a:pt x="1970532" y="827532"/>
                </a:lnTo>
                <a:close/>
              </a:path>
              <a:path w="5864860" h="2894330">
                <a:moveTo>
                  <a:pt x="1970532" y="620268"/>
                </a:moveTo>
                <a:lnTo>
                  <a:pt x="1411224" y="620268"/>
                </a:lnTo>
                <a:lnTo>
                  <a:pt x="1411224" y="824484"/>
                </a:lnTo>
                <a:lnTo>
                  <a:pt x="1970532" y="824484"/>
                </a:lnTo>
                <a:lnTo>
                  <a:pt x="1970532" y="620268"/>
                </a:lnTo>
                <a:close/>
              </a:path>
              <a:path w="5864860" h="2894330">
                <a:moveTo>
                  <a:pt x="1970532" y="414528"/>
                </a:moveTo>
                <a:lnTo>
                  <a:pt x="1411224" y="414528"/>
                </a:lnTo>
                <a:lnTo>
                  <a:pt x="1411224" y="617220"/>
                </a:lnTo>
                <a:lnTo>
                  <a:pt x="1970532" y="617220"/>
                </a:lnTo>
                <a:lnTo>
                  <a:pt x="1970532" y="414528"/>
                </a:lnTo>
                <a:close/>
              </a:path>
              <a:path w="5864860" h="2894330">
                <a:moveTo>
                  <a:pt x="1970532" y="207264"/>
                </a:moveTo>
                <a:lnTo>
                  <a:pt x="1411224" y="207264"/>
                </a:lnTo>
                <a:lnTo>
                  <a:pt x="1411224" y="411480"/>
                </a:lnTo>
                <a:lnTo>
                  <a:pt x="1970532" y="411480"/>
                </a:lnTo>
                <a:lnTo>
                  <a:pt x="1970532" y="207264"/>
                </a:lnTo>
                <a:close/>
              </a:path>
              <a:path w="5864860" h="2894330">
                <a:moveTo>
                  <a:pt x="1970532" y="0"/>
                </a:moveTo>
                <a:lnTo>
                  <a:pt x="1411224" y="0"/>
                </a:lnTo>
                <a:lnTo>
                  <a:pt x="1411224" y="204216"/>
                </a:lnTo>
                <a:lnTo>
                  <a:pt x="1970532" y="204216"/>
                </a:lnTo>
                <a:lnTo>
                  <a:pt x="1970532" y="0"/>
                </a:lnTo>
                <a:close/>
              </a:path>
              <a:path w="5864860" h="2894330">
                <a:moveTo>
                  <a:pt x="2682240" y="2689860"/>
                </a:moveTo>
                <a:lnTo>
                  <a:pt x="1973580" y="2689860"/>
                </a:lnTo>
                <a:lnTo>
                  <a:pt x="1973580" y="2894076"/>
                </a:lnTo>
                <a:lnTo>
                  <a:pt x="2682240" y="2894076"/>
                </a:lnTo>
                <a:lnTo>
                  <a:pt x="2682240" y="2689860"/>
                </a:lnTo>
                <a:close/>
              </a:path>
              <a:path w="5864860" h="2894330">
                <a:moveTo>
                  <a:pt x="2682240" y="2484120"/>
                </a:moveTo>
                <a:lnTo>
                  <a:pt x="1973580" y="2484120"/>
                </a:lnTo>
                <a:lnTo>
                  <a:pt x="1973580" y="2686812"/>
                </a:lnTo>
                <a:lnTo>
                  <a:pt x="2682240" y="2686812"/>
                </a:lnTo>
                <a:lnTo>
                  <a:pt x="2682240" y="2484120"/>
                </a:lnTo>
                <a:close/>
              </a:path>
              <a:path w="5864860" h="2894330">
                <a:moveTo>
                  <a:pt x="2682240" y="2276856"/>
                </a:moveTo>
                <a:lnTo>
                  <a:pt x="1973580" y="2276856"/>
                </a:lnTo>
                <a:lnTo>
                  <a:pt x="1973580" y="2481072"/>
                </a:lnTo>
                <a:lnTo>
                  <a:pt x="2682240" y="2481072"/>
                </a:lnTo>
                <a:lnTo>
                  <a:pt x="2682240" y="2276856"/>
                </a:lnTo>
                <a:close/>
              </a:path>
              <a:path w="5864860" h="2894330">
                <a:moveTo>
                  <a:pt x="2682240" y="2069592"/>
                </a:moveTo>
                <a:lnTo>
                  <a:pt x="1973580" y="2069592"/>
                </a:lnTo>
                <a:lnTo>
                  <a:pt x="1973580" y="2273808"/>
                </a:lnTo>
                <a:lnTo>
                  <a:pt x="2682240" y="2273808"/>
                </a:lnTo>
                <a:lnTo>
                  <a:pt x="2682240" y="2069592"/>
                </a:lnTo>
                <a:close/>
              </a:path>
              <a:path w="5864860" h="2894330">
                <a:moveTo>
                  <a:pt x="2682240" y="1862328"/>
                </a:moveTo>
                <a:lnTo>
                  <a:pt x="1973580" y="1862328"/>
                </a:lnTo>
                <a:lnTo>
                  <a:pt x="1973580" y="2066544"/>
                </a:lnTo>
                <a:lnTo>
                  <a:pt x="2682240" y="2066544"/>
                </a:lnTo>
                <a:lnTo>
                  <a:pt x="2682240" y="1862328"/>
                </a:lnTo>
                <a:close/>
              </a:path>
              <a:path w="5864860" h="2894330">
                <a:moveTo>
                  <a:pt x="2682240" y="1656588"/>
                </a:moveTo>
                <a:lnTo>
                  <a:pt x="1973580" y="1656588"/>
                </a:lnTo>
                <a:lnTo>
                  <a:pt x="1973580" y="1859280"/>
                </a:lnTo>
                <a:lnTo>
                  <a:pt x="2682240" y="1859280"/>
                </a:lnTo>
                <a:lnTo>
                  <a:pt x="2682240" y="1656588"/>
                </a:lnTo>
                <a:close/>
              </a:path>
              <a:path w="5864860" h="2894330">
                <a:moveTo>
                  <a:pt x="2682240" y="1449324"/>
                </a:moveTo>
                <a:lnTo>
                  <a:pt x="1973580" y="1449324"/>
                </a:lnTo>
                <a:lnTo>
                  <a:pt x="1973580" y="1653540"/>
                </a:lnTo>
                <a:lnTo>
                  <a:pt x="2682240" y="1653540"/>
                </a:lnTo>
                <a:lnTo>
                  <a:pt x="2682240" y="1449324"/>
                </a:lnTo>
                <a:close/>
              </a:path>
              <a:path w="5864860" h="2894330">
                <a:moveTo>
                  <a:pt x="2682240" y="1242060"/>
                </a:moveTo>
                <a:lnTo>
                  <a:pt x="1973580" y="1242060"/>
                </a:lnTo>
                <a:lnTo>
                  <a:pt x="1973580" y="1446276"/>
                </a:lnTo>
                <a:lnTo>
                  <a:pt x="2682240" y="1446276"/>
                </a:lnTo>
                <a:lnTo>
                  <a:pt x="2682240" y="1242060"/>
                </a:lnTo>
                <a:close/>
              </a:path>
              <a:path w="5864860" h="2894330">
                <a:moveTo>
                  <a:pt x="2682240" y="1034796"/>
                </a:moveTo>
                <a:lnTo>
                  <a:pt x="1973580" y="1034796"/>
                </a:lnTo>
                <a:lnTo>
                  <a:pt x="1973580" y="1239012"/>
                </a:lnTo>
                <a:lnTo>
                  <a:pt x="2682240" y="1239012"/>
                </a:lnTo>
                <a:lnTo>
                  <a:pt x="2682240" y="1034796"/>
                </a:lnTo>
                <a:close/>
              </a:path>
              <a:path w="5864860" h="2894330">
                <a:moveTo>
                  <a:pt x="2682240" y="827532"/>
                </a:moveTo>
                <a:lnTo>
                  <a:pt x="1973580" y="827532"/>
                </a:lnTo>
                <a:lnTo>
                  <a:pt x="1973580" y="1031748"/>
                </a:lnTo>
                <a:lnTo>
                  <a:pt x="2682240" y="1031748"/>
                </a:lnTo>
                <a:lnTo>
                  <a:pt x="2682240" y="827532"/>
                </a:lnTo>
                <a:close/>
              </a:path>
              <a:path w="5864860" h="2894330">
                <a:moveTo>
                  <a:pt x="2682240" y="620268"/>
                </a:moveTo>
                <a:lnTo>
                  <a:pt x="1973580" y="620268"/>
                </a:lnTo>
                <a:lnTo>
                  <a:pt x="1973580" y="824484"/>
                </a:lnTo>
                <a:lnTo>
                  <a:pt x="2682240" y="824484"/>
                </a:lnTo>
                <a:lnTo>
                  <a:pt x="2682240" y="620268"/>
                </a:lnTo>
                <a:close/>
              </a:path>
              <a:path w="5864860" h="2894330">
                <a:moveTo>
                  <a:pt x="2682240" y="414528"/>
                </a:moveTo>
                <a:lnTo>
                  <a:pt x="1973580" y="414528"/>
                </a:lnTo>
                <a:lnTo>
                  <a:pt x="1973580" y="617220"/>
                </a:lnTo>
                <a:lnTo>
                  <a:pt x="2682240" y="617220"/>
                </a:lnTo>
                <a:lnTo>
                  <a:pt x="2682240" y="414528"/>
                </a:lnTo>
                <a:close/>
              </a:path>
              <a:path w="5864860" h="2894330">
                <a:moveTo>
                  <a:pt x="2682240" y="207264"/>
                </a:moveTo>
                <a:lnTo>
                  <a:pt x="1973580" y="207264"/>
                </a:lnTo>
                <a:lnTo>
                  <a:pt x="1973580" y="411480"/>
                </a:lnTo>
                <a:lnTo>
                  <a:pt x="2682240" y="411480"/>
                </a:lnTo>
                <a:lnTo>
                  <a:pt x="2682240" y="207264"/>
                </a:lnTo>
                <a:close/>
              </a:path>
              <a:path w="5864860" h="2894330">
                <a:moveTo>
                  <a:pt x="2682240" y="0"/>
                </a:moveTo>
                <a:lnTo>
                  <a:pt x="1973580" y="0"/>
                </a:lnTo>
                <a:lnTo>
                  <a:pt x="1973580" y="204216"/>
                </a:lnTo>
                <a:lnTo>
                  <a:pt x="2682240" y="204216"/>
                </a:lnTo>
                <a:lnTo>
                  <a:pt x="2682240" y="0"/>
                </a:lnTo>
                <a:close/>
              </a:path>
              <a:path w="5864860" h="2894330">
                <a:moveTo>
                  <a:pt x="3742944" y="2689860"/>
                </a:moveTo>
                <a:lnTo>
                  <a:pt x="2685288" y="2689860"/>
                </a:lnTo>
                <a:lnTo>
                  <a:pt x="2685288" y="2894076"/>
                </a:lnTo>
                <a:lnTo>
                  <a:pt x="3742944" y="2894076"/>
                </a:lnTo>
                <a:lnTo>
                  <a:pt x="3742944" y="2689860"/>
                </a:lnTo>
                <a:close/>
              </a:path>
              <a:path w="5864860" h="2894330">
                <a:moveTo>
                  <a:pt x="3742944" y="2484120"/>
                </a:moveTo>
                <a:lnTo>
                  <a:pt x="2685288" y="2484120"/>
                </a:lnTo>
                <a:lnTo>
                  <a:pt x="2685288" y="2686812"/>
                </a:lnTo>
                <a:lnTo>
                  <a:pt x="3742944" y="2686812"/>
                </a:lnTo>
                <a:lnTo>
                  <a:pt x="3742944" y="2484120"/>
                </a:lnTo>
                <a:close/>
              </a:path>
              <a:path w="5864860" h="2894330">
                <a:moveTo>
                  <a:pt x="3742944" y="2276856"/>
                </a:moveTo>
                <a:lnTo>
                  <a:pt x="2685288" y="2276856"/>
                </a:lnTo>
                <a:lnTo>
                  <a:pt x="2685288" y="2481072"/>
                </a:lnTo>
                <a:lnTo>
                  <a:pt x="3742944" y="2481072"/>
                </a:lnTo>
                <a:lnTo>
                  <a:pt x="3742944" y="2276856"/>
                </a:lnTo>
                <a:close/>
              </a:path>
              <a:path w="5864860" h="2894330">
                <a:moveTo>
                  <a:pt x="3742944" y="2069592"/>
                </a:moveTo>
                <a:lnTo>
                  <a:pt x="2685288" y="2069592"/>
                </a:lnTo>
                <a:lnTo>
                  <a:pt x="2685288" y="2273808"/>
                </a:lnTo>
                <a:lnTo>
                  <a:pt x="3742944" y="2273808"/>
                </a:lnTo>
                <a:lnTo>
                  <a:pt x="3742944" y="2069592"/>
                </a:lnTo>
                <a:close/>
              </a:path>
              <a:path w="5864860" h="2894330">
                <a:moveTo>
                  <a:pt x="3742944" y="1862328"/>
                </a:moveTo>
                <a:lnTo>
                  <a:pt x="2685288" y="1862328"/>
                </a:lnTo>
                <a:lnTo>
                  <a:pt x="2685288" y="2066544"/>
                </a:lnTo>
                <a:lnTo>
                  <a:pt x="3742944" y="2066544"/>
                </a:lnTo>
                <a:lnTo>
                  <a:pt x="3742944" y="1862328"/>
                </a:lnTo>
                <a:close/>
              </a:path>
              <a:path w="5864860" h="2894330">
                <a:moveTo>
                  <a:pt x="3742944" y="1656588"/>
                </a:moveTo>
                <a:lnTo>
                  <a:pt x="2685288" y="1656588"/>
                </a:lnTo>
                <a:lnTo>
                  <a:pt x="2685288" y="1859280"/>
                </a:lnTo>
                <a:lnTo>
                  <a:pt x="3742944" y="1859280"/>
                </a:lnTo>
                <a:lnTo>
                  <a:pt x="3742944" y="1656588"/>
                </a:lnTo>
                <a:close/>
              </a:path>
              <a:path w="5864860" h="2894330">
                <a:moveTo>
                  <a:pt x="3742944" y="1449324"/>
                </a:moveTo>
                <a:lnTo>
                  <a:pt x="2685288" y="1449324"/>
                </a:lnTo>
                <a:lnTo>
                  <a:pt x="2685288" y="1653540"/>
                </a:lnTo>
                <a:lnTo>
                  <a:pt x="3742944" y="1653540"/>
                </a:lnTo>
                <a:lnTo>
                  <a:pt x="3742944" y="1449324"/>
                </a:lnTo>
                <a:close/>
              </a:path>
              <a:path w="5864860" h="2894330">
                <a:moveTo>
                  <a:pt x="3742944" y="1242060"/>
                </a:moveTo>
                <a:lnTo>
                  <a:pt x="2685288" y="1242060"/>
                </a:lnTo>
                <a:lnTo>
                  <a:pt x="2685288" y="1446276"/>
                </a:lnTo>
                <a:lnTo>
                  <a:pt x="3742944" y="1446276"/>
                </a:lnTo>
                <a:lnTo>
                  <a:pt x="3742944" y="1242060"/>
                </a:lnTo>
                <a:close/>
              </a:path>
              <a:path w="5864860" h="2894330">
                <a:moveTo>
                  <a:pt x="3742944" y="1034796"/>
                </a:moveTo>
                <a:lnTo>
                  <a:pt x="2685288" y="1034796"/>
                </a:lnTo>
                <a:lnTo>
                  <a:pt x="2685288" y="1239012"/>
                </a:lnTo>
                <a:lnTo>
                  <a:pt x="3742944" y="1239012"/>
                </a:lnTo>
                <a:lnTo>
                  <a:pt x="3742944" y="1034796"/>
                </a:lnTo>
                <a:close/>
              </a:path>
              <a:path w="5864860" h="2894330">
                <a:moveTo>
                  <a:pt x="3742944" y="827532"/>
                </a:moveTo>
                <a:lnTo>
                  <a:pt x="2685288" y="827532"/>
                </a:lnTo>
                <a:lnTo>
                  <a:pt x="2685288" y="1031748"/>
                </a:lnTo>
                <a:lnTo>
                  <a:pt x="3742944" y="1031748"/>
                </a:lnTo>
                <a:lnTo>
                  <a:pt x="3742944" y="827532"/>
                </a:lnTo>
                <a:close/>
              </a:path>
              <a:path w="5864860" h="2894330">
                <a:moveTo>
                  <a:pt x="3742944" y="620268"/>
                </a:moveTo>
                <a:lnTo>
                  <a:pt x="2685288" y="620268"/>
                </a:lnTo>
                <a:lnTo>
                  <a:pt x="2685288" y="824484"/>
                </a:lnTo>
                <a:lnTo>
                  <a:pt x="3742944" y="824484"/>
                </a:lnTo>
                <a:lnTo>
                  <a:pt x="3742944" y="620268"/>
                </a:lnTo>
                <a:close/>
              </a:path>
              <a:path w="5864860" h="2894330">
                <a:moveTo>
                  <a:pt x="3742944" y="414528"/>
                </a:moveTo>
                <a:lnTo>
                  <a:pt x="2685288" y="414528"/>
                </a:lnTo>
                <a:lnTo>
                  <a:pt x="2685288" y="617220"/>
                </a:lnTo>
                <a:lnTo>
                  <a:pt x="3742944" y="617220"/>
                </a:lnTo>
                <a:lnTo>
                  <a:pt x="3742944" y="414528"/>
                </a:lnTo>
                <a:close/>
              </a:path>
              <a:path w="5864860" h="2894330">
                <a:moveTo>
                  <a:pt x="3742944" y="207264"/>
                </a:moveTo>
                <a:lnTo>
                  <a:pt x="2685288" y="207264"/>
                </a:lnTo>
                <a:lnTo>
                  <a:pt x="2685288" y="411480"/>
                </a:lnTo>
                <a:lnTo>
                  <a:pt x="3742944" y="411480"/>
                </a:lnTo>
                <a:lnTo>
                  <a:pt x="3742944" y="207264"/>
                </a:lnTo>
                <a:close/>
              </a:path>
              <a:path w="5864860" h="2894330">
                <a:moveTo>
                  <a:pt x="3742944" y="0"/>
                </a:moveTo>
                <a:lnTo>
                  <a:pt x="2685288" y="0"/>
                </a:lnTo>
                <a:lnTo>
                  <a:pt x="2685288" y="204216"/>
                </a:lnTo>
                <a:lnTo>
                  <a:pt x="3742944" y="204216"/>
                </a:lnTo>
                <a:lnTo>
                  <a:pt x="3742944" y="0"/>
                </a:lnTo>
                <a:close/>
              </a:path>
              <a:path w="5864860" h="2894330">
                <a:moveTo>
                  <a:pt x="4803648" y="2689860"/>
                </a:moveTo>
                <a:lnTo>
                  <a:pt x="3745992" y="2689860"/>
                </a:lnTo>
                <a:lnTo>
                  <a:pt x="3745992" y="2894076"/>
                </a:lnTo>
                <a:lnTo>
                  <a:pt x="4803648" y="2894076"/>
                </a:lnTo>
                <a:lnTo>
                  <a:pt x="4803648" y="2689860"/>
                </a:lnTo>
                <a:close/>
              </a:path>
              <a:path w="5864860" h="2894330">
                <a:moveTo>
                  <a:pt x="4803648" y="2484120"/>
                </a:moveTo>
                <a:lnTo>
                  <a:pt x="3745992" y="2484120"/>
                </a:lnTo>
                <a:lnTo>
                  <a:pt x="3745992" y="2686812"/>
                </a:lnTo>
                <a:lnTo>
                  <a:pt x="4803648" y="2686812"/>
                </a:lnTo>
                <a:lnTo>
                  <a:pt x="4803648" y="2484120"/>
                </a:lnTo>
                <a:close/>
              </a:path>
              <a:path w="5864860" h="2894330">
                <a:moveTo>
                  <a:pt x="4803648" y="2276856"/>
                </a:moveTo>
                <a:lnTo>
                  <a:pt x="3745992" y="2276856"/>
                </a:lnTo>
                <a:lnTo>
                  <a:pt x="3745992" y="2481072"/>
                </a:lnTo>
                <a:lnTo>
                  <a:pt x="4803648" y="2481072"/>
                </a:lnTo>
                <a:lnTo>
                  <a:pt x="4803648" y="2276856"/>
                </a:lnTo>
                <a:close/>
              </a:path>
              <a:path w="5864860" h="2894330">
                <a:moveTo>
                  <a:pt x="4803648" y="2069592"/>
                </a:moveTo>
                <a:lnTo>
                  <a:pt x="3745992" y="2069592"/>
                </a:lnTo>
                <a:lnTo>
                  <a:pt x="3745992" y="2273808"/>
                </a:lnTo>
                <a:lnTo>
                  <a:pt x="4803648" y="2273808"/>
                </a:lnTo>
                <a:lnTo>
                  <a:pt x="4803648" y="2069592"/>
                </a:lnTo>
                <a:close/>
              </a:path>
              <a:path w="5864860" h="2894330">
                <a:moveTo>
                  <a:pt x="4803648" y="1862328"/>
                </a:moveTo>
                <a:lnTo>
                  <a:pt x="3745992" y="1862328"/>
                </a:lnTo>
                <a:lnTo>
                  <a:pt x="3745992" y="2066544"/>
                </a:lnTo>
                <a:lnTo>
                  <a:pt x="4803648" y="2066544"/>
                </a:lnTo>
                <a:lnTo>
                  <a:pt x="4803648" y="1862328"/>
                </a:lnTo>
                <a:close/>
              </a:path>
              <a:path w="5864860" h="2894330">
                <a:moveTo>
                  <a:pt x="4803648" y="1656588"/>
                </a:moveTo>
                <a:lnTo>
                  <a:pt x="3745992" y="1656588"/>
                </a:lnTo>
                <a:lnTo>
                  <a:pt x="3745992" y="1859280"/>
                </a:lnTo>
                <a:lnTo>
                  <a:pt x="4803648" y="1859280"/>
                </a:lnTo>
                <a:lnTo>
                  <a:pt x="4803648" y="1656588"/>
                </a:lnTo>
                <a:close/>
              </a:path>
              <a:path w="5864860" h="2894330">
                <a:moveTo>
                  <a:pt x="4803648" y="1449324"/>
                </a:moveTo>
                <a:lnTo>
                  <a:pt x="3745992" y="1449324"/>
                </a:lnTo>
                <a:lnTo>
                  <a:pt x="3745992" y="1653540"/>
                </a:lnTo>
                <a:lnTo>
                  <a:pt x="4803648" y="1653540"/>
                </a:lnTo>
                <a:lnTo>
                  <a:pt x="4803648" y="1449324"/>
                </a:lnTo>
                <a:close/>
              </a:path>
              <a:path w="5864860" h="2894330">
                <a:moveTo>
                  <a:pt x="4803648" y="1242060"/>
                </a:moveTo>
                <a:lnTo>
                  <a:pt x="3745992" y="1242060"/>
                </a:lnTo>
                <a:lnTo>
                  <a:pt x="3745992" y="1446276"/>
                </a:lnTo>
                <a:lnTo>
                  <a:pt x="4803648" y="1446276"/>
                </a:lnTo>
                <a:lnTo>
                  <a:pt x="4803648" y="1242060"/>
                </a:lnTo>
                <a:close/>
              </a:path>
              <a:path w="5864860" h="2894330">
                <a:moveTo>
                  <a:pt x="4803648" y="1034796"/>
                </a:moveTo>
                <a:lnTo>
                  <a:pt x="3745992" y="1034796"/>
                </a:lnTo>
                <a:lnTo>
                  <a:pt x="3745992" y="1239012"/>
                </a:lnTo>
                <a:lnTo>
                  <a:pt x="4803648" y="1239012"/>
                </a:lnTo>
                <a:lnTo>
                  <a:pt x="4803648" y="1034796"/>
                </a:lnTo>
                <a:close/>
              </a:path>
              <a:path w="5864860" h="2894330">
                <a:moveTo>
                  <a:pt x="4803648" y="827532"/>
                </a:moveTo>
                <a:lnTo>
                  <a:pt x="3745992" y="827532"/>
                </a:lnTo>
                <a:lnTo>
                  <a:pt x="3745992" y="1031748"/>
                </a:lnTo>
                <a:lnTo>
                  <a:pt x="4803648" y="1031748"/>
                </a:lnTo>
                <a:lnTo>
                  <a:pt x="4803648" y="827532"/>
                </a:lnTo>
                <a:close/>
              </a:path>
              <a:path w="5864860" h="2894330">
                <a:moveTo>
                  <a:pt x="4803648" y="620268"/>
                </a:moveTo>
                <a:lnTo>
                  <a:pt x="3745992" y="620268"/>
                </a:lnTo>
                <a:lnTo>
                  <a:pt x="3745992" y="824484"/>
                </a:lnTo>
                <a:lnTo>
                  <a:pt x="4803648" y="824484"/>
                </a:lnTo>
                <a:lnTo>
                  <a:pt x="4803648" y="620268"/>
                </a:lnTo>
                <a:close/>
              </a:path>
              <a:path w="5864860" h="2894330">
                <a:moveTo>
                  <a:pt x="4803648" y="414528"/>
                </a:moveTo>
                <a:lnTo>
                  <a:pt x="3745992" y="414528"/>
                </a:lnTo>
                <a:lnTo>
                  <a:pt x="3745992" y="617220"/>
                </a:lnTo>
                <a:lnTo>
                  <a:pt x="4803648" y="617220"/>
                </a:lnTo>
                <a:lnTo>
                  <a:pt x="4803648" y="414528"/>
                </a:lnTo>
                <a:close/>
              </a:path>
              <a:path w="5864860" h="2894330">
                <a:moveTo>
                  <a:pt x="4803648" y="207264"/>
                </a:moveTo>
                <a:lnTo>
                  <a:pt x="3745992" y="207264"/>
                </a:lnTo>
                <a:lnTo>
                  <a:pt x="3745992" y="411480"/>
                </a:lnTo>
                <a:lnTo>
                  <a:pt x="4803648" y="411480"/>
                </a:lnTo>
                <a:lnTo>
                  <a:pt x="4803648" y="207264"/>
                </a:lnTo>
                <a:close/>
              </a:path>
              <a:path w="5864860" h="2894330">
                <a:moveTo>
                  <a:pt x="4803648" y="0"/>
                </a:moveTo>
                <a:lnTo>
                  <a:pt x="3745992" y="0"/>
                </a:lnTo>
                <a:lnTo>
                  <a:pt x="3745992" y="204216"/>
                </a:lnTo>
                <a:lnTo>
                  <a:pt x="4803648" y="204216"/>
                </a:lnTo>
                <a:lnTo>
                  <a:pt x="4803648" y="0"/>
                </a:lnTo>
                <a:close/>
              </a:path>
              <a:path w="5864860" h="2894330">
                <a:moveTo>
                  <a:pt x="5864352" y="2689860"/>
                </a:moveTo>
                <a:lnTo>
                  <a:pt x="4806696" y="2689860"/>
                </a:lnTo>
                <a:lnTo>
                  <a:pt x="4806696" y="2894076"/>
                </a:lnTo>
                <a:lnTo>
                  <a:pt x="5864352" y="2894076"/>
                </a:lnTo>
                <a:lnTo>
                  <a:pt x="5864352" y="2689860"/>
                </a:lnTo>
                <a:close/>
              </a:path>
              <a:path w="5864860" h="2894330">
                <a:moveTo>
                  <a:pt x="5864352" y="2484120"/>
                </a:moveTo>
                <a:lnTo>
                  <a:pt x="4806696" y="2484120"/>
                </a:lnTo>
                <a:lnTo>
                  <a:pt x="4806696" y="2686812"/>
                </a:lnTo>
                <a:lnTo>
                  <a:pt x="5864352" y="2686812"/>
                </a:lnTo>
                <a:lnTo>
                  <a:pt x="5864352" y="2484120"/>
                </a:lnTo>
                <a:close/>
              </a:path>
              <a:path w="5864860" h="2894330">
                <a:moveTo>
                  <a:pt x="5864352" y="2276856"/>
                </a:moveTo>
                <a:lnTo>
                  <a:pt x="4806696" y="2276856"/>
                </a:lnTo>
                <a:lnTo>
                  <a:pt x="4806696" y="2481072"/>
                </a:lnTo>
                <a:lnTo>
                  <a:pt x="5864352" y="2481072"/>
                </a:lnTo>
                <a:lnTo>
                  <a:pt x="5864352" y="2276856"/>
                </a:lnTo>
                <a:close/>
              </a:path>
              <a:path w="5864860" h="2894330">
                <a:moveTo>
                  <a:pt x="5864352" y="2069592"/>
                </a:moveTo>
                <a:lnTo>
                  <a:pt x="4806696" y="2069592"/>
                </a:lnTo>
                <a:lnTo>
                  <a:pt x="4806696" y="2273808"/>
                </a:lnTo>
                <a:lnTo>
                  <a:pt x="5864352" y="2273808"/>
                </a:lnTo>
                <a:lnTo>
                  <a:pt x="5864352" y="2069592"/>
                </a:lnTo>
                <a:close/>
              </a:path>
              <a:path w="5864860" h="2894330">
                <a:moveTo>
                  <a:pt x="5864352" y="1862328"/>
                </a:moveTo>
                <a:lnTo>
                  <a:pt x="4806696" y="1862328"/>
                </a:lnTo>
                <a:lnTo>
                  <a:pt x="4806696" y="2066544"/>
                </a:lnTo>
                <a:lnTo>
                  <a:pt x="5864352" y="2066544"/>
                </a:lnTo>
                <a:lnTo>
                  <a:pt x="5864352" y="1862328"/>
                </a:lnTo>
                <a:close/>
              </a:path>
              <a:path w="5864860" h="2894330">
                <a:moveTo>
                  <a:pt x="5864352" y="1656588"/>
                </a:moveTo>
                <a:lnTo>
                  <a:pt x="4806696" y="1656588"/>
                </a:lnTo>
                <a:lnTo>
                  <a:pt x="4806696" y="1859280"/>
                </a:lnTo>
                <a:lnTo>
                  <a:pt x="5864352" y="1859280"/>
                </a:lnTo>
                <a:lnTo>
                  <a:pt x="5864352" y="1656588"/>
                </a:lnTo>
                <a:close/>
              </a:path>
              <a:path w="5864860" h="2894330">
                <a:moveTo>
                  <a:pt x="5864352" y="1449324"/>
                </a:moveTo>
                <a:lnTo>
                  <a:pt x="4806696" y="1449324"/>
                </a:lnTo>
                <a:lnTo>
                  <a:pt x="4806696" y="1653540"/>
                </a:lnTo>
                <a:lnTo>
                  <a:pt x="5864352" y="1653540"/>
                </a:lnTo>
                <a:lnTo>
                  <a:pt x="5864352" y="1449324"/>
                </a:lnTo>
                <a:close/>
              </a:path>
              <a:path w="5864860" h="2894330">
                <a:moveTo>
                  <a:pt x="5864352" y="1242060"/>
                </a:moveTo>
                <a:lnTo>
                  <a:pt x="4806696" y="1242060"/>
                </a:lnTo>
                <a:lnTo>
                  <a:pt x="4806696" y="1446276"/>
                </a:lnTo>
                <a:lnTo>
                  <a:pt x="5864352" y="1446276"/>
                </a:lnTo>
                <a:lnTo>
                  <a:pt x="5864352" y="1242060"/>
                </a:lnTo>
                <a:close/>
              </a:path>
              <a:path w="5864860" h="2894330">
                <a:moveTo>
                  <a:pt x="5864352" y="1034796"/>
                </a:moveTo>
                <a:lnTo>
                  <a:pt x="4806696" y="1034796"/>
                </a:lnTo>
                <a:lnTo>
                  <a:pt x="4806696" y="1239012"/>
                </a:lnTo>
                <a:lnTo>
                  <a:pt x="5864352" y="1239012"/>
                </a:lnTo>
                <a:lnTo>
                  <a:pt x="5864352" y="1034796"/>
                </a:lnTo>
                <a:close/>
              </a:path>
              <a:path w="5864860" h="2894330">
                <a:moveTo>
                  <a:pt x="5864352" y="827532"/>
                </a:moveTo>
                <a:lnTo>
                  <a:pt x="4806696" y="827532"/>
                </a:lnTo>
                <a:lnTo>
                  <a:pt x="4806696" y="1031748"/>
                </a:lnTo>
                <a:lnTo>
                  <a:pt x="5864352" y="1031748"/>
                </a:lnTo>
                <a:lnTo>
                  <a:pt x="5864352" y="827532"/>
                </a:lnTo>
                <a:close/>
              </a:path>
              <a:path w="5864860" h="2894330">
                <a:moveTo>
                  <a:pt x="5864352" y="620268"/>
                </a:moveTo>
                <a:lnTo>
                  <a:pt x="4806696" y="620268"/>
                </a:lnTo>
                <a:lnTo>
                  <a:pt x="4806696" y="824484"/>
                </a:lnTo>
                <a:lnTo>
                  <a:pt x="5864352" y="824484"/>
                </a:lnTo>
                <a:lnTo>
                  <a:pt x="5864352" y="620268"/>
                </a:lnTo>
                <a:close/>
              </a:path>
              <a:path w="5864860" h="2894330">
                <a:moveTo>
                  <a:pt x="5864352" y="414528"/>
                </a:moveTo>
                <a:lnTo>
                  <a:pt x="4806696" y="414528"/>
                </a:lnTo>
                <a:lnTo>
                  <a:pt x="4806696" y="617220"/>
                </a:lnTo>
                <a:lnTo>
                  <a:pt x="5864352" y="617220"/>
                </a:lnTo>
                <a:lnTo>
                  <a:pt x="5864352" y="414528"/>
                </a:lnTo>
                <a:close/>
              </a:path>
              <a:path w="5864860" h="2894330">
                <a:moveTo>
                  <a:pt x="5864352" y="207264"/>
                </a:moveTo>
                <a:lnTo>
                  <a:pt x="4806696" y="207264"/>
                </a:lnTo>
                <a:lnTo>
                  <a:pt x="4806696" y="411480"/>
                </a:lnTo>
                <a:lnTo>
                  <a:pt x="5864352" y="411480"/>
                </a:lnTo>
                <a:lnTo>
                  <a:pt x="5864352" y="207264"/>
                </a:lnTo>
                <a:close/>
              </a:path>
              <a:path w="5864860" h="2894330">
                <a:moveTo>
                  <a:pt x="5864352" y="0"/>
                </a:moveTo>
                <a:lnTo>
                  <a:pt x="4806696" y="0"/>
                </a:lnTo>
                <a:lnTo>
                  <a:pt x="4806696" y="204216"/>
                </a:lnTo>
                <a:lnTo>
                  <a:pt x="5864352" y="204216"/>
                </a:lnTo>
                <a:lnTo>
                  <a:pt x="5864352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700-000042000000}"/>
              </a:ext>
            </a:extLst>
          </xdr:cNvPr>
          <xdr:cNvSpPr/>
        </xdr:nvSpPr>
        <xdr:spPr>
          <a:xfrm>
            <a:off x="0" y="1656587"/>
            <a:ext cx="5864860" cy="1445260"/>
          </a:xfrm>
          <a:custGeom>
            <a:avLst/>
            <a:gdLst/>
            <a:ahLst/>
            <a:cxnLst/>
            <a:rect l="0" t="0" r="0" b="0"/>
            <a:pathLst>
              <a:path w="5864860" h="1445260">
                <a:moveTo>
                  <a:pt x="1408176" y="0"/>
                </a:moveTo>
                <a:lnTo>
                  <a:pt x="0" y="0"/>
                </a:lnTo>
                <a:lnTo>
                  <a:pt x="0" y="1444752"/>
                </a:lnTo>
                <a:lnTo>
                  <a:pt x="1408176" y="1444752"/>
                </a:lnTo>
                <a:lnTo>
                  <a:pt x="1408176" y="0"/>
                </a:lnTo>
                <a:close/>
              </a:path>
              <a:path w="5864860" h="1445260">
                <a:moveTo>
                  <a:pt x="1970532" y="1240536"/>
                </a:moveTo>
                <a:lnTo>
                  <a:pt x="1411224" y="1240536"/>
                </a:lnTo>
                <a:lnTo>
                  <a:pt x="1411224" y="1444752"/>
                </a:lnTo>
                <a:lnTo>
                  <a:pt x="1970532" y="1444752"/>
                </a:lnTo>
                <a:lnTo>
                  <a:pt x="1970532" y="1240536"/>
                </a:lnTo>
                <a:close/>
              </a:path>
              <a:path w="5864860" h="1445260">
                <a:moveTo>
                  <a:pt x="2682240" y="1240536"/>
                </a:moveTo>
                <a:lnTo>
                  <a:pt x="1973580" y="1240536"/>
                </a:lnTo>
                <a:lnTo>
                  <a:pt x="1973580" y="1444752"/>
                </a:lnTo>
                <a:lnTo>
                  <a:pt x="2682240" y="1444752"/>
                </a:lnTo>
                <a:lnTo>
                  <a:pt x="2682240" y="1240536"/>
                </a:lnTo>
                <a:close/>
              </a:path>
              <a:path w="5864860" h="1445260">
                <a:moveTo>
                  <a:pt x="3742944" y="1240536"/>
                </a:moveTo>
                <a:lnTo>
                  <a:pt x="2685288" y="1240536"/>
                </a:lnTo>
                <a:lnTo>
                  <a:pt x="2685288" y="1444752"/>
                </a:lnTo>
                <a:lnTo>
                  <a:pt x="3742944" y="1444752"/>
                </a:lnTo>
                <a:lnTo>
                  <a:pt x="3742944" y="1240536"/>
                </a:lnTo>
                <a:close/>
              </a:path>
              <a:path w="5864860" h="1445260">
                <a:moveTo>
                  <a:pt x="4803648" y="1240536"/>
                </a:moveTo>
                <a:lnTo>
                  <a:pt x="3745992" y="1240536"/>
                </a:lnTo>
                <a:lnTo>
                  <a:pt x="3745992" y="1444752"/>
                </a:lnTo>
                <a:lnTo>
                  <a:pt x="4803648" y="1444752"/>
                </a:lnTo>
                <a:lnTo>
                  <a:pt x="4803648" y="1240536"/>
                </a:lnTo>
                <a:close/>
              </a:path>
              <a:path w="5864860" h="1445260">
                <a:moveTo>
                  <a:pt x="5864352" y="1240536"/>
                </a:moveTo>
                <a:lnTo>
                  <a:pt x="4806696" y="1240536"/>
                </a:lnTo>
                <a:lnTo>
                  <a:pt x="4806696" y="1444752"/>
                </a:lnTo>
                <a:lnTo>
                  <a:pt x="5864352" y="1444752"/>
                </a:lnTo>
                <a:lnTo>
                  <a:pt x="5864352" y="1240536"/>
                </a:lnTo>
                <a:close/>
              </a:path>
              <a:path w="5864860" h="1445260">
                <a:moveTo>
                  <a:pt x="5864352" y="1033272"/>
                </a:moveTo>
                <a:lnTo>
                  <a:pt x="4806696" y="1033272"/>
                </a:lnTo>
                <a:lnTo>
                  <a:pt x="4806696" y="1237488"/>
                </a:lnTo>
                <a:lnTo>
                  <a:pt x="5864352" y="1237488"/>
                </a:lnTo>
                <a:lnTo>
                  <a:pt x="5864352" y="103327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21</xdr:row>
      <xdr:rowOff>0</xdr:rowOff>
    </xdr:from>
    <xdr:ext cx="708660" cy="310134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0" y="0"/>
          <a:ext cx="708660" cy="3101340"/>
        </a:xfrm>
        <a:custGeom>
          <a:avLst/>
          <a:gdLst/>
          <a:ahLst/>
          <a:cxnLst/>
          <a:rect l="0" t="0" r="0" b="0"/>
          <a:pathLst>
            <a:path w="708660" h="3101340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310134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310134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310134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310134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310134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310134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310134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310134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310134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10134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10134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10134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10134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10134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19</xdr:row>
      <xdr:rowOff>206501</xdr:rowOff>
    </xdr:from>
    <xdr:ext cx="3179445" cy="37528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69" name="image1.jpeg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70" name="image2.jpeg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71" name="image3.jpeg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2</xdr:col>
      <xdr:colOff>541274</xdr:colOff>
      <xdr:row>21</xdr:row>
      <xdr:rowOff>0</xdr:rowOff>
    </xdr:from>
    <xdr:ext cx="5864860" cy="3308985"/>
    <xdr:grpSp>
      <xdr:nvGrpSpPr>
        <xdr:cNvPr id="72" name="Group 72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GrpSpPr/>
      </xdr:nvGrpSpPr>
      <xdr:grpSpPr>
        <a:xfrm>
          <a:off x="2309114" y="5196840"/>
          <a:ext cx="5864860" cy="3308985"/>
          <a:chOff x="0" y="0"/>
          <a:chExt cx="5864860" cy="3308985"/>
        </a:xfrm>
      </xdr:grpSpPr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800-000049000000}"/>
              </a:ext>
            </a:extLst>
          </xdr:cNvPr>
          <xdr:cNvSpPr/>
        </xdr:nvSpPr>
        <xdr:spPr>
          <a:xfrm>
            <a:off x="0" y="0"/>
            <a:ext cx="5864860" cy="2894330"/>
          </a:xfrm>
          <a:custGeom>
            <a:avLst/>
            <a:gdLst/>
            <a:ahLst/>
            <a:cxnLst/>
            <a:rect l="0" t="0" r="0" b="0"/>
            <a:pathLst>
              <a:path w="5864860" h="2894330">
                <a:moveTo>
                  <a:pt x="1408176" y="0"/>
                </a:moveTo>
                <a:lnTo>
                  <a:pt x="0" y="0"/>
                </a:lnTo>
                <a:lnTo>
                  <a:pt x="0" y="1653540"/>
                </a:lnTo>
                <a:lnTo>
                  <a:pt x="1408176" y="1653540"/>
                </a:lnTo>
                <a:lnTo>
                  <a:pt x="1408176" y="0"/>
                </a:lnTo>
                <a:close/>
              </a:path>
              <a:path w="5864860" h="2894330">
                <a:moveTo>
                  <a:pt x="1970532" y="2689860"/>
                </a:moveTo>
                <a:lnTo>
                  <a:pt x="1411224" y="2689860"/>
                </a:lnTo>
                <a:lnTo>
                  <a:pt x="1411224" y="2894076"/>
                </a:lnTo>
                <a:lnTo>
                  <a:pt x="1970532" y="2894076"/>
                </a:lnTo>
                <a:lnTo>
                  <a:pt x="1970532" y="2689860"/>
                </a:lnTo>
                <a:close/>
              </a:path>
              <a:path w="5864860" h="2894330">
                <a:moveTo>
                  <a:pt x="1970532" y="2484120"/>
                </a:moveTo>
                <a:lnTo>
                  <a:pt x="1411224" y="2484120"/>
                </a:lnTo>
                <a:lnTo>
                  <a:pt x="1411224" y="2686812"/>
                </a:lnTo>
                <a:lnTo>
                  <a:pt x="1970532" y="2686812"/>
                </a:lnTo>
                <a:lnTo>
                  <a:pt x="1970532" y="2484120"/>
                </a:lnTo>
                <a:close/>
              </a:path>
              <a:path w="5864860" h="2894330">
                <a:moveTo>
                  <a:pt x="1970532" y="2276856"/>
                </a:moveTo>
                <a:lnTo>
                  <a:pt x="1411224" y="2276856"/>
                </a:lnTo>
                <a:lnTo>
                  <a:pt x="1411224" y="2481072"/>
                </a:lnTo>
                <a:lnTo>
                  <a:pt x="1970532" y="2481072"/>
                </a:lnTo>
                <a:lnTo>
                  <a:pt x="1970532" y="2276856"/>
                </a:lnTo>
                <a:close/>
              </a:path>
              <a:path w="5864860" h="2894330">
                <a:moveTo>
                  <a:pt x="1970532" y="2069592"/>
                </a:moveTo>
                <a:lnTo>
                  <a:pt x="1411224" y="2069592"/>
                </a:lnTo>
                <a:lnTo>
                  <a:pt x="1411224" y="2273808"/>
                </a:lnTo>
                <a:lnTo>
                  <a:pt x="1970532" y="2273808"/>
                </a:lnTo>
                <a:lnTo>
                  <a:pt x="1970532" y="2069592"/>
                </a:lnTo>
                <a:close/>
              </a:path>
              <a:path w="5864860" h="2894330">
                <a:moveTo>
                  <a:pt x="1970532" y="1862328"/>
                </a:moveTo>
                <a:lnTo>
                  <a:pt x="1411224" y="1862328"/>
                </a:lnTo>
                <a:lnTo>
                  <a:pt x="1411224" y="2066544"/>
                </a:lnTo>
                <a:lnTo>
                  <a:pt x="1970532" y="2066544"/>
                </a:lnTo>
                <a:lnTo>
                  <a:pt x="1970532" y="1862328"/>
                </a:lnTo>
                <a:close/>
              </a:path>
              <a:path w="5864860" h="2894330">
                <a:moveTo>
                  <a:pt x="1970532" y="1656588"/>
                </a:moveTo>
                <a:lnTo>
                  <a:pt x="1411224" y="1656588"/>
                </a:lnTo>
                <a:lnTo>
                  <a:pt x="1411224" y="1859280"/>
                </a:lnTo>
                <a:lnTo>
                  <a:pt x="1970532" y="1859280"/>
                </a:lnTo>
                <a:lnTo>
                  <a:pt x="1970532" y="1656588"/>
                </a:lnTo>
                <a:close/>
              </a:path>
              <a:path w="5864860" h="2894330">
                <a:moveTo>
                  <a:pt x="1970532" y="1449324"/>
                </a:moveTo>
                <a:lnTo>
                  <a:pt x="1411224" y="1449324"/>
                </a:lnTo>
                <a:lnTo>
                  <a:pt x="1411224" y="1653540"/>
                </a:lnTo>
                <a:lnTo>
                  <a:pt x="1970532" y="1653540"/>
                </a:lnTo>
                <a:lnTo>
                  <a:pt x="1970532" y="1449324"/>
                </a:lnTo>
                <a:close/>
              </a:path>
              <a:path w="5864860" h="2894330">
                <a:moveTo>
                  <a:pt x="1970532" y="1242060"/>
                </a:moveTo>
                <a:lnTo>
                  <a:pt x="1411224" y="1242060"/>
                </a:lnTo>
                <a:lnTo>
                  <a:pt x="1411224" y="1446276"/>
                </a:lnTo>
                <a:lnTo>
                  <a:pt x="1970532" y="1446276"/>
                </a:lnTo>
                <a:lnTo>
                  <a:pt x="1970532" y="1242060"/>
                </a:lnTo>
                <a:close/>
              </a:path>
              <a:path w="5864860" h="2894330">
                <a:moveTo>
                  <a:pt x="1970532" y="1034796"/>
                </a:moveTo>
                <a:lnTo>
                  <a:pt x="1411224" y="1034796"/>
                </a:lnTo>
                <a:lnTo>
                  <a:pt x="1411224" y="1239012"/>
                </a:lnTo>
                <a:lnTo>
                  <a:pt x="1970532" y="1239012"/>
                </a:lnTo>
                <a:lnTo>
                  <a:pt x="1970532" y="1034796"/>
                </a:lnTo>
                <a:close/>
              </a:path>
              <a:path w="5864860" h="2894330">
                <a:moveTo>
                  <a:pt x="1970532" y="827532"/>
                </a:moveTo>
                <a:lnTo>
                  <a:pt x="1411224" y="827532"/>
                </a:lnTo>
                <a:lnTo>
                  <a:pt x="1411224" y="1031748"/>
                </a:lnTo>
                <a:lnTo>
                  <a:pt x="1970532" y="1031748"/>
                </a:lnTo>
                <a:lnTo>
                  <a:pt x="1970532" y="827532"/>
                </a:lnTo>
                <a:close/>
              </a:path>
              <a:path w="5864860" h="2894330">
                <a:moveTo>
                  <a:pt x="1970532" y="620268"/>
                </a:moveTo>
                <a:lnTo>
                  <a:pt x="1411224" y="620268"/>
                </a:lnTo>
                <a:lnTo>
                  <a:pt x="1411224" y="824484"/>
                </a:lnTo>
                <a:lnTo>
                  <a:pt x="1970532" y="824484"/>
                </a:lnTo>
                <a:lnTo>
                  <a:pt x="1970532" y="620268"/>
                </a:lnTo>
                <a:close/>
              </a:path>
              <a:path w="5864860" h="2894330">
                <a:moveTo>
                  <a:pt x="1970532" y="414528"/>
                </a:moveTo>
                <a:lnTo>
                  <a:pt x="1411224" y="414528"/>
                </a:lnTo>
                <a:lnTo>
                  <a:pt x="1411224" y="617220"/>
                </a:lnTo>
                <a:lnTo>
                  <a:pt x="1970532" y="617220"/>
                </a:lnTo>
                <a:lnTo>
                  <a:pt x="1970532" y="414528"/>
                </a:lnTo>
                <a:close/>
              </a:path>
              <a:path w="5864860" h="2894330">
                <a:moveTo>
                  <a:pt x="1970532" y="207264"/>
                </a:moveTo>
                <a:lnTo>
                  <a:pt x="1411224" y="207264"/>
                </a:lnTo>
                <a:lnTo>
                  <a:pt x="1411224" y="411480"/>
                </a:lnTo>
                <a:lnTo>
                  <a:pt x="1970532" y="411480"/>
                </a:lnTo>
                <a:lnTo>
                  <a:pt x="1970532" y="207264"/>
                </a:lnTo>
                <a:close/>
              </a:path>
              <a:path w="5864860" h="2894330">
                <a:moveTo>
                  <a:pt x="1970532" y="0"/>
                </a:moveTo>
                <a:lnTo>
                  <a:pt x="1411224" y="0"/>
                </a:lnTo>
                <a:lnTo>
                  <a:pt x="1411224" y="204216"/>
                </a:lnTo>
                <a:lnTo>
                  <a:pt x="1970532" y="204216"/>
                </a:lnTo>
                <a:lnTo>
                  <a:pt x="1970532" y="0"/>
                </a:lnTo>
                <a:close/>
              </a:path>
              <a:path w="5864860" h="2894330">
                <a:moveTo>
                  <a:pt x="2682240" y="2689860"/>
                </a:moveTo>
                <a:lnTo>
                  <a:pt x="1973580" y="2689860"/>
                </a:lnTo>
                <a:lnTo>
                  <a:pt x="1973580" y="2894076"/>
                </a:lnTo>
                <a:lnTo>
                  <a:pt x="2682240" y="2894076"/>
                </a:lnTo>
                <a:lnTo>
                  <a:pt x="2682240" y="2689860"/>
                </a:lnTo>
                <a:close/>
              </a:path>
              <a:path w="5864860" h="2894330">
                <a:moveTo>
                  <a:pt x="2682240" y="2484120"/>
                </a:moveTo>
                <a:lnTo>
                  <a:pt x="1973580" y="2484120"/>
                </a:lnTo>
                <a:lnTo>
                  <a:pt x="1973580" y="2686812"/>
                </a:lnTo>
                <a:lnTo>
                  <a:pt x="2682240" y="2686812"/>
                </a:lnTo>
                <a:lnTo>
                  <a:pt x="2682240" y="2484120"/>
                </a:lnTo>
                <a:close/>
              </a:path>
              <a:path w="5864860" h="2894330">
                <a:moveTo>
                  <a:pt x="2682240" y="2276856"/>
                </a:moveTo>
                <a:lnTo>
                  <a:pt x="1973580" y="2276856"/>
                </a:lnTo>
                <a:lnTo>
                  <a:pt x="1973580" y="2481072"/>
                </a:lnTo>
                <a:lnTo>
                  <a:pt x="2682240" y="2481072"/>
                </a:lnTo>
                <a:lnTo>
                  <a:pt x="2682240" y="2276856"/>
                </a:lnTo>
                <a:close/>
              </a:path>
              <a:path w="5864860" h="2894330">
                <a:moveTo>
                  <a:pt x="2682240" y="2069592"/>
                </a:moveTo>
                <a:lnTo>
                  <a:pt x="1973580" y="2069592"/>
                </a:lnTo>
                <a:lnTo>
                  <a:pt x="1973580" y="2273808"/>
                </a:lnTo>
                <a:lnTo>
                  <a:pt x="2682240" y="2273808"/>
                </a:lnTo>
                <a:lnTo>
                  <a:pt x="2682240" y="2069592"/>
                </a:lnTo>
                <a:close/>
              </a:path>
              <a:path w="5864860" h="2894330">
                <a:moveTo>
                  <a:pt x="2682240" y="1862328"/>
                </a:moveTo>
                <a:lnTo>
                  <a:pt x="1973580" y="1862328"/>
                </a:lnTo>
                <a:lnTo>
                  <a:pt x="1973580" y="2066544"/>
                </a:lnTo>
                <a:lnTo>
                  <a:pt x="2682240" y="2066544"/>
                </a:lnTo>
                <a:lnTo>
                  <a:pt x="2682240" y="1862328"/>
                </a:lnTo>
                <a:close/>
              </a:path>
              <a:path w="5864860" h="2894330">
                <a:moveTo>
                  <a:pt x="2682240" y="1656588"/>
                </a:moveTo>
                <a:lnTo>
                  <a:pt x="1973580" y="1656588"/>
                </a:lnTo>
                <a:lnTo>
                  <a:pt x="1973580" y="1859280"/>
                </a:lnTo>
                <a:lnTo>
                  <a:pt x="2682240" y="1859280"/>
                </a:lnTo>
                <a:lnTo>
                  <a:pt x="2682240" y="1656588"/>
                </a:lnTo>
                <a:close/>
              </a:path>
              <a:path w="5864860" h="2894330">
                <a:moveTo>
                  <a:pt x="2682240" y="1449324"/>
                </a:moveTo>
                <a:lnTo>
                  <a:pt x="1973580" y="1449324"/>
                </a:lnTo>
                <a:lnTo>
                  <a:pt x="1973580" y="1653540"/>
                </a:lnTo>
                <a:lnTo>
                  <a:pt x="2682240" y="1653540"/>
                </a:lnTo>
                <a:lnTo>
                  <a:pt x="2682240" y="1449324"/>
                </a:lnTo>
                <a:close/>
              </a:path>
              <a:path w="5864860" h="2894330">
                <a:moveTo>
                  <a:pt x="2682240" y="1242060"/>
                </a:moveTo>
                <a:lnTo>
                  <a:pt x="1973580" y="1242060"/>
                </a:lnTo>
                <a:lnTo>
                  <a:pt x="1973580" y="1446276"/>
                </a:lnTo>
                <a:lnTo>
                  <a:pt x="2682240" y="1446276"/>
                </a:lnTo>
                <a:lnTo>
                  <a:pt x="2682240" y="1242060"/>
                </a:lnTo>
                <a:close/>
              </a:path>
              <a:path w="5864860" h="2894330">
                <a:moveTo>
                  <a:pt x="2682240" y="1034796"/>
                </a:moveTo>
                <a:lnTo>
                  <a:pt x="1973580" y="1034796"/>
                </a:lnTo>
                <a:lnTo>
                  <a:pt x="1973580" y="1239012"/>
                </a:lnTo>
                <a:lnTo>
                  <a:pt x="2682240" y="1239012"/>
                </a:lnTo>
                <a:lnTo>
                  <a:pt x="2682240" y="1034796"/>
                </a:lnTo>
                <a:close/>
              </a:path>
              <a:path w="5864860" h="2894330">
                <a:moveTo>
                  <a:pt x="2682240" y="827532"/>
                </a:moveTo>
                <a:lnTo>
                  <a:pt x="1973580" y="827532"/>
                </a:lnTo>
                <a:lnTo>
                  <a:pt x="1973580" y="1031748"/>
                </a:lnTo>
                <a:lnTo>
                  <a:pt x="2682240" y="1031748"/>
                </a:lnTo>
                <a:lnTo>
                  <a:pt x="2682240" y="827532"/>
                </a:lnTo>
                <a:close/>
              </a:path>
              <a:path w="5864860" h="2894330">
                <a:moveTo>
                  <a:pt x="2682240" y="620268"/>
                </a:moveTo>
                <a:lnTo>
                  <a:pt x="1973580" y="620268"/>
                </a:lnTo>
                <a:lnTo>
                  <a:pt x="1973580" y="824484"/>
                </a:lnTo>
                <a:lnTo>
                  <a:pt x="2682240" y="824484"/>
                </a:lnTo>
                <a:lnTo>
                  <a:pt x="2682240" y="620268"/>
                </a:lnTo>
                <a:close/>
              </a:path>
              <a:path w="5864860" h="2894330">
                <a:moveTo>
                  <a:pt x="2682240" y="414528"/>
                </a:moveTo>
                <a:lnTo>
                  <a:pt x="1973580" y="414528"/>
                </a:lnTo>
                <a:lnTo>
                  <a:pt x="1973580" y="617220"/>
                </a:lnTo>
                <a:lnTo>
                  <a:pt x="2682240" y="617220"/>
                </a:lnTo>
                <a:lnTo>
                  <a:pt x="2682240" y="414528"/>
                </a:lnTo>
                <a:close/>
              </a:path>
              <a:path w="5864860" h="2894330">
                <a:moveTo>
                  <a:pt x="2682240" y="207264"/>
                </a:moveTo>
                <a:lnTo>
                  <a:pt x="1973580" y="207264"/>
                </a:lnTo>
                <a:lnTo>
                  <a:pt x="1973580" y="411480"/>
                </a:lnTo>
                <a:lnTo>
                  <a:pt x="2682240" y="411480"/>
                </a:lnTo>
                <a:lnTo>
                  <a:pt x="2682240" y="207264"/>
                </a:lnTo>
                <a:close/>
              </a:path>
              <a:path w="5864860" h="2894330">
                <a:moveTo>
                  <a:pt x="2682240" y="0"/>
                </a:moveTo>
                <a:lnTo>
                  <a:pt x="1973580" y="0"/>
                </a:lnTo>
                <a:lnTo>
                  <a:pt x="1973580" y="204216"/>
                </a:lnTo>
                <a:lnTo>
                  <a:pt x="2682240" y="204216"/>
                </a:lnTo>
                <a:lnTo>
                  <a:pt x="2682240" y="0"/>
                </a:lnTo>
                <a:close/>
              </a:path>
              <a:path w="5864860" h="2894330">
                <a:moveTo>
                  <a:pt x="3742944" y="2689860"/>
                </a:moveTo>
                <a:lnTo>
                  <a:pt x="2685288" y="2689860"/>
                </a:lnTo>
                <a:lnTo>
                  <a:pt x="2685288" y="2894076"/>
                </a:lnTo>
                <a:lnTo>
                  <a:pt x="3742944" y="2894076"/>
                </a:lnTo>
                <a:lnTo>
                  <a:pt x="3742944" y="2689860"/>
                </a:lnTo>
                <a:close/>
              </a:path>
              <a:path w="5864860" h="2894330">
                <a:moveTo>
                  <a:pt x="3742944" y="2484120"/>
                </a:moveTo>
                <a:lnTo>
                  <a:pt x="2685288" y="2484120"/>
                </a:lnTo>
                <a:lnTo>
                  <a:pt x="2685288" y="2686812"/>
                </a:lnTo>
                <a:lnTo>
                  <a:pt x="3742944" y="2686812"/>
                </a:lnTo>
                <a:lnTo>
                  <a:pt x="3742944" y="2484120"/>
                </a:lnTo>
                <a:close/>
              </a:path>
              <a:path w="5864860" h="2894330">
                <a:moveTo>
                  <a:pt x="3742944" y="2276856"/>
                </a:moveTo>
                <a:lnTo>
                  <a:pt x="2685288" y="2276856"/>
                </a:lnTo>
                <a:lnTo>
                  <a:pt x="2685288" y="2481072"/>
                </a:lnTo>
                <a:lnTo>
                  <a:pt x="3742944" y="2481072"/>
                </a:lnTo>
                <a:lnTo>
                  <a:pt x="3742944" y="2276856"/>
                </a:lnTo>
                <a:close/>
              </a:path>
              <a:path w="5864860" h="2894330">
                <a:moveTo>
                  <a:pt x="3742944" y="2069592"/>
                </a:moveTo>
                <a:lnTo>
                  <a:pt x="2685288" y="2069592"/>
                </a:lnTo>
                <a:lnTo>
                  <a:pt x="2685288" y="2273808"/>
                </a:lnTo>
                <a:lnTo>
                  <a:pt x="3742944" y="2273808"/>
                </a:lnTo>
                <a:lnTo>
                  <a:pt x="3742944" y="2069592"/>
                </a:lnTo>
                <a:close/>
              </a:path>
              <a:path w="5864860" h="2894330">
                <a:moveTo>
                  <a:pt x="3742944" y="1862328"/>
                </a:moveTo>
                <a:lnTo>
                  <a:pt x="2685288" y="1862328"/>
                </a:lnTo>
                <a:lnTo>
                  <a:pt x="2685288" y="2066544"/>
                </a:lnTo>
                <a:lnTo>
                  <a:pt x="3742944" y="2066544"/>
                </a:lnTo>
                <a:lnTo>
                  <a:pt x="3742944" y="1862328"/>
                </a:lnTo>
                <a:close/>
              </a:path>
              <a:path w="5864860" h="2894330">
                <a:moveTo>
                  <a:pt x="3742944" y="1656588"/>
                </a:moveTo>
                <a:lnTo>
                  <a:pt x="2685288" y="1656588"/>
                </a:lnTo>
                <a:lnTo>
                  <a:pt x="2685288" y="1859280"/>
                </a:lnTo>
                <a:lnTo>
                  <a:pt x="3742944" y="1859280"/>
                </a:lnTo>
                <a:lnTo>
                  <a:pt x="3742944" y="1656588"/>
                </a:lnTo>
                <a:close/>
              </a:path>
              <a:path w="5864860" h="2894330">
                <a:moveTo>
                  <a:pt x="3742944" y="1449324"/>
                </a:moveTo>
                <a:lnTo>
                  <a:pt x="2685288" y="1449324"/>
                </a:lnTo>
                <a:lnTo>
                  <a:pt x="2685288" y="1653540"/>
                </a:lnTo>
                <a:lnTo>
                  <a:pt x="3742944" y="1653540"/>
                </a:lnTo>
                <a:lnTo>
                  <a:pt x="3742944" y="1449324"/>
                </a:lnTo>
                <a:close/>
              </a:path>
              <a:path w="5864860" h="2894330">
                <a:moveTo>
                  <a:pt x="3742944" y="1242060"/>
                </a:moveTo>
                <a:lnTo>
                  <a:pt x="2685288" y="1242060"/>
                </a:lnTo>
                <a:lnTo>
                  <a:pt x="2685288" y="1446276"/>
                </a:lnTo>
                <a:lnTo>
                  <a:pt x="3742944" y="1446276"/>
                </a:lnTo>
                <a:lnTo>
                  <a:pt x="3742944" y="1242060"/>
                </a:lnTo>
                <a:close/>
              </a:path>
              <a:path w="5864860" h="2894330">
                <a:moveTo>
                  <a:pt x="3742944" y="1034796"/>
                </a:moveTo>
                <a:lnTo>
                  <a:pt x="2685288" y="1034796"/>
                </a:lnTo>
                <a:lnTo>
                  <a:pt x="2685288" y="1239012"/>
                </a:lnTo>
                <a:lnTo>
                  <a:pt x="3742944" y="1239012"/>
                </a:lnTo>
                <a:lnTo>
                  <a:pt x="3742944" y="1034796"/>
                </a:lnTo>
                <a:close/>
              </a:path>
              <a:path w="5864860" h="2894330">
                <a:moveTo>
                  <a:pt x="3742944" y="827532"/>
                </a:moveTo>
                <a:lnTo>
                  <a:pt x="2685288" y="827532"/>
                </a:lnTo>
                <a:lnTo>
                  <a:pt x="2685288" y="1031748"/>
                </a:lnTo>
                <a:lnTo>
                  <a:pt x="3742944" y="1031748"/>
                </a:lnTo>
                <a:lnTo>
                  <a:pt x="3742944" y="827532"/>
                </a:lnTo>
                <a:close/>
              </a:path>
              <a:path w="5864860" h="2894330">
                <a:moveTo>
                  <a:pt x="3742944" y="620268"/>
                </a:moveTo>
                <a:lnTo>
                  <a:pt x="2685288" y="620268"/>
                </a:lnTo>
                <a:lnTo>
                  <a:pt x="2685288" y="824484"/>
                </a:lnTo>
                <a:lnTo>
                  <a:pt x="3742944" y="824484"/>
                </a:lnTo>
                <a:lnTo>
                  <a:pt x="3742944" y="620268"/>
                </a:lnTo>
                <a:close/>
              </a:path>
              <a:path w="5864860" h="2894330">
                <a:moveTo>
                  <a:pt x="3742944" y="414528"/>
                </a:moveTo>
                <a:lnTo>
                  <a:pt x="2685288" y="414528"/>
                </a:lnTo>
                <a:lnTo>
                  <a:pt x="2685288" y="617220"/>
                </a:lnTo>
                <a:lnTo>
                  <a:pt x="3742944" y="617220"/>
                </a:lnTo>
                <a:lnTo>
                  <a:pt x="3742944" y="414528"/>
                </a:lnTo>
                <a:close/>
              </a:path>
              <a:path w="5864860" h="2894330">
                <a:moveTo>
                  <a:pt x="3742944" y="207264"/>
                </a:moveTo>
                <a:lnTo>
                  <a:pt x="2685288" y="207264"/>
                </a:lnTo>
                <a:lnTo>
                  <a:pt x="2685288" y="411480"/>
                </a:lnTo>
                <a:lnTo>
                  <a:pt x="3742944" y="411480"/>
                </a:lnTo>
                <a:lnTo>
                  <a:pt x="3742944" y="207264"/>
                </a:lnTo>
                <a:close/>
              </a:path>
              <a:path w="5864860" h="2894330">
                <a:moveTo>
                  <a:pt x="3742944" y="0"/>
                </a:moveTo>
                <a:lnTo>
                  <a:pt x="2685288" y="0"/>
                </a:lnTo>
                <a:lnTo>
                  <a:pt x="2685288" y="204216"/>
                </a:lnTo>
                <a:lnTo>
                  <a:pt x="3742944" y="204216"/>
                </a:lnTo>
                <a:lnTo>
                  <a:pt x="3742944" y="0"/>
                </a:lnTo>
                <a:close/>
              </a:path>
              <a:path w="5864860" h="2894330">
                <a:moveTo>
                  <a:pt x="4803648" y="2689860"/>
                </a:moveTo>
                <a:lnTo>
                  <a:pt x="3745992" y="2689860"/>
                </a:lnTo>
                <a:lnTo>
                  <a:pt x="3745992" y="2894076"/>
                </a:lnTo>
                <a:lnTo>
                  <a:pt x="4803648" y="2894076"/>
                </a:lnTo>
                <a:lnTo>
                  <a:pt x="4803648" y="2689860"/>
                </a:lnTo>
                <a:close/>
              </a:path>
              <a:path w="5864860" h="2894330">
                <a:moveTo>
                  <a:pt x="4803648" y="2484120"/>
                </a:moveTo>
                <a:lnTo>
                  <a:pt x="3745992" y="2484120"/>
                </a:lnTo>
                <a:lnTo>
                  <a:pt x="3745992" y="2686812"/>
                </a:lnTo>
                <a:lnTo>
                  <a:pt x="4803648" y="2686812"/>
                </a:lnTo>
                <a:lnTo>
                  <a:pt x="4803648" y="2484120"/>
                </a:lnTo>
                <a:close/>
              </a:path>
              <a:path w="5864860" h="2894330">
                <a:moveTo>
                  <a:pt x="4803648" y="2276856"/>
                </a:moveTo>
                <a:lnTo>
                  <a:pt x="3745992" y="2276856"/>
                </a:lnTo>
                <a:lnTo>
                  <a:pt x="3745992" y="2481072"/>
                </a:lnTo>
                <a:lnTo>
                  <a:pt x="4803648" y="2481072"/>
                </a:lnTo>
                <a:lnTo>
                  <a:pt x="4803648" y="2276856"/>
                </a:lnTo>
                <a:close/>
              </a:path>
              <a:path w="5864860" h="2894330">
                <a:moveTo>
                  <a:pt x="4803648" y="2069592"/>
                </a:moveTo>
                <a:lnTo>
                  <a:pt x="3745992" y="2069592"/>
                </a:lnTo>
                <a:lnTo>
                  <a:pt x="3745992" y="2273808"/>
                </a:lnTo>
                <a:lnTo>
                  <a:pt x="4803648" y="2273808"/>
                </a:lnTo>
                <a:lnTo>
                  <a:pt x="4803648" y="2069592"/>
                </a:lnTo>
                <a:close/>
              </a:path>
              <a:path w="5864860" h="2894330">
                <a:moveTo>
                  <a:pt x="4803648" y="1862328"/>
                </a:moveTo>
                <a:lnTo>
                  <a:pt x="3745992" y="1862328"/>
                </a:lnTo>
                <a:lnTo>
                  <a:pt x="3745992" y="2066544"/>
                </a:lnTo>
                <a:lnTo>
                  <a:pt x="4803648" y="2066544"/>
                </a:lnTo>
                <a:lnTo>
                  <a:pt x="4803648" y="1862328"/>
                </a:lnTo>
                <a:close/>
              </a:path>
              <a:path w="5864860" h="2894330">
                <a:moveTo>
                  <a:pt x="4803648" y="1656588"/>
                </a:moveTo>
                <a:lnTo>
                  <a:pt x="3745992" y="1656588"/>
                </a:lnTo>
                <a:lnTo>
                  <a:pt x="3745992" y="1859280"/>
                </a:lnTo>
                <a:lnTo>
                  <a:pt x="4803648" y="1859280"/>
                </a:lnTo>
                <a:lnTo>
                  <a:pt x="4803648" y="1656588"/>
                </a:lnTo>
                <a:close/>
              </a:path>
              <a:path w="5864860" h="2894330">
                <a:moveTo>
                  <a:pt x="4803648" y="1449324"/>
                </a:moveTo>
                <a:lnTo>
                  <a:pt x="3745992" y="1449324"/>
                </a:lnTo>
                <a:lnTo>
                  <a:pt x="3745992" y="1653540"/>
                </a:lnTo>
                <a:lnTo>
                  <a:pt x="4803648" y="1653540"/>
                </a:lnTo>
                <a:lnTo>
                  <a:pt x="4803648" y="1449324"/>
                </a:lnTo>
                <a:close/>
              </a:path>
              <a:path w="5864860" h="2894330">
                <a:moveTo>
                  <a:pt x="4803648" y="1242060"/>
                </a:moveTo>
                <a:lnTo>
                  <a:pt x="3745992" y="1242060"/>
                </a:lnTo>
                <a:lnTo>
                  <a:pt x="3745992" y="1446276"/>
                </a:lnTo>
                <a:lnTo>
                  <a:pt x="4803648" y="1446276"/>
                </a:lnTo>
                <a:lnTo>
                  <a:pt x="4803648" y="1242060"/>
                </a:lnTo>
                <a:close/>
              </a:path>
              <a:path w="5864860" h="2894330">
                <a:moveTo>
                  <a:pt x="4803648" y="1034796"/>
                </a:moveTo>
                <a:lnTo>
                  <a:pt x="3745992" y="1034796"/>
                </a:lnTo>
                <a:lnTo>
                  <a:pt x="3745992" y="1239012"/>
                </a:lnTo>
                <a:lnTo>
                  <a:pt x="4803648" y="1239012"/>
                </a:lnTo>
                <a:lnTo>
                  <a:pt x="4803648" y="1034796"/>
                </a:lnTo>
                <a:close/>
              </a:path>
              <a:path w="5864860" h="2894330">
                <a:moveTo>
                  <a:pt x="4803648" y="827532"/>
                </a:moveTo>
                <a:lnTo>
                  <a:pt x="3745992" y="827532"/>
                </a:lnTo>
                <a:lnTo>
                  <a:pt x="3745992" y="1031748"/>
                </a:lnTo>
                <a:lnTo>
                  <a:pt x="4803648" y="1031748"/>
                </a:lnTo>
                <a:lnTo>
                  <a:pt x="4803648" y="827532"/>
                </a:lnTo>
                <a:close/>
              </a:path>
              <a:path w="5864860" h="2894330">
                <a:moveTo>
                  <a:pt x="4803648" y="620268"/>
                </a:moveTo>
                <a:lnTo>
                  <a:pt x="3745992" y="620268"/>
                </a:lnTo>
                <a:lnTo>
                  <a:pt x="3745992" y="824484"/>
                </a:lnTo>
                <a:lnTo>
                  <a:pt x="4803648" y="824484"/>
                </a:lnTo>
                <a:lnTo>
                  <a:pt x="4803648" y="620268"/>
                </a:lnTo>
                <a:close/>
              </a:path>
              <a:path w="5864860" h="2894330">
                <a:moveTo>
                  <a:pt x="4803648" y="414528"/>
                </a:moveTo>
                <a:lnTo>
                  <a:pt x="3745992" y="414528"/>
                </a:lnTo>
                <a:lnTo>
                  <a:pt x="3745992" y="617220"/>
                </a:lnTo>
                <a:lnTo>
                  <a:pt x="4803648" y="617220"/>
                </a:lnTo>
                <a:lnTo>
                  <a:pt x="4803648" y="414528"/>
                </a:lnTo>
                <a:close/>
              </a:path>
              <a:path w="5864860" h="2894330">
                <a:moveTo>
                  <a:pt x="4803648" y="207264"/>
                </a:moveTo>
                <a:lnTo>
                  <a:pt x="3745992" y="207264"/>
                </a:lnTo>
                <a:lnTo>
                  <a:pt x="3745992" y="411480"/>
                </a:lnTo>
                <a:lnTo>
                  <a:pt x="4803648" y="411480"/>
                </a:lnTo>
                <a:lnTo>
                  <a:pt x="4803648" y="207264"/>
                </a:lnTo>
                <a:close/>
              </a:path>
              <a:path w="5864860" h="2894330">
                <a:moveTo>
                  <a:pt x="4803648" y="0"/>
                </a:moveTo>
                <a:lnTo>
                  <a:pt x="3745992" y="0"/>
                </a:lnTo>
                <a:lnTo>
                  <a:pt x="3745992" y="204216"/>
                </a:lnTo>
                <a:lnTo>
                  <a:pt x="4803648" y="204216"/>
                </a:lnTo>
                <a:lnTo>
                  <a:pt x="4803648" y="0"/>
                </a:lnTo>
                <a:close/>
              </a:path>
              <a:path w="5864860" h="2894330">
                <a:moveTo>
                  <a:pt x="5864352" y="2689860"/>
                </a:moveTo>
                <a:lnTo>
                  <a:pt x="4806696" y="2689860"/>
                </a:lnTo>
                <a:lnTo>
                  <a:pt x="4806696" y="2894076"/>
                </a:lnTo>
                <a:lnTo>
                  <a:pt x="5864352" y="2894076"/>
                </a:lnTo>
                <a:lnTo>
                  <a:pt x="5864352" y="2689860"/>
                </a:lnTo>
                <a:close/>
              </a:path>
              <a:path w="5864860" h="2894330">
                <a:moveTo>
                  <a:pt x="5864352" y="2484120"/>
                </a:moveTo>
                <a:lnTo>
                  <a:pt x="4806696" y="2484120"/>
                </a:lnTo>
                <a:lnTo>
                  <a:pt x="4806696" y="2686812"/>
                </a:lnTo>
                <a:lnTo>
                  <a:pt x="5864352" y="2686812"/>
                </a:lnTo>
                <a:lnTo>
                  <a:pt x="5864352" y="2484120"/>
                </a:lnTo>
                <a:close/>
              </a:path>
              <a:path w="5864860" h="2894330">
                <a:moveTo>
                  <a:pt x="5864352" y="2276856"/>
                </a:moveTo>
                <a:lnTo>
                  <a:pt x="4806696" y="2276856"/>
                </a:lnTo>
                <a:lnTo>
                  <a:pt x="4806696" y="2481072"/>
                </a:lnTo>
                <a:lnTo>
                  <a:pt x="5864352" y="2481072"/>
                </a:lnTo>
                <a:lnTo>
                  <a:pt x="5864352" y="2276856"/>
                </a:lnTo>
                <a:close/>
              </a:path>
              <a:path w="5864860" h="2894330">
                <a:moveTo>
                  <a:pt x="5864352" y="2069592"/>
                </a:moveTo>
                <a:lnTo>
                  <a:pt x="4806696" y="2069592"/>
                </a:lnTo>
                <a:lnTo>
                  <a:pt x="4806696" y="2273808"/>
                </a:lnTo>
                <a:lnTo>
                  <a:pt x="5864352" y="2273808"/>
                </a:lnTo>
                <a:lnTo>
                  <a:pt x="5864352" y="2069592"/>
                </a:lnTo>
                <a:close/>
              </a:path>
              <a:path w="5864860" h="2894330">
                <a:moveTo>
                  <a:pt x="5864352" y="1862328"/>
                </a:moveTo>
                <a:lnTo>
                  <a:pt x="4806696" y="1862328"/>
                </a:lnTo>
                <a:lnTo>
                  <a:pt x="4806696" y="2066544"/>
                </a:lnTo>
                <a:lnTo>
                  <a:pt x="5864352" y="2066544"/>
                </a:lnTo>
                <a:lnTo>
                  <a:pt x="5864352" y="1862328"/>
                </a:lnTo>
                <a:close/>
              </a:path>
              <a:path w="5864860" h="2894330">
                <a:moveTo>
                  <a:pt x="5864352" y="1656588"/>
                </a:moveTo>
                <a:lnTo>
                  <a:pt x="4806696" y="1656588"/>
                </a:lnTo>
                <a:lnTo>
                  <a:pt x="4806696" y="1859280"/>
                </a:lnTo>
                <a:lnTo>
                  <a:pt x="5864352" y="1859280"/>
                </a:lnTo>
                <a:lnTo>
                  <a:pt x="5864352" y="1656588"/>
                </a:lnTo>
                <a:close/>
              </a:path>
              <a:path w="5864860" h="2894330">
                <a:moveTo>
                  <a:pt x="5864352" y="1449324"/>
                </a:moveTo>
                <a:lnTo>
                  <a:pt x="4806696" y="1449324"/>
                </a:lnTo>
                <a:lnTo>
                  <a:pt x="4806696" y="1653540"/>
                </a:lnTo>
                <a:lnTo>
                  <a:pt x="5864352" y="1653540"/>
                </a:lnTo>
                <a:lnTo>
                  <a:pt x="5864352" y="1449324"/>
                </a:lnTo>
                <a:close/>
              </a:path>
              <a:path w="5864860" h="2894330">
                <a:moveTo>
                  <a:pt x="5864352" y="1242060"/>
                </a:moveTo>
                <a:lnTo>
                  <a:pt x="4806696" y="1242060"/>
                </a:lnTo>
                <a:lnTo>
                  <a:pt x="4806696" y="1446276"/>
                </a:lnTo>
                <a:lnTo>
                  <a:pt x="5864352" y="1446276"/>
                </a:lnTo>
                <a:lnTo>
                  <a:pt x="5864352" y="1242060"/>
                </a:lnTo>
                <a:close/>
              </a:path>
              <a:path w="5864860" h="2894330">
                <a:moveTo>
                  <a:pt x="5864352" y="1034796"/>
                </a:moveTo>
                <a:lnTo>
                  <a:pt x="4806696" y="1034796"/>
                </a:lnTo>
                <a:lnTo>
                  <a:pt x="4806696" y="1239012"/>
                </a:lnTo>
                <a:lnTo>
                  <a:pt x="5864352" y="1239012"/>
                </a:lnTo>
                <a:lnTo>
                  <a:pt x="5864352" y="1034796"/>
                </a:lnTo>
                <a:close/>
              </a:path>
              <a:path w="5864860" h="2894330">
                <a:moveTo>
                  <a:pt x="5864352" y="827532"/>
                </a:moveTo>
                <a:lnTo>
                  <a:pt x="4806696" y="827532"/>
                </a:lnTo>
                <a:lnTo>
                  <a:pt x="4806696" y="1031748"/>
                </a:lnTo>
                <a:lnTo>
                  <a:pt x="5864352" y="1031748"/>
                </a:lnTo>
                <a:lnTo>
                  <a:pt x="5864352" y="827532"/>
                </a:lnTo>
                <a:close/>
              </a:path>
              <a:path w="5864860" h="2894330">
                <a:moveTo>
                  <a:pt x="5864352" y="620268"/>
                </a:moveTo>
                <a:lnTo>
                  <a:pt x="4806696" y="620268"/>
                </a:lnTo>
                <a:lnTo>
                  <a:pt x="4806696" y="824484"/>
                </a:lnTo>
                <a:lnTo>
                  <a:pt x="5864352" y="824484"/>
                </a:lnTo>
                <a:lnTo>
                  <a:pt x="5864352" y="620268"/>
                </a:lnTo>
                <a:close/>
              </a:path>
              <a:path w="5864860" h="2894330">
                <a:moveTo>
                  <a:pt x="5864352" y="414528"/>
                </a:moveTo>
                <a:lnTo>
                  <a:pt x="4806696" y="414528"/>
                </a:lnTo>
                <a:lnTo>
                  <a:pt x="4806696" y="617220"/>
                </a:lnTo>
                <a:lnTo>
                  <a:pt x="5864352" y="617220"/>
                </a:lnTo>
                <a:lnTo>
                  <a:pt x="5864352" y="414528"/>
                </a:lnTo>
                <a:close/>
              </a:path>
              <a:path w="5864860" h="2894330">
                <a:moveTo>
                  <a:pt x="5864352" y="207264"/>
                </a:moveTo>
                <a:lnTo>
                  <a:pt x="4806696" y="207264"/>
                </a:lnTo>
                <a:lnTo>
                  <a:pt x="4806696" y="411480"/>
                </a:lnTo>
                <a:lnTo>
                  <a:pt x="5864352" y="411480"/>
                </a:lnTo>
                <a:lnTo>
                  <a:pt x="5864352" y="207264"/>
                </a:lnTo>
                <a:close/>
              </a:path>
              <a:path w="5864860" h="2894330">
                <a:moveTo>
                  <a:pt x="5864352" y="0"/>
                </a:moveTo>
                <a:lnTo>
                  <a:pt x="4806696" y="0"/>
                </a:lnTo>
                <a:lnTo>
                  <a:pt x="4806696" y="204216"/>
                </a:lnTo>
                <a:lnTo>
                  <a:pt x="5864352" y="204216"/>
                </a:lnTo>
                <a:lnTo>
                  <a:pt x="5864352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800-00004A000000}"/>
              </a:ext>
            </a:extLst>
          </xdr:cNvPr>
          <xdr:cNvSpPr/>
        </xdr:nvSpPr>
        <xdr:spPr>
          <a:xfrm>
            <a:off x="0" y="1656587"/>
            <a:ext cx="5864860" cy="1652270"/>
          </a:xfrm>
          <a:custGeom>
            <a:avLst/>
            <a:gdLst/>
            <a:ahLst/>
            <a:cxnLst/>
            <a:rect l="0" t="0" r="0" b="0"/>
            <a:pathLst>
              <a:path w="5864860" h="1652270">
                <a:moveTo>
                  <a:pt x="1408176" y="0"/>
                </a:moveTo>
                <a:lnTo>
                  <a:pt x="0" y="0"/>
                </a:lnTo>
                <a:lnTo>
                  <a:pt x="0" y="1652016"/>
                </a:lnTo>
                <a:lnTo>
                  <a:pt x="1408176" y="1652016"/>
                </a:lnTo>
                <a:lnTo>
                  <a:pt x="1408176" y="0"/>
                </a:lnTo>
                <a:close/>
              </a:path>
              <a:path w="5864860" h="1652270">
                <a:moveTo>
                  <a:pt x="1970532" y="1447800"/>
                </a:moveTo>
                <a:lnTo>
                  <a:pt x="1411224" y="1447800"/>
                </a:lnTo>
                <a:lnTo>
                  <a:pt x="1411224" y="1652016"/>
                </a:lnTo>
                <a:lnTo>
                  <a:pt x="1970532" y="1652016"/>
                </a:lnTo>
                <a:lnTo>
                  <a:pt x="1970532" y="1447800"/>
                </a:lnTo>
                <a:close/>
              </a:path>
              <a:path w="5864860" h="1652270">
                <a:moveTo>
                  <a:pt x="1970532" y="1240536"/>
                </a:moveTo>
                <a:lnTo>
                  <a:pt x="1411224" y="1240536"/>
                </a:lnTo>
                <a:lnTo>
                  <a:pt x="1411224" y="1444752"/>
                </a:lnTo>
                <a:lnTo>
                  <a:pt x="1970532" y="1444752"/>
                </a:lnTo>
                <a:lnTo>
                  <a:pt x="1970532" y="1240536"/>
                </a:lnTo>
                <a:close/>
              </a:path>
              <a:path w="5864860" h="1652270">
                <a:moveTo>
                  <a:pt x="2682240" y="1447800"/>
                </a:moveTo>
                <a:lnTo>
                  <a:pt x="1973580" y="1447800"/>
                </a:lnTo>
                <a:lnTo>
                  <a:pt x="1973580" y="1652016"/>
                </a:lnTo>
                <a:lnTo>
                  <a:pt x="2682240" y="1652016"/>
                </a:lnTo>
                <a:lnTo>
                  <a:pt x="2682240" y="1447800"/>
                </a:lnTo>
                <a:close/>
              </a:path>
              <a:path w="5864860" h="1652270">
                <a:moveTo>
                  <a:pt x="2682240" y="1240536"/>
                </a:moveTo>
                <a:lnTo>
                  <a:pt x="1973580" y="1240536"/>
                </a:lnTo>
                <a:lnTo>
                  <a:pt x="1973580" y="1444752"/>
                </a:lnTo>
                <a:lnTo>
                  <a:pt x="2682240" y="1444752"/>
                </a:lnTo>
                <a:lnTo>
                  <a:pt x="2682240" y="1240536"/>
                </a:lnTo>
                <a:close/>
              </a:path>
              <a:path w="5864860" h="1652270">
                <a:moveTo>
                  <a:pt x="3742944" y="1447800"/>
                </a:moveTo>
                <a:lnTo>
                  <a:pt x="2685288" y="1447800"/>
                </a:lnTo>
                <a:lnTo>
                  <a:pt x="2685288" y="1652016"/>
                </a:lnTo>
                <a:lnTo>
                  <a:pt x="3742944" y="1652016"/>
                </a:lnTo>
                <a:lnTo>
                  <a:pt x="3742944" y="1447800"/>
                </a:lnTo>
                <a:close/>
              </a:path>
              <a:path w="5864860" h="1652270">
                <a:moveTo>
                  <a:pt x="3742944" y="1240536"/>
                </a:moveTo>
                <a:lnTo>
                  <a:pt x="2685288" y="1240536"/>
                </a:lnTo>
                <a:lnTo>
                  <a:pt x="2685288" y="1444752"/>
                </a:lnTo>
                <a:lnTo>
                  <a:pt x="3742944" y="1444752"/>
                </a:lnTo>
                <a:lnTo>
                  <a:pt x="3742944" y="1240536"/>
                </a:lnTo>
                <a:close/>
              </a:path>
              <a:path w="5864860" h="1652270">
                <a:moveTo>
                  <a:pt x="4803648" y="1447800"/>
                </a:moveTo>
                <a:lnTo>
                  <a:pt x="3745992" y="1447800"/>
                </a:lnTo>
                <a:lnTo>
                  <a:pt x="3745992" y="1652016"/>
                </a:lnTo>
                <a:lnTo>
                  <a:pt x="4803648" y="1652016"/>
                </a:lnTo>
                <a:lnTo>
                  <a:pt x="4803648" y="1447800"/>
                </a:lnTo>
                <a:close/>
              </a:path>
              <a:path w="5864860" h="1652270">
                <a:moveTo>
                  <a:pt x="4803648" y="1240536"/>
                </a:moveTo>
                <a:lnTo>
                  <a:pt x="3745992" y="1240536"/>
                </a:lnTo>
                <a:lnTo>
                  <a:pt x="3745992" y="1444752"/>
                </a:lnTo>
                <a:lnTo>
                  <a:pt x="4803648" y="1444752"/>
                </a:lnTo>
                <a:lnTo>
                  <a:pt x="4803648" y="1240536"/>
                </a:lnTo>
                <a:close/>
              </a:path>
              <a:path w="5864860" h="1652270">
                <a:moveTo>
                  <a:pt x="5864352" y="1447800"/>
                </a:moveTo>
                <a:lnTo>
                  <a:pt x="4806696" y="1447800"/>
                </a:lnTo>
                <a:lnTo>
                  <a:pt x="4806696" y="1652016"/>
                </a:lnTo>
                <a:lnTo>
                  <a:pt x="5864352" y="1652016"/>
                </a:lnTo>
                <a:lnTo>
                  <a:pt x="5864352" y="1447800"/>
                </a:lnTo>
                <a:close/>
              </a:path>
              <a:path w="5864860" h="1652270">
                <a:moveTo>
                  <a:pt x="5864352" y="1240536"/>
                </a:moveTo>
                <a:lnTo>
                  <a:pt x="4806696" y="1240536"/>
                </a:lnTo>
                <a:lnTo>
                  <a:pt x="4806696" y="1444752"/>
                </a:lnTo>
                <a:lnTo>
                  <a:pt x="5864352" y="1444752"/>
                </a:lnTo>
                <a:lnTo>
                  <a:pt x="5864352" y="1240536"/>
                </a:lnTo>
                <a:close/>
              </a:path>
              <a:path w="5864860" h="1652270">
                <a:moveTo>
                  <a:pt x="5864352" y="1033272"/>
                </a:moveTo>
                <a:lnTo>
                  <a:pt x="4806696" y="1033272"/>
                </a:lnTo>
                <a:lnTo>
                  <a:pt x="4806696" y="1237488"/>
                </a:lnTo>
                <a:lnTo>
                  <a:pt x="5864352" y="1237488"/>
                </a:lnTo>
                <a:lnTo>
                  <a:pt x="5864352" y="103327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22</xdr:row>
      <xdr:rowOff>0</xdr:rowOff>
    </xdr:from>
    <xdr:ext cx="708660" cy="330898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0" y="0"/>
          <a:ext cx="708660" cy="3308985"/>
        </a:xfrm>
        <a:custGeom>
          <a:avLst/>
          <a:gdLst/>
          <a:ahLst/>
          <a:cxnLst/>
          <a:rect l="0" t="0" r="0" b="0"/>
          <a:pathLst>
            <a:path w="708660" h="3308985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3308985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3308985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3308985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3308985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3308985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3308985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3308985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3308985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3308985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3308985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308985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308985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308985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308985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308985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18</xdr:row>
      <xdr:rowOff>206501</xdr:rowOff>
    </xdr:from>
    <xdr:ext cx="3179445" cy="37528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77" name="image1.jpeg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78" name="image2.jpeg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79" name="image3.jpeg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20</xdr:row>
      <xdr:rowOff>0</xdr:rowOff>
    </xdr:from>
    <xdr:ext cx="7275830" cy="3101340"/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GrpSpPr/>
      </xdr:nvGrpSpPr>
      <xdr:grpSpPr>
        <a:xfrm>
          <a:off x="617854" y="4983480"/>
          <a:ext cx="7275830" cy="3101340"/>
          <a:chOff x="0" y="0"/>
          <a:chExt cx="7275830" cy="3101340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900-000051000000}"/>
              </a:ext>
            </a:extLst>
          </xdr:cNvPr>
          <xdr:cNvSpPr/>
        </xdr:nvSpPr>
        <xdr:spPr>
          <a:xfrm>
            <a:off x="0" y="0"/>
            <a:ext cx="7275830" cy="2687320"/>
          </a:xfrm>
          <a:custGeom>
            <a:avLst/>
            <a:gdLst/>
            <a:ahLst/>
            <a:cxnLst/>
            <a:rect l="0" t="0" r="0" b="0"/>
            <a:pathLst>
              <a:path w="7275830" h="2687320">
                <a:moveTo>
                  <a:pt x="347472" y="2069592"/>
                </a:moveTo>
                <a:lnTo>
                  <a:pt x="0" y="2069592"/>
                </a:lnTo>
                <a:lnTo>
                  <a:pt x="0" y="2686812"/>
                </a:lnTo>
                <a:lnTo>
                  <a:pt x="347472" y="2686812"/>
                </a:lnTo>
                <a:lnTo>
                  <a:pt x="347472" y="2069592"/>
                </a:lnTo>
                <a:close/>
              </a:path>
              <a:path w="7275830" h="2687320">
                <a:moveTo>
                  <a:pt x="347472" y="1656588"/>
                </a:moveTo>
                <a:lnTo>
                  <a:pt x="0" y="1656588"/>
                </a:lnTo>
                <a:lnTo>
                  <a:pt x="0" y="2066544"/>
                </a:lnTo>
                <a:lnTo>
                  <a:pt x="347472" y="2066544"/>
                </a:lnTo>
                <a:lnTo>
                  <a:pt x="347472" y="1656588"/>
                </a:lnTo>
                <a:close/>
              </a:path>
              <a:path w="7275830" h="2687320">
                <a:moveTo>
                  <a:pt x="347472" y="0"/>
                </a:moveTo>
                <a:lnTo>
                  <a:pt x="0" y="0"/>
                </a:lnTo>
                <a:lnTo>
                  <a:pt x="0" y="1653540"/>
                </a:lnTo>
                <a:lnTo>
                  <a:pt x="347472" y="1653540"/>
                </a:lnTo>
                <a:lnTo>
                  <a:pt x="347472" y="0"/>
                </a:lnTo>
                <a:close/>
              </a:path>
              <a:path w="7275830" h="2687320">
                <a:moveTo>
                  <a:pt x="1408176" y="2069592"/>
                </a:moveTo>
                <a:lnTo>
                  <a:pt x="350520" y="2069592"/>
                </a:lnTo>
                <a:lnTo>
                  <a:pt x="350520" y="2686812"/>
                </a:lnTo>
                <a:lnTo>
                  <a:pt x="1408176" y="2686812"/>
                </a:lnTo>
                <a:lnTo>
                  <a:pt x="1408176" y="2069592"/>
                </a:lnTo>
                <a:close/>
              </a:path>
              <a:path w="7275830" h="2687320">
                <a:moveTo>
                  <a:pt x="1408176" y="1656588"/>
                </a:moveTo>
                <a:lnTo>
                  <a:pt x="350520" y="1656588"/>
                </a:lnTo>
                <a:lnTo>
                  <a:pt x="350520" y="2066544"/>
                </a:lnTo>
                <a:lnTo>
                  <a:pt x="1408176" y="2066544"/>
                </a:lnTo>
                <a:lnTo>
                  <a:pt x="1408176" y="1656588"/>
                </a:lnTo>
                <a:close/>
              </a:path>
              <a:path w="7275830" h="2687320">
                <a:moveTo>
                  <a:pt x="1408176" y="0"/>
                </a:moveTo>
                <a:lnTo>
                  <a:pt x="350520" y="0"/>
                </a:lnTo>
                <a:lnTo>
                  <a:pt x="350520" y="1653540"/>
                </a:lnTo>
                <a:lnTo>
                  <a:pt x="1408176" y="1653540"/>
                </a:lnTo>
                <a:lnTo>
                  <a:pt x="1408176" y="0"/>
                </a:lnTo>
                <a:close/>
              </a:path>
              <a:path w="7275830" h="2687320">
                <a:moveTo>
                  <a:pt x="2819400" y="2069592"/>
                </a:moveTo>
                <a:lnTo>
                  <a:pt x="1411224" y="2069592"/>
                </a:lnTo>
                <a:lnTo>
                  <a:pt x="1411224" y="2686812"/>
                </a:lnTo>
                <a:lnTo>
                  <a:pt x="2819400" y="2686812"/>
                </a:lnTo>
                <a:lnTo>
                  <a:pt x="2819400" y="2069592"/>
                </a:lnTo>
                <a:close/>
              </a:path>
              <a:path w="7275830" h="2687320">
                <a:moveTo>
                  <a:pt x="2819400" y="1656588"/>
                </a:moveTo>
                <a:lnTo>
                  <a:pt x="1411224" y="1656588"/>
                </a:lnTo>
                <a:lnTo>
                  <a:pt x="1411224" y="2066544"/>
                </a:lnTo>
                <a:lnTo>
                  <a:pt x="2819400" y="2066544"/>
                </a:lnTo>
                <a:lnTo>
                  <a:pt x="2819400" y="1656588"/>
                </a:lnTo>
                <a:close/>
              </a:path>
              <a:path w="7275830" h="2687320">
                <a:moveTo>
                  <a:pt x="2819400" y="1242060"/>
                </a:moveTo>
                <a:lnTo>
                  <a:pt x="1411224" y="1242060"/>
                </a:lnTo>
                <a:lnTo>
                  <a:pt x="1411224" y="1653540"/>
                </a:lnTo>
                <a:lnTo>
                  <a:pt x="2819400" y="1653540"/>
                </a:lnTo>
                <a:lnTo>
                  <a:pt x="2819400" y="1242060"/>
                </a:lnTo>
                <a:close/>
              </a:path>
              <a:path w="7275830" h="2687320">
                <a:moveTo>
                  <a:pt x="2819400" y="0"/>
                </a:moveTo>
                <a:lnTo>
                  <a:pt x="1411224" y="0"/>
                </a:lnTo>
                <a:lnTo>
                  <a:pt x="1411224" y="1239012"/>
                </a:lnTo>
                <a:lnTo>
                  <a:pt x="2819400" y="1239012"/>
                </a:lnTo>
                <a:lnTo>
                  <a:pt x="2819400" y="0"/>
                </a:lnTo>
                <a:close/>
              </a:path>
              <a:path w="7275830" h="268732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68732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68732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68732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68732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68732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68732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68732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68732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68732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68732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68732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68732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68732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68732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68732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68732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68732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68732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68732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68732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68732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68732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68732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68732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68732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68732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68732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68732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68732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68732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68732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68732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68732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68732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68732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68732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68732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68732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68732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68732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68732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68732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68732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68732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68732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68732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68732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68732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68732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68732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68732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68732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68732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68732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68732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68732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68732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68732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68732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68732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900-000052000000}"/>
              </a:ext>
            </a:extLst>
          </xdr:cNvPr>
          <xdr:cNvSpPr/>
        </xdr:nvSpPr>
        <xdr:spPr>
          <a:xfrm>
            <a:off x="0" y="2484119"/>
            <a:ext cx="7275830" cy="617220"/>
          </a:xfrm>
          <a:custGeom>
            <a:avLst/>
            <a:gdLst/>
            <a:ahLst/>
            <a:cxnLst/>
            <a:rect l="0" t="0" r="0" b="0"/>
            <a:pathLst>
              <a:path w="7275830" h="617220">
                <a:moveTo>
                  <a:pt x="347472" y="205740"/>
                </a:moveTo>
                <a:lnTo>
                  <a:pt x="0" y="205740"/>
                </a:lnTo>
                <a:lnTo>
                  <a:pt x="0" y="617220"/>
                </a:lnTo>
                <a:lnTo>
                  <a:pt x="347472" y="617220"/>
                </a:lnTo>
                <a:lnTo>
                  <a:pt x="347472" y="205740"/>
                </a:lnTo>
                <a:close/>
              </a:path>
              <a:path w="7275830" h="617220">
                <a:moveTo>
                  <a:pt x="1408176" y="205740"/>
                </a:moveTo>
                <a:lnTo>
                  <a:pt x="350520" y="205740"/>
                </a:lnTo>
                <a:lnTo>
                  <a:pt x="350520" y="617220"/>
                </a:lnTo>
                <a:lnTo>
                  <a:pt x="1408176" y="617220"/>
                </a:lnTo>
                <a:lnTo>
                  <a:pt x="1408176" y="205740"/>
                </a:lnTo>
                <a:close/>
              </a:path>
              <a:path w="7275830" h="617220">
                <a:moveTo>
                  <a:pt x="2819400" y="205740"/>
                </a:moveTo>
                <a:lnTo>
                  <a:pt x="1411224" y="205740"/>
                </a:lnTo>
                <a:lnTo>
                  <a:pt x="1411224" y="617220"/>
                </a:lnTo>
                <a:lnTo>
                  <a:pt x="2819400" y="617220"/>
                </a:lnTo>
                <a:lnTo>
                  <a:pt x="2819400" y="205740"/>
                </a:lnTo>
                <a:close/>
              </a:path>
              <a:path w="7275830" h="617220">
                <a:moveTo>
                  <a:pt x="3381756" y="413004"/>
                </a:moveTo>
                <a:lnTo>
                  <a:pt x="2822448" y="413004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3004"/>
                </a:lnTo>
                <a:close/>
              </a:path>
              <a:path w="7275830" h="617220">
                <a:moveTo>
                  <a:pt x="3381756" y="205740"/>
                </a:moveTo>
                <a:lnTo>
                  <a:pt x="2822448" y="205740"/>
                </a:lnTo>
                <a:lnTo>
                  <a:pt x="2822448" y="409956"/>
                </a:lnTo>
                <a:lnTo>
                  <a:pt x="3381756" y="409956"/>
                </a:lnTo>
                <a:lnTo>
                  <a:pt x="3381756" y="205740"/>
                </a:lnTo>
                <a:close/>
              </a:path>
              <a:path w="7275830" h="617220">
                <a:moveTo>
                  <a:pt x="3381756" y="0"/>
                </a:moveTo>
                <a:lnTo>
                  <a:pt x="2822448" y="0"/>
                </a:lnTo>
                <a:lnTo>
                  <a:pt x="2822448" y="202692"/>
                </a:lnTo>
                <a:lnTo>
                  <a:pt x="3381756" y="202692"/>
                </a:lnTo>
                <a:lnTo>
                  <a:pt x="3381756" y="0"/>
                </a:lnTo>
                <a:close/>
              </a:path>
              <a:path w="7275830" h="617220">
                <a:moveTo>
                  <a:pt x="4093464" y="413004"/>
                </a:moveTo>
                <a:lnTo>
                  <a:pt x="3384804" y="413004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3004"/>
                </a:lnTo>
                <a:close/>
              </a:path>
              <a:path w="7275830" h="617220">
                <a:moveTo>
                  <a:pt x="4093464" y="205740"/>
                </a:moveTo>
                <a:lnTo>
                  <a:pt x="3384804" y="205740"/>
                </a:lnTo>
                <a:lnTo>
                  <a:pt x="3384804" y="409956"/>
                </a:lnTo>
                <a:lnTo>
                  <a:pt x="4093464" y="409956"/>
                </a:lnTo>
                <a:lnTo>
                  <a:pt x="4093464" y="205740"/>
                </a:lnTo>
                <a:close/>
              </a:path>
              <a:path w="7275830" h="617220">
                <a:moveTo>
                  <a:pt x="4093464" y="0"/>
                </a:moveTo>
                <a:lnTo>
                  <a:pt x="3384804" y="0"/>
                </a:lnTo>
                <a:lnTo>
                  <a:pt x="3384804" y="202692"/>
                </a:lnTo>
                <a:lnTo>
                  <a:pt x="4093464" y="202692"/>
                </a:lnTo>
                <a:lnTo>
                  <a:pt x="4093464" y="0"/>
                </a:lnTo>
                <a:close/>
              </a:path>
              <a:path w="7275830" h="617220">
                <a:moveTo>
                  <a:pt x="5154168" y="413004"/>
                </a:moveTo>
                <a:lnTo>
                  <a:pt x="4096512" y="413004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3004"/>
                </a:lnTo>
                <a:close/>
              </a:path>
              <a:path w="7275830" h="617220">
                <a:moveTo>
                  <a:pt x="5154168" y="205740"/>
                </a:moveTo>
                <a:lnTo>
                  <a:pt x="4096512" y="205740"/>
                </a:lnTo>
                <a:lnTo>
                  <a:pt x="4096512" y="409956"/>
                </a:lnTo>
                <a:lnTo>
                  <a:pt x="5154168" y="409956"/>
                </a:lnTo>
                <a:lnTo>
                  <a:pt x="5154168" y="205740"/>
                </a:lnTo>
                <a:close/>
              </a:path>
              <a:path w="7275830" h="617220">
                <a:moveTo>
                  <a:pt x="5154168" y="0"/>
                </a:moveTo>
                <a:lnTo>
                  <a:pt x="4096512" y="0"/>
                </a:lnTo>
                <a:lnTo>
                  <a:pt x="4096512" y="202692"/>
                </a:lnTo>
                <a:lnTo>
                  <a:pt x="5154168" y="202692"/>
                </a:lnTo>
                <a:lnTo>
                  <a:pt x="5154168" y="0"/>
                </a:lnTo>
                <a:close/>
              </a:path>
              <a:path w="7275830" h="617220">
                <a:moveTo>
                  <a:pt x="6214872" y="413004"/>
                </a:moveTo>
                <a:lnTo>
                  <a:pt x="5157216" y="413004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3004"/>
                </a:lnTo>
                <a:close/>
              </a:path>
              <a:path w="7275830" h="617220">
                <a:moveTo>
                  <a:pt x="6214872" y="205740"/>
                </a:moveTo>
                <a:lnTo>
                  <a:pt x="5157216" y="205740"/>
                </a:lnTo>
                <a:lnTo>
                  <a:pt x="5157216" y="409956"/>
                </a:lnTo>
                <a:lnTo>
                  <a:pt x="6214872" y="409956"/>
                </a:lnTo>
                <a:lnTo>
                  <a:pt x="6214872" y="205740"/>
                </a:lnTo>
                <a:close/>
              </a:path>
              <a:path w="7275830" h="617220">
                <a:moveTo>
                  <a:pt x="6214872" y="0"/>
                </a:moveTo>
                <a:lnTo>
                  <a:pt x="5157216" y="0"/>
                </a:lnTo>
                <a:lnTo>
                  <a:pt x="5157216" y="202692"/>
                </a:lnTo>
                <a:lnTo>
                  <a:pt x="6214872" y="202692"/>
                </a:lnTo>
                <a:lnTo>
                  <a:pt x="6214872" y="0"/>
                </a:lnTo>
                <a:close/>
              </a:path>
              <a:path w="7275830" h="617220">
                <a:moveTo>
                  <a:pt x="7275576" y="413004"/>
                </a:moveTo>
                <a:lnTo>
                  <a:pt x="6217920" y="413004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3004"/>
                </a:lnTo>
                <a:close/>
              </a:path>
              <a:path w="7275830" h="617220">
                <a:moveTo>
                  <a:pt x="7275576" y="205740"/>
                </a:moveTo>
                <a:lnTo>
                  <a:pt x="6217920" y="205740"/>
                </a:lnTo>
                <a:lnTo>
                  <a:pt x="6217920" y="409956"/>
                </a:lnTo>
                <a:lnTo>
                  <a:pt x="7275576" y="409956"/>
                </a:lnTo>
                <a:lnTo>
                  <a:pt x="7275576" y="205740"/>
                </a:lnTo>
                <a:close/>
              </a:path>
              <a:path w="7275830" h="617220">
                <a:moveTo>
                  <a:pt x="7275576" y="0"/>
                </a:moveTo>
                <a:lnTo>
                  <a:pt x="6217920" y="0"/>
                </a:lnTo>
                <a:lnTo>
                  <a:pt x="6217920" y="202692"/>
                </a:lnTo>
                <a:lnTo>
                  <a:pt x="7275576" y="202692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21</xdr:row>
      <xdr:rowOff>0</xdr:rowOff>
    </xdr:from>
    <xdr:ext cx="708660" cy="310134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708660" cy="3101340"/>
        </a:xfrm>
        <a:custGeom>
          <a:avLst/>
          <a:gdLst/>
          <a:ahLst/>
          <a:cxnLst/>
          <a:rect l="0" t="0" r="0" b="0"/>
          <a:pathLst>
            <a:path w="708660" h="3101340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310134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310134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310134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310134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310134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310134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310134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310134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310134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10134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10134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10134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10134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10134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24</xdr:row>
      <xdr:rowOff>206501</xdr:rowOff>
    </xdr:from>
    <xdr:ext cx="3179445" cy="37528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85" name="image1.jpeg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86" name="image2.jpeg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87" name="image3.jpeg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26</xdr:row>
      <xdr:rowOff>0</xdr:rowOff>
    </xdr:from>
    <xdr:ext cx="7275830" cy="4343400"/>
    <xdr:grpSp>
      <xdr:nvGrpSpPr>
        <xdr:cNvPr id="88" name="Group 88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GrpSpPr/>
      </xdr:nvGrpSpPr>
      <xdr:grpSpPr>
        <a:xfrm>
          <a:off x="617854" y="6263640"/>
          <a:ext cx="7275830" cy="4343400"/>
          <a:chOff x="0" y="0"/>
          <a:chExt cx="7275830" cy="4343400"/>
        </a:xfrm>
      </xdr:grpSpPr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A00-000059000000}"/>
              </a:ext>
            </a:extLst>
          </xdr:cNvPr>
          <xdr:cNvSpPr/>
        </xdr:nvSpPr>
        <xdr:spPr>
          <a:xfrm>
            <a:off x="0" y="0"/>
            <a:ext cx="7275830" cy="2894330"/>
          </a:xfrm>
          <a:custGeom>
            <a:avLst/>
            <a:gdLst/>
            <a:ahLst/>
            <a:cxnLst/>
            <a:rect l="0" t="0" r="0" b="0"/>
            <a:pathLst>
              <a:path w="7275830" h="2894330">
                <a:moveTo>
                  <a:pt x="347472" y="1449324"/>
                </a:moveTo>
                <a:lnTo>
                  <a:pt x="0" y="1449324"/>
                </a:lnTo>
                <a:lnTo>
                  <a:pt x="0" y="2894076"/>
                </a:lnTo>
                <a:lnTo>
                  <a:pt x="347472" y="2894076"/>
                </a:lnTo>
                <a:lnTo>
                  <a:pt x="347472" y="1449324"/>
                </a:lnTo>
                <a:close/>
              </a:path>
              <a:path w="7275830" h="2894330">
                <a:moveTo>
                  <a:pt x="347472" y="0"/>
                </a:moveTo>
                <a:lnTo>
                  <a:pt x="0" y="0"/>
                </a:lnTo>
                <a:lnTo>
                  <a:pt x="0" y="1446276"/>
                </a:lnTo>
                <a:lnTo>
                  <a:pt x="347472" y="1446276"/>
                </a:lnTo>
                <a:lnTo>
                  <a:pt x="347472" y="0"/>
                </a:lnTo>
                <a:close/>
              </a:path>
              <a:path w="7275830" h="2894330">
                <a:moveTo>
                  <a:pt x="1408176" y="1449324"/>
                </a:moveTo>
                <a:lnTo>
                  <a:pt x="350520" y="1449324"/>
                </a:lnTo>
                <a:lnTo>
                  <a:pt x="350520" y="2894076"/>
                </a:lnTo>
                <a:lnTo>
                  <a:pt x="1408176" y="2894076"/>
                </a:lnTo>
                <a:lnTo>
                  <a:pt x="1408176" y="1449324"/>
                </a:lnTo>
                <a:close/>
              </a:path>
              <a:path w="7275830" h="2894330">
                <a:moveTo>
                  <a:pt x="1408176" y="0"/>
                </a:moveTo>
                <a:lnTo>
                  <a:pt x="350520" y="0"/>
                </a:lnTo>
                <a:lnTo>
                  <a:pt x="350520" y="1446276"/>
                </a:lnTo>
                <a:lnTo>
                  <a:pt x="1408176" y="1446276"/>
                </a:lnTo>
                <a:lnTo>
                  <a:pt x="1408176" y="0"/>
                </a:lnTo>
                <a:close/>
              </a:path>
              <a:path w="7275830" h="2894330">
                <a:moveTo>
                  <a:pt x="2819400" y="1449324"/>
                </a:moveTo>
                <a:lnTo>
                  <a:pt x="1411224" y="1449324"/>
                </a:lnTo>
                <a:lnTo>
                  <a:pt x="1411224" y="2894076"/>
                </a:lnTo>
                <a:lnTo>
                  <a:pt x="2819400" y="2894076"/>
                </a:lnTo>
                <a:lnTo>
                  <a:pt x="2819400" y="1449324"/>
                </a:lnTo>
                <a:close/>
              </a:path>
              <a:path w="7275830" h="2894330">
                <a:moveTo>
                  <a:pt x="2819400" y="0"/>
                </a:moveTo>
                <a:lnTo>
                  <a:pt x="1411224" y="0"/>
                </a:lnTo>
                <a:lnTo>
                  <a:pt x="1411224" y="1446276"/>
                </a:lnTo>
                <a:lnTo>
                  <a:pt x="2819400" y="1446276"/>
                </a:lnTo>
                <a:lnTo>
                  <a:pt x="2819400" y="0"/>
                </a:lnTo>
                <a:close/>
              </a:path>
              <a:path w="7275830" h="289433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89433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89433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89433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89433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89433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89433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89433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89433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89433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89433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89433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89433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894330">
                <a:moveTo>
                  <a:pt x="4093464" y="2484120"/>
                </a:moveTo>
                <a:lnTo>
                  <a:pt x="3384804" y="2484120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4120"/>
                </a:lnTo>
                <a:close/>
              </a:path>
              <a:path w="7275830" h="289433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89433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89433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89433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89433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89433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89433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89433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89433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89433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89433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89433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894330">
                <a:moveTo>
                  <a:pt x="5154168" y="2484120"/>
                </a:moveTo>
                <a:lnTo>
                  <a:pt x="4096512" y="2484120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4120"/>
                </a:lnTo>
                <a:close/>
              </a:path>
              <a:path w="7275830" h="289433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89433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89433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89433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89433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89433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89433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89433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89433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89433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89433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89433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894330">
                <a:moveTo>
                  <a:pt x="6214872" y="2484120"/>
                </a:moveTo>
                <a:lnTo>
                  <a:pt x="5157216" y="2484120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4120"/>
                </a:lnTo>
                <a:close/>
              </a:path>
              <a:path w="7275830" h="289433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89433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89433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89433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89433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89433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89433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89433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89433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89433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89433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89433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894330">
                <a:moveTo>
                  <a:pt x="7275576" y="2484120"/>
                </a:moveTo>
                <a:lnTo>
                  <a:pt x="6217920" y="2484120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4120"/>
                </a:lnTo>
                <a:close/>
              </a:path>
              <a:path w="7275830" h="289433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89433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89433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89433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89433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89433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89433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89433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89433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89433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89433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89433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0" name="Shape 90">
            <a:extLst>
              <a:ext uri="{FF2B5EF4-FFF2-40B4-BE49-F238E27FC236}">
                <a16:creationId xmlns:a16="http://schemas.microsoft.com/office/drawing/2014/main" id="{00000000-0008-0000-0A00-00005A000000}"/>
              </a:ext>
            </a:extLst>
          </xdr:cNvPr>
          <xdr:cNvSpPr/>
        </xdr:nvSpPr>
        <xdr:spPr>
          <a:xfrm>
            <a:off x="0" y="1449323"/>
            <a:ext cx="7275830" cy="2894330"/>
          </a:xfrm>
          <a:custGeom>
            <a:avLst/>
            <a:gdLst/>
            <a:ahLst/>
            <a:cxnLst/>
            <a:rect l="0" t="0" r="0" b="0"/>
            <a:pathLst>
              <a:path w="7275830" h="2894330">
                <a:moveTo>
                  <a:pt x="347472" y="1447800"/>
                </a:moveTo>
                <a:lnTo>
                  <a:pt x="0" y="1447800"/>
                </a:lnTo>
                <a:lnTo>
                  <a:pt x="0" y="2894076"/>
                </a:lnTo>
                <a:lnTo>
                  <a:pt x="347472" y="2894076"/>
                </a:lnTo>
                <a:lnTo>
                  <a:pt x="347472" y="1447800"/>
                </a:lnTo>
                <a:close/>
              </a:path>
              <a:path w="7275830" h="2894330">
                <a:moveTo>
                  <a:pt x="1408176" y="1447800"/>
                </a:moveTo>
                <a:lnTo>
                  <a:pt x="350520" y="1447800"/>
                </a:lnTo>
                <a:lnTo>
                  <a:pt x="350520" y="2894076"/>
                </a:lnTo>
                <a:lnTo>
                  <a:pt x="1408176" y="2894076"/>
                </a:lnTo>
                <a:lnTo>
                  <a:pt x="1408176" y="1447800"/>
                </a:lnTo>
                <a:close/>
              </a:path>
              <a:path w="7275830" h="2894330">
                <a:moveTo>
                  <a:pt x="2819400" y="2482596"/>
                </a:moveTo>
                <a:lnTo>
                  <a:pt x="1411224" y="2482596"/>
                </a:lnTo>
                <a:lnTo>
                  <a:pt x="1411224" y="2894076"/>
                </a:lnTo>
                <a:lnTo>
                  <a:pt x="2819400" y="2894076"/>
                </a:lnTo>
                <a:lnTo>
                  <a:pt x="2819400" y="2482596"/>
                </a:lnTo>
                <a:close/>
              </a:path>
              <a:path w="7275830" h="2894330">
                <a:moveTo>
                  <a:pt x="2819400" y="1447800"/>
                </a:moveTo>
                <a:lnTo>
                  <a:pt x="1411224" y="1447800"/>
                </a:lnTo>
                <a:lnTo>
                  <a:pt x="1411224" y="2479548"/>
                </a:lnTo>
                <a:lnTo>
                  <a:pt x="2819400" y="2479548"/>
                </a:lnTo>
                <a:lnTo>
                  <a:pt x="2819400" y="1447800"/>
                </a:lnTo>
                <a:close/>
              </a:path>
              <a:path w="7275830" h="2894330">
                <a:moveTo>
                  <a:pt x="2819400" y="0"/>
                </a:moveTo>
                <a:lnTo>
                  <a:pt x="1411224" y="0"/>
                </a:lnTo>
                <a:lnTo>
                  <a:pt x="1411224" y="1444752"/>
                </a:lnTo>
                <a:lnTo>
                  <a:pt x="2819400" y="1444752"/>
                </a:lnTo>
                <a:lnTo>
                  <a:pt x="2819400" y="0"/>
                </a:lnTo>
                <a:close/>
              </a:path>
              <a:path w="7275830" h="2894330">
                <a:moveTo>
                  <a:pt x="3381756" y="2689860"/>
                </a:moveTo>
                <a:lnTo>
                  <a:pt x="2822448" y="2689860"/>
                </a:lnTo>
                <a:lnTo>
                  <a:pt x="2822448" y="2894076"/>
                </a:lnTo>
                <a:lnTo>
                  <a:pt x="3381756" y="2894076"/>
                </a:lnTo>
                <a:lnTo>
                  <a:pt x="3381756" y="2689860"/>
                </a:lnTo>
                <a:close/>
              </a:path>
              <a:path w="7275830" h="2894330">
                <a:moveTo>
                  <a:pt x="3381756" y="2482596"/>
                </a:moveTo>
                <a:lnTo>
                  <a:pt x="2822448" y="2482596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2596"/>
                </a:lnTo>
                <a:close/>
              </a:path>
              <a:path w="7275830" h="2894330">
                <a:moveTo>
                  <a:pt x="3381756" y="2276856"/>
                </a:moveTo>
                <a:lnTo>
                  <a:pt x="2822448" y="2276856"/>
                </a:lnTo>
                <a:lnTo>
                  <a:pt x="2822448" y="2479548"/>
                </a:lnTo>
                <a:lnTo>
                  <a:pt x="3381756" y="2479548"/>
                </a:lnTo>
                <a:lnTo>
                  <a:pt x="3381756" y="2276856"/>
                </a:lnTo>
                <a:close/>
              </a:path>
              <a:path w="7275830" h="2894330">
                <a:moveTo>
                  <a:pt x="3381756" y="2069592"/>
                </a:moveTo>
                <a:lnTo>
                  <a:pt x="2822448" y="2069592"/>
                </a:lnTo>
                <a:lnTo>
                  <a:pt x="2822448" y="2272284"/>
                </a:lnTo>
                <a:lnTo>
                  <a:pt x="3381756" y="2272284"/>
                </a:lnTo>
                <a:lnTo>
                  <a:pt x="3381756" y="2069592"/>
                </a:lnTo>
                <a:close/>
              </a:path>
              <a:path w="7275830" h="289433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894330">
                <a:moveTo>
                  <a:pt x="3381756" y="1655064"/>
                </a:moveTo>
                <a:lnTo>
                  <a:pt x="2822448" y="1655064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5064"/>
                </a:lnTo>
                <a:close/>
              </a:path>
              <a:path w="7275830" h="2894330">
                <a:moveTo>
                  <a:pt x="3381756" y="1447800"/>
                </a:moveTo>
                <a:lnTo>
                  <a:pt x="2822448" y="1447800"/>
                </a:lnTo>
                <a:lnTo>
                  <a:pt x="2822448" y="1652016"/>
                </a:lnTo>
                <a:lnTo>
                  <a:pt x="3381756" y="1652016"/>
                </a:lnTo>
                <a:lnTo>
                  <a:pt x="3381756" y="1447800"/>
                </a:lnTo>
                <a:close/>
              </a:path>
              <a:path w="7275830" h="2894330">
                <a:moveTo>
                  <a:pt x="3381756" y="1240536"/>
                </a:moveTo>
                <a:lnTo>
                  <a:pt x="2822448" y="1240536"/>
                </a:lnTo>
                <a:lnTo>
                  <a:pt x="2822448" y="1444752"/>
                </a:lnTo>
                <a:lnTo>
                  <a:pt x="3381756" y="1444752"/>
                </a:lnTo>
                <a:lnTo>
                  <a:pt x="3381756" y="1240536"/>
                </a:lnTo>
                <a:close/>
              </a:path>
              <a:path w="7275830" h="2894330">
                <a:moveTo>
                  <a:pt x="4093464" y="2689860"/>
                </a:moveTo>
                <a:lnTo>
                  <a:pt x="3384804" y="2689860"/>
                </a:lnTo>
                <a:lnTo>
                  <a:pt x="3384804" y="2894076"/>
                </a:lnTo>
                <a:lnTo>
                  <a:pt x="4093464" y="2894076"/>
                </a:lnTo>
                <a:lnTo>
                  <a:pt x="4093464" y="2689860"/>
                </a:lnTo>
                <a:close/>
              </a:path>
              <a:path w="7275830" h="2894330">
                <a:moveTo>
                  <a:pt x="4093464" y="2482596"/>
                </a:moveTo>
                <a:lnTo>
                  <a:pt x="3384804" y="2482596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2596"/>
                </a:lnTo>
                <a:close/>
              </a:path>
              <a:path w="7275830" h="2894330">
                <a:moveTo>
                  <a:pt x="4093464" y="2276856"/>
                </a:moveTo>
                <a:lnTo>
                  <a:pt x="3384804" y="2276856"/>
                </a:lnTo>
                <a:lnTo>
                  <a:pt x="3384804" y="2479548"/>
                </a:lnTo>
                <a:lnTo>
                  <a:pt x="4093464" y="2479548"/>
                </a:lnTo>
                <a:lnTo>
                  <a:pt x="4093464" y="2276856"/>
                </a:lnTo>
                <a:close/>
              </a:path>
              <a:path w="7275830" h="2894330">
                <a:moveTo>
                  <a:pt x="4093464" y="2069592"/>
                </a:moveTo>
                <a:lnTo>
                  <a:pt x="3384804" y="2069592"/>
                </a:lnTo>
                <a:lnTo>
                  <a:pt x="3384804" y="2272284"/>
                </a:lnTo>
                <a:lnTo>
                  <a:pt x="4093464" y="2272284"/>
                </a:lnTo>
                <a:lnTo>
                  <a:pt x="4093464" y="2069592"/>
                </a:lnTo>
                <a:close/>
              </a:path>
              <a:path w="7275830" h="289433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894330">
                <a:moveTo>
                  <a:pt x="4093464" y="1655064"/>
                </a:moveTo>
                <a:lnTo>
                  <a:pt x="3384804" y="1655064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5064"/>
                </a:lnTo>
                <a:close/>
              </a:path>
              <a:path w="7275830" h="2894330">
                <a:moveTo>
                  <a:pt x="4093464" y="1447800"/>
                </a:moveTo>
                <a:lnTo>
                  <a:pt x="3384804" y="1447800"/>
                </a:lnTo>
                <a:lnTo>
                  <a:pt x="3384804" y="1652016"/>
                </a:lnTo>
                <a:lnTo>
                  <a:pt x="4093464" y="1652016"/>
                </a:lnTo>
                <a:lnTo>
                  <a:pt x="4093464" y="1447800"/>
                </a:lnTo>
                <a:close/>
              </a:path>
              <a:path w="7275830" h="2894330">
                <a:moveTo>
                  <a:pt x="4093464" y="1240536"/>
                </a:moveTo>
                <a:lnTo>
                  <a:pt x="3384804" y="1240536"/>
                </a:lnTo>
                <a:lnTo>
                  <a:pt x="3384804" y="1444752"/>
                </a:lnTo>
                <a:lnTo>
                  <a:pt x="4093464" y="1444752"/>
                </a:lnTo>
                <a:lnTo>
                  <a:pt x="4093464" y="1240536"/>
                </a:lnTo>
                <a:close/>
              </a:path>
              <a:path w="7275830" h="2894330">
                <a:moveTo>
                  <a:pt x="5154168" y="2689860"/>
                </a:moveTo>
                <a:lnTo>
                  <a:pt x="4096512" y="2689860"/>
                </a:lnTo>
                <a:lnTo>
                  <a:pt x="4096512" y="2894076"/>
                </a:lnTo>
                <a:lnTo>
                  <a:pt x="5154168" y="2894076"/>
                </a:lnTo>
                <a:lnTo>
                  <a:pt x="5154168" y="2689860"/>
                </a:lnTo>
                <a:close/>
              </a:path>
              <a:path w="7275830" h="2894330">
                <a:moveTo>
                  <a:pt x="5154168" y="2482596"/>
                </a:moveTo>
                <a:lnTo>
                  <a:pt x="4096512" y="2482596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2596"/>
                </a:lnTo>
                <a:close/>
              </a:path>
              <a:path w="7275830" h="2894330">
                <a:moveTo>
                  <a:pt x="5154168" y="2276856"/>
                </a:moveTo>
                <a:lnTo>
                  <a:pt x="4096512" y="2276856"/>
                </a:lnTo>
                <a:lnTo>
                  <a:pt x="4096512" y="2479548"/>
                </a:lnTo>
                <a:lnTo>
                  <a:pt x="5154168" y="2479548"/>
                </a:lnTo>
                <a:lnTo>
                  <a:pt x="5154168" y="2276856"/>
                </a:lnTo>
                <a:close/>
              </a:path>
              <a:path w="7275830" h="2894330">
                <a:moveTo>
                  <a:pt x="5154168" y="2069592"/>
                </a:moveTo>
                <a:lnTo>
                  <a:pt x="4096512" y="2069592"/>
                </a:lnTo>
                <a:lnTo>
                  <a:pt x="4096512" y="2272284"/>
                </a:lnTo>
                <a:lnTo>
                  <a:pt x="5154168" y="2272284"/>
                </a:lnTo>
                <a:lnTo>
                  <a:pt x="5154168" y="2069592"/>
                </a:lnTo>
                <a:close/>
              </a:path>
              <a:path w="7275830" h="289433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894330">
                <a:moveTo>
                  <a:pt x="5154168" y="1655064"/>
                </a:moveTo>
                <a:lnTo>
                  <a:pt x="4096512" y="1655064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5064"/>
                </a:lnTo>
                <a:close/>
              </a:path>
              <a:path w="7275830" h="2894330">
                <a:moveTo>
                  <a:pt x="5154168" y="1447800"/>
                </a:moveTo>
                <a:lnTo>
                  <a:pt x="4096512" y="1447800"/>
                </a:lnTo>
                <a:lnTo>
                  <a:pt x="4096512" y="1652016"/>
                </a:lnTo>
                <a:lnTo>
                  <a:pt x="5154168" y="1652016"/>
                </a:lnTo>
                <a:lnTo>
                  <a:pt x="5154168" y="1447800"/>
                </a:lnTo>
                <a:close/>
              </a:path>
              <a:path w="7275830" h="2894330">
                <a:moveTo>
                  <a:pt x="5154168" y="1240536"/>
                </a:moveTo>
                <a:lnTo>
                  <a:pt x="4096512" y="1240536"/>
                </a:lnTo>
                <a:lnTo>
                  <a:pt x="4096512" y="1444752"/>
                </a:lnTo>
                <a:lnTo>
                  <a:pt x="5154168" y="1444752"/>
                </a:lnTo>
                <a:lnTo>
                  <a:pt x="5154168" y="1240536"/>
                </a:lnTo>
                <a:close/>
              </a:path>
              <a:path w="7275830" h="2894330">
                <a:moveTo>
                  <a:pt x="6214872" y="2689860"/>
                </a:moveTo>
                <a:lnTo>
                  <a:pt x="5157216" y="2689860"/>
                </a:lnTo>
                <a:lnTo>
                  <a:pt x="5157216" y="2894076"/>
                </a:lnTo>
                <a:lnTo>
                  <a:pt x="6214872" y="2894076"/>
                </a:lnTo>
                <a:lnTo>
                  <a:pt x="6214872" y="2689860"/>
                </a:lnTo>
                <a:close/>
              </a:path>
              <a:path w="7275830" h="2894330">
                <a:moveTo>
                  <a:pt x="6214872" y="2482596"/>
                </a:moveTo>
                <a:lnTo>
                  <a:pt x="5157216" y="2482596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2596"/>
                </a:lnTo>
                <a:close/>
              </a:path>
              <a:path w="7275830" h="2894330">
                <a:moveTo>
                  <a:pt x="6214872" y="2276856"/>
                </a:moveTo>
                <a:lnTo>
                  <a:pt x="5157216" y="2276856"/>
                </a:lnTo>
                <a:lnTo>
                  <a:pt x="5157216" y="2479548"/>
                </a:lnTo>
                <a:lnTo>
                  <a:pt x="6214872" y="2479548"/>
                </a:lnTo>
                <a:lnTo>
                  <a:pt x="6214872" y="2276856"/>
                </a:lnTo>
                <a:close/>
              </a:path>
              <a:path w="7275830" h="2894330">
                <a:moveTo>
                  <a:pt x="6214872" y="2069592"/>
                </a:moveTo>
                <a:lnTo>
                  <a:pt x="5157216" y="2069592"/>
                </a:lnTo>
                <a:lnTo>
                  <a:pt x="5157216" y="2272284"/>
                </a:lnTo>
                <a:lnTo>
                  <a:pt x="6214872" y="2272284"/>
                </a:lnTo>
                <a:lnTo>
                  <a:pt x="6214872" y="2069592"/>
                </a:lnTo>
                <a:close/>
              </a:path>
              <a:path w="7275830" h="289433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894330">
                <a:moveTo>
                  <a:pt x="6214872" y="1655064"/>
                </a:moveTo>
                <a:lnTo>
                  <a:pt x="5157216" y="1655064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5064"/>
                </a:lnTo>
                <a:close/>
              </a:path>
              <a:path w="7275830" h="2894330">
                <a:moveTo>
                  <a:pt x="6214872" y="1447800"/>
                </a:moveTo>
                <a:lnTo>
                  <a:pt x="5157216" y="1447800"/>
                </a:lnTo>
                <a:lnTo>
                  <a:pt x="5157216" y="1652016"/>
                </a:lnTo>
                <a:lnTo>
                  <a:pt x="6214872" y="1652016"/>
                </a:lnTo>
                <a:lnTo>
                  <a:pt x="6214872" y="1447800"/>
                </a:lnTo>
                <a:close/>
              </a:path>
              <a:path w="7275830" h="2894330">
                <a:moveTo>
                  <a:pt x="6214872" y="1240536"/>
                </a:moveTo>
                <a:lnTo>
                  <a:pt x="5157216" y="1240536"/>
                </a:lnTo>
                <a:lnTo>
                  <a:pt x="5157216" y="1444752"/>
                </a:lnTo>
                <a:lnTo>
                  <a:pt x="6214872" y="1444752"/>
                </a:lnTo>
                <a:lnTo>
                  <a:pt x="6214872" y="1240536"/>
                </a:lnTo>
                <a:close/>
              </a:path>
              <a:path w="7275830" h="2894330">
                <a:moveTo>
                  <a:pt x="7275576" y="2689860"/>
                </a:moveTo>
                <a:lnTo>
                  <a:pt x="6217920" y="2689860"/>
                </a:lnTo>
                <a:lnTo>
                  <a:pt x="6217920" y="2894076"/>
                </a:lnTo>
                <a:lnTo>
                  <a:pt x="7275576" y="2894076"/>
                </a:lnTo>
                <a:lnTo>
                  <a:pt x="7275576" y="2689860"/>
                </a:lnTo>
                <a:close/>
              </a:path>
              <a:path w="7275830" h="2894330">
                <a:moveTo>
                  <a:pt x="7275576" y="2482596"/>
                </a:moveTo>
                <a:lnTo>
                  <a:pt x="6217920" y="2482596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2596"/>
                </a:lnTo>
                <a:close/>
              </a:path>
              <a:path w="7275830" h="2894330">
                <a:moveTo>
                  <a:pt x="7275576" y="2276856"/>
                </a:moveTo>
                <a:lnTo>
                  <a:pt x="6217920" y="2276856"/>
                </a:lnTo>
                <a:lnTo>
                  <a:pt x="6217920" y="2479548"/>
                </a:lnTo>
                <a:lnTo>
                  <a:pt x="7275576" y="2479548"/>
                </a:lnTo>
                <a:lnTo>
                  <a:pt x="7275576" y="2276856"/>
                </a:lnTo>
                <a:close/>
              </a:path>
              <a:path w="7275830" h="2894330">
                <a:moveTo>
                  <a:pt x="7275576" y="2069592"/>
                </a:moveTo>
                <a:lnTo>
                  <a:pt x="6217920" y="2069592"/>
                </a:lnTo>
                <a:lnTo>
                  <a:pt x="6217920" y="2272284"/>
                </a:lnTo>
                <a:lnTo>
                  <a:pt x="7275576" y="2272284"/>
                </a:lnTo>
                <a:lnTo>
                  <a:pt x="7275576" y="2069592"/>
                </a:lnTo>
                <a:close/>
              </a:path>
              <a:path w="7275830" h="289433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894330">
                <a:moveTo>
                  <a:pt x="7275576" y="1655064"/>
                </a:moveTo>
                <a:lnTo>
                  <a:pt x="6217920" y="1655064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5064"/>
                </a:lnTo>
                <a:close/>
              </a:path>
              <a:path w="7275830" h="2894330">
                <a:moveTo>
                  <a:pt x="7275576" y="1447800"/>
                </a:moveTo>
                <a:lnTo>
                  <a:pt x="6217920" y="1447800"/>
                </a:lnTo>
                <a:lnTo>
                  <a:pt x="6217920" y="1652016"/>
                </a:lnTo>
                <a:lnTo>
                  <a:pt x="7275576" y="1652016"/>
                </a:lnTo>
                <a:lnTo>
                  <a:pt x="7275576" y="1447800"/>
                </a:lnTo>
                <a:close/>
              </a:path>
              <a:path w="7275830" h="2894330">
                <a:moveTo>
                  <a:pt x="7275576" y="1240536"/>
                </a:moveTo>
                <a:lnTo>
                  <a:pt x="6217920" y="1240536"/>
                </a:lnTo>
                <a:lnTo>
                  <a:pt x="6217920" y="1444752"/>
                </a:lnTo>
                <a:lnTo>
                  <a:pt x="7275576" y="1444752"/>
                </a:lnTo>
                <a:lnTo>
                  <a:pt x="7275576" y="124053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27</xdr:row>
      <xdr:rowOff>0</xdr:rowOff>
    </xdr:from>
    <xdr:ext cx="708660" cy="434340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A00-00005B000000}"/>
            </a:ext>
          </a:extLst>
        </xdr:cNvPr>
        <xdr:cNvSpPr/>
      </xdr:nvSpPr>
      <xdr:spPr>
        <a:xfrm>
          <a:off x="0" y="0"/>
          <a:ext cx="708660" cy="4343400"/>
        </a:xfrm>
        <a:custGeom>
          <a:avLst/>
          <a:gdLst/>
          <a:ahLst/>
          <a:cxnLst/>
          <a:rect l="0" t="0" r="0" b="0"/>
          <a:pathLst>
            <a:path w="708660" h="4343400">
              <a:moveTo>
                <a:pt x="708660" y="4139184"/>
              </a:moveTo>
              <a:lnTo>
                <a:pt x="0" y="4139184"/>
              </a:lnTo>
              <a:lnTo>
                <a:pt x="0" y="4343400"/>
              </a:lnTo>
              <a:lnTo>
                <a:pt x="708660" y="4343400"/>
              </a:lnTo>
              <a:lnTo>
                <a:pt x="708660" y="4139184"/>
              </a:lnTo>
              <a:close/>
            </a:path>
            <a:path w="708660" h="4343400">
              <a:moveTo>
                <a:pt x="708660" y="3931920"/>
              </a:moveTo>
              <a:lnTo>
                <a:pt x="0" y="3931920"/>
              </a:lnTo>
              <a:lnTo>
                <a:pt x="0" y="4136136"/>
              </a:lnTo>
              <a:lnTo>
                <a:pt x="708660" y="4136136"/>
              </a:lnTo>
              <a:lnTo>
                <a:pt x="708660" y="3931920"/>
              </a:lnTo>
              <a:close/>
            </a:path>
            <a:path w="708660" h="4343400">
              <a:moveTo>
                <a:pt x="708660" y="3726180"/>
              </a:moveTo>
              <a:lnTo>
                <a:pt x="0" y="3726180"/>
              </a:lnTo>
              <a:lnTo>
                <a:pt x="0" y="3928872"/>
              </a:lnTo>
              <a:lnTo>
                <a:pt x="708660" y="3928872"/>
              </a:lnTo>
              <a:lnTo>
                <a:pt x="708660" y="3726180"/>
              </a:lnTo>
              <a:close/>
            </a:path>
            <a:path w="708660" h="4343400">
              <a:moveTo>
                <a:pt x="708660" y="3518916"/>
              </a:moveTo>
              <a:lnTo>
                <a:pt x="0" y="3518916"/>
              </a:lnTo>
              <a:lnTo>
                <a:pt x="0" y="3721608"/>
              </a:lnTo>
              <a:lnTo>
                <a:pt x="708660" y="3721608"/>
              </a:lnTo>
              <a:lnTo>
                <a:pt x="708660" y="3518916"/>
              </a:lnTo>
              <a:close/>
            </a:path>
            <a:path w="708660" h="4343400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4343400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4343400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434340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434340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434340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434340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434340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434340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434340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434340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434340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434340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434340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434340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434340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434340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24</xdr:row>
      <xdr:rowOff>206501</xdr:rowOff>
    </xdr:from>
    <xdr:ext cx="3179445" cy="37528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B00-00005C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93" name="image1.jpeg">
          <a:extLst>
            <a:ext uri="{FF2B5EF4-FFF2-40B4-BE49-F238E27FC236}">
              <a16:creationId xmlns:a16="http://schemas.microsoft.com/office/drawing/2014/main" id="{00000000-0008-0000-0B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94" name="image2.jpeg">
          <a:extLst>
            <a:ext uri="{FF2B5EF4-FFF2-40B4-BE49-F238E27FC236}">
              <a16:creationId xmlns:a16="http://schemas.microsoft.com/office/drawing/2014/main" id="{00000000-0008-0000-0B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95" name="image3.jpeg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26</xdr:row>
      <xdr:rowOff>0</xdr:rowOff>
    </xdr:from>
    <xdr:ext cx="7275830" cy="4343400"/>
    <xdr:grpSp>
      <xdr:nvGrpSpPr>
        <xdr:cNvPr id="96" name="Group 96">
          <a:extLst>
            <a:ext uri="{FF2B5EF4-FFF2-40B4-BE49-F238E27FC236}">
              <a16:creationId xmlns:a16="http://schemas.microsoft.com/office/drawing/2014/main" id="{00000000-0008-0000-0B00-000060000000}"/>
            </a:ext>
          </a:extLst>
        </xdr:cNvPr>
        <xdr:cNvGrpSpPr/>
      </xdr:nvGrpSpPr>
      <xdr:grpSpPr>
        <a:xfrm>
          <a:off x="617854" y="6263640"/>
          <a:ext cx="7275830" cy="4343400"/>
          <a:chOff x="0" y="0"/>
          <a:chExt cx="7275830" cy="4343400"/>
        </a:xfrm>
      </xdr:grpSpPr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B00-000061000000}"/>
              </a:ext>
            </a:extLst>
          </xdr:cNvPr>
          <xdr:cNvSpPr/>
        </xdr:nvSpPr>
        <xdr:spPr>
          <a:xfrm>
            <a:off x="0" y="0"/>
            <a:ext cx="7275830" cy="2687320"/>
          </a:xfrm>
          <a:custGeom>
            <a:avLst/>
            <a:gdLst/>
            <a:ahLst/>
            <a:cxnLst/>
            <a:rect l="0" t="0" r="0" b="0"/>
            <a:pathLst>
              <a:path w="7275830" h="2687320">
                <a:moveTo>
                  <a:pt x="347472" y="620268"/>
                </a:moveTo>
                <a:lnTo>
                  <a:pt x="0" y="620268"/>
                </a:lnTo>
                <a:lnTo>
                  <a:pt x="0" y="1653540"/>
                </a:lnTo>
                <a:lnTo>
                  <a:pt x="347472" y="1653540"/>
                </a:lnTo>
                <a:lnTo>
                  <a:pt x="347472" y="620268"/>
                </a:lnTo>
                <a:close/>
              </a:path>
              <a:path w="7275830" h="2687320">
                <a:moveTo>
                  <a:pt x="347472" y="0"/>
                </a:moveTo>
                <a:lnTo>
                  <a:pt x="0" y="0"/>
                </a:lnTo>
                <a:lnTo>
                  <a:pt x="0" y="617220"/>
                </a:lnTo>
                <a:lnTo>
                  <a:pt x="347472" y="617220"/>
                </a:lnTo>
                <a:lnTo>
                  <a:pt x="347472" y="0"/>
                </a:lnTo>
                <a:close/>
              </a:path>
              <a:path w="7275830" h="2687320">
                <a:moveTo>
                  <a:pt x="1408176" y="620268"/>
                </a:moveTo>
                <a:lnTo>
                  <a:pt x="350520" y="620268"/>
                </a:lnTo>
                <a:lnTo>
                  <a:pt x="350520" y="1653540"/>
                </a:lnTo>
                <a:lnTo>
                  <a:pt x="1408176" y="1653540"/>
                </a:lnTo>
                <a:lnTo>
                  <a:pt x="1408176" y="620268"/>
                </a:lnTo>
                <a:close/>
              </a:path>
              <a:path w="7275830" h="2687320">
                <a:moveTo>
                  <a:pt x="1408176" y="0"/>
                </a:moveTo>
                <a:lnTo>
                  <a:pt x="350520" y="0"/>
                </a:lnTo>
                <a:lnTo>
                  <a:pt x="350520" y="617220"/>
                </a:lnTo>
                <a:lnTo>
                  <a:pt x="1408176" y="617220"/>
                </a:lnTo>
                <a:lnTo>
                  <a:pt x="1408176" y="0"/>
                </a:lnTo>
                <a:close/>
              </a:path>
              <a:path w="7275830" h="2687320">
                <a:moveTo>
                  <a:pt x="2819400" y="620268"/>
                </a:moveTo>
                <a:lnTo>
                  <a:pt x="1411224" y="620268"/>
                </a:lnTo>
                <a:lnTo>
                  <a:pt x="1411224" y="1653540"/>
                </a:lnTo>
                <a:lnTo>
                  <a:pt x="2819400" y="1653540"/>
                </a:lnTo>
                <a:lnTo>
                  <a:pt x="2819400" y="620268"/>
                </a:lnTo>
                <a:close/>
              </a:path>
              <a:path w="7275830" h="2687320">
                <a:moveTo>
                  <a:pt x="2819400" y="0"/>
                </a:moveTo>
                <a:lnTo>
                  <a:pt x="1411224" y="0"/>
                </a:lnTo>
                <a:lnTo>
                  <a:pt x="1411224" y="617220"/>
                </a:lnTo>
                <a:lnTo>
                  <a:pt x="2819400" y="617220"/>
                </a:lnTo>
                <a:lnTo>
                  <a:pt x="2819400" y="0"/>
                </a:lnTo>
                <a:close/>
              </a:path>
              <a:path w="7275830" h="268732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68732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68732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68732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68732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68732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68732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68732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68732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68732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68732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68732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68732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687320">
                <a:moveTo>
                  <a:pt x="4093464" y="2484120"/>
                </a:moveTo>
                <a:lnTo>
                  <a:pt x="3384804" y="2484120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4120"/>
                </a:lnTo>
                <a:close/>
              </a:path>
              <a:path w="7275830" h="268732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68732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68732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68732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68732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68732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68732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68732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68732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68732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68732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68732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687320">
                <a:moveTo>
                  <a:pt x="5154168" y="2484120"/>
                </a:moveTo>
                <a:lnTo>
                  <a:pt x="4096512" y="2484120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4120"/>
                </a:lnTo>
                <a:close/>
              </a:path>
              <a:path w="7275830" h="268732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68732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68732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68732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68732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68732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68732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68732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68732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68732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68732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68732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687320">
                <a:moveTo>
                  <a:pt x="6214872" y="2484120"/>
                </a:moveTo>
                <a:lnTo>
                  <a:pt x="5157216" y="2484120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4120"/>
                </a:lnTo>
                <a:close/>
              </a:path>
              <a:path w="7275830" h="268732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68732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68732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68732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68732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68732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68732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68732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68732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68732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68732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68732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687320">
                <a:moveTo>
                  <a:pt x="7275576" y="2484120"/>
                </a:moveTo>
                <a:lnTo>
                  <a:pt x="6217920" y="2484120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4120"/>
                </a:lnTo>
                <a:close/>
              </a:path>
              <a:path w="7275830" h="268732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68732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68732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68732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68732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68732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68732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68732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68732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68732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68732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68732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B00-000062000000}"/>
              </a:ext>
            </a:extLst>
          </xdr:cNvPr>
          <xdr:cNvSpPr/>
        </xdr:nvSpPr>
        <xdr:spPr>
          <a:xfrm>
            <a:off x="0" y="1656587"/>
            <a:ext cx="7275830" cy="2687320"/>
          </a:xfrm>
          <a:custGeom>
            <a:avLst/>
            <a:gdLst/>
            <a:ahLst/>
            <a:cxnLst/>
            <a:rect l="0" t="0" r="0" b="0"/>
            <a:pathLst>
              <a:path w="7275830" h="2687320">
                <a:moveTo>
                  <a:pt x="347472" y="0"/>
                </a:moveTo>
                <a:lnTo>
                  <a:pt x="0" y="0"/>
                </a:lnTo>
                <a:lnTo>
                  <a:pt x="0" y="1444752"/>
                </a:lnTo>
                <a:lnTo>
                  <a:pt x="347472" y="1444752"/>
                </a:lnTo>
                <a:lnTo>
                  <a:pt x="347472" y="0"/>
                </a:lnTo>
                <a:close/>
              </a:path>
              <a:path w="7275830" h="2687320">
                <a:moveTo>
                  <a:pt x="1408176" y="0"/>
                </a:moveTo>
                <a:lnTo>
                  <a:pt x="350520" y="0"/>
                </a:lnTo>
                <a:lnTo>
                  <a:pt x="350520" y="1444752"/>
                </a:lnTo>
                <a:lnTo>
                  <a:pt x="1408176" y="1444752"/>
                </a:lnTo>
                <a:lnTo>
                  <a:pt x="1408176" y="0"/>
                </a:lnTo>
                <a:close/>
              </a:path>
              <a:path w="7275830" h="2687320">
                <a:moveTo>
                  <a:pt x="2819400" y="1447800"/>
                </a:moveTo>
                <a:lnTo>
                  <a:pt x="1411224" y="1447800"/>
                </a:lnTo>
                <a:lnTo>
                  <a:pt x="1411224" y="2686812"/>
                </a:lnTo>
                <a:lnTo>
                  <a:pt x="2819400" y="2686812"/>
                </a:lnTo>
                <a:lnTo>
                  <a:pt x="2819400" y="1447800"/>
                </a:lnTo>
                <a:close/>
              </a:path>
              <a:path w="7275830" h="2687320">
                <a:moveTo>
                  <a:pt x="2819400" y="0"/>
                </a:moveTo>
                <a:lnTo>
                  <a:pt x="1411224" y="0"/>
                </a:lnTo>
                <a:lnTo>
                  <a:pt x="1411224" y="1444752"/>
                </a:lnTo>
                <a:lnTo>
                  <a:pt x="2819400" y="1444752"/>
                </a:lnTo>
                <a:lnTo>
                  <a:pt x="2819400" y="0"/>
                </a:lnTo>
                <a:close/>
              </a:path>
              <a:path w="7275830" h="2687320">
                <a:moveTo>
                  <a:pt x="3381756" y="2482596"/>
                </a:moveTo>
                <a:lnTo>
                  <a:pt x="2822448" y="2482596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2596"/>
                </a:lnTo>
                <a:close/>
              </a:path>
              <a:path w="7275830" h="2687320">
                <a:moveTo>
                  <a:pt x="3381756" y="2275332"/>
                </a:moveTo>
                <a:lnTo>
                  <a:pt x="2822448" y="2275332"/>
                </a:lnTo>
                <a:lnTo>
                  <a:pt x="2822448" y="2479548"/>
                </a:lnTo>
                <a:lnTo>
                  <a:pt x="3381756" y="2479548"/>
                </a:lnTo>
                <a:lnTo>
                  <a:pt x="3381756" y="2275332"/>
                </a:lnTo>
                <a:close/>
              </a:path>
              <a:path w="7275830" h="2687320">
                <a:moveTo>
                  <a:pt x="3381756" y="2069592"/>
                </a:moveTo>
                <a:lnTo>
                  <a:pt x="2822448" y="2069592"/>
                </a:lnTo>
                <a:lnTo>
                  <a:pt x="2822448" y="2272284"/>
                </a:lnTo>
                <a:lnTo>
                  <a:pt x="3381756" y="2272284"/>
                </a:lnTo>
                <a:lnTo>
                  <a:pt x="3381756" y="2069592"/>
                </a:lnTo>
                <a:close/>
              </a:path>
              <a:path w="7275830" h="2687320">
                <a:moveTo>
                  <a:pt x="3381756" y="1862328"/>
                </a:moveTo>
                <a:lnTo>
                  <a:pt x="2822448" y="1862328"/>
                </a:lnTo>
                <a:lnTo>
                  <a:pt x="2822448" y="2065020"/>
                </a:lnTo>
                <a:lnTo>
                  <a:pt x="3381756" y="2065020"/>
                </a:lnTo>
                <a:lnTo>
                  <a:pt x="3381756" y="1862328"/>
                </a:lnTo>
                <a:close/>
              </a:path>
              <a:path w="7275830" h="2687320">
                <a:moveTo>
                  <a:pt x="3381756" y="1655064"/>
                </a:moveTo>
                <a:lnTo>
                  <a:pt x="2822448" y="1655064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5064"/>
                </a:lnTo>
                <a:close/>
              </a:path>
              <a:path w="7275830" h="2687320">
                <a:moveTo>
                  <a:pt x="3381756" y="1447800"/>
                </a:moveTo>
                <a:lnTo>
                  <a:pt x="2822448" y="1447800"/>
                </a:lnTo>
                <a:lnTo>
                  <a:pt x="2822448" y="1652016"/>
                </a:lnTo>
                <a:lnTo>
                  <a:pt x="3381756" y="1652016"/>
                </a:lnTo>
                <a:lnTo>
                  <a:pt x="3381756" y="1447800"/>
                </a:lnTo>
                <a:close/>
              </a:path>
              <a:path w="7275830" h="2687320">
                <a:moveTo>
                  <a:pt x="3381756" y="1240536"/>
                </a:moveTo>
                <a:lnTo>
                  <a:pt x="2822448" y="1240536"/>
                </a:lnTo>
                <a:lnTo>
                  <a:pt x="2822448" y="1444752"/>
                </a:lnTo>
                <a:lnTo>
                  <a:pt x="3381756" y="1444752"/>
                </a:lnTo>
                <a:lnTo>
                  <a:pt x="3381756" y="1240536"/>
                </a:lnTo>
                <a:close/>
              </a:path>
              <a:path w="7275830" h="2687320">
                <a:moveTo>
                  <a:pt x="3381756" y="1033272"/>
                </a:moveTo>
                <a:lnTo>
                  <a:pt x="2822448" y="1033272"/>
                </a:lnTo>
                <a:lnTo>
                  <a:pt x="2822448" y="1237488"/>
                </a:lnTo>
                <a:lnTo>
                  <a:pt x="3381756" y="1237488"/>
                </a:lnTo>
                <a:lnTo>
                  <a:pt x="3381756" y="1033272"/>
                </a:lnTo>
                <a:close/>
              </a:path>
              <a:path w="7275830" h="2687320">
                <a:moveTo>
                  <a:pt x="4093464" y="2482596"/>
                </a:moveTo>
                <a:lnTo>
                  <a:pt x="3384804" y="2482596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2596"/>
                </a:lnTo>
                <a:close/>
              </a:path>
              <a:path w="7275830" h="2687320">
                <a:moveTo>
                  <a:pt x="4093464" y="2275332"/>
                </a:moveTo>
                <a:lnTo>
                  <a:pt x="3384804" y="2275332"/>
                </a:lnTo>
                <a:lnTo>
                  <a:pt x="3384804" y="2479548"/>
                </a:lnTo>
                <a:lnTo>
                  <a:pt x="4093464" y="2479548"/>
                </a:lnTo>
                <a:lnTo>
                  <a:pt x="4093464" y="2275332"/>
                </a:lnTo>
                <a:close/>
              </a:path>
              <a:path w="7275830" h="2687320">
                <a:moveTo>
                  <a:pt x="4093464" y="2069592"/>
                </a:moveTo>
                <a:lnTo>
                  <a:pt x="3384804" y="2069592"/>
                </a:lnTo>
                <a:lnTo>
                  <a:pt x="3384804" y="2272284"/>
                </a:lnTo>
                <a:lnTo>
                  <a:pt x="4093464" y="2272284"/>
                </a:lnTo>
                <a:lnTo>
                  <a:pt x="4093464" y="2069592"/>
                </a:lnTo>
                <a:close/>
              </a:path>
              <a:path w="7275830" h="2687320">
                <a:moveTo>
                  <a:pt x="4093464" y="1862328"/>
                </a:moveTo>
                <a:lnTo>
                  <a:pt x="3384804" y="1862328"/>
                </a:lnTo>
                <a:lnTo>
                  <a:pt x="3384804" y="2065020"/>
                </a:lnTo>
                <a:lnTo>
                  <a:pt x="4093464" y="2065020"/>
                </a:lnTo>
                <a:lnTo>
                  <a:pt x="4093464" y="1862328"/>
                </a:lnTo>
                <a:close/>
              </a:path>
              <a:path w="7275830" h="2687320">
                <a:moveTo>
                  <a:pt x="4093464" y="1655064"/>
                </a:moveTo>
                <a:lnTo>
                  <a:pt x="3384804" y="1655064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5064"/>
                </a:lnTo>
                <a:close/>
              </a:path>
              <a:path w="7275830" h="2687320">
                <a:moveTo>
                  <a:pt x="4093464" y="1447800"/>
                </a:moveTo>
                <a:lnTo>
                  <a:pt x="3384804" y="1447800"/>
                </a:lnTo>
                <a:lnTo>
                  <a:pt x="3384804" y="1652016"/>
                </a:lnTo>
                <a:lnTo>
                  <a:pt x="4093464" y="1652016"/>
                </a:lnTo>
                <a:lnTo>
                  <a:pt x="4093464" y="1447800"/>
                </a:lnTo>
                <a:close/>
              </a:path>
              <a:path w="7275830" h="2687320">
                <a:moveTo>
                  <a:pt x="4093464" y="1240536"/>
                </a:moveTo>
                <a:lnTo>
                  <a:pt x="3384804" y="1240536"/>
                </a:lnTo>
                <a:lnTo>
                  <a:pt x="3384804" y="1444752"/>
                </a:lnTo>
                <a:lnTo>
                  <a:pt x="4093464" y="1444752"/>
                </a:lnTo>
                <a:lnTo>
                  <a:pt x="4093464" y="1240536"/>
                </a:lnTo>
                <a:close/>
              </a:path>
              <a:path w="7275830" h="2687320">
                <a:moveTo>
                  <a:pt x="4093464" y="1033272"/>
                </a:moveTo>
                <a:lnTo>
                  <a:pt x="3384804" y="1033272"/>
                </a:lnTo>
                <a:lnTo>
                  <a:pt x="3384804" y="1237488"/>
                </a:lnTo>
                <a:lnTo>
                  <a:pt x="4093464" y="1237488"/>
                </a:lnTo>
                <a:lnTo>
                  <a:pt x="4093464" y="1033272"/>
                </a:lnTo>
                <a:close/>
              </a:path>
              <a:path w="7275830" h="2687320">
                <a:moveTo>
                  <a:pt x="5154168" y="2482596"/>
                </a:moveTo>
                <a:lnTo>
                  <a:pt x="4096512" y="2482596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2596"/>
                </a:lnTo>
                <a:close/>
              </a:path>
              <a:path w="7275830" h="2687320">
                <a:moveTo>
                  <a:pt x="5154168" y="2275332"/>
                </a:moveTo>
                <a:lnTo>
                  <a:pt x="4096512" y="2275332"/>
                </a:lnTo>
                <a:lnTo>
                  <a:pt x="4096512" y="2479548"/>
                </a:lnTo>
                <a:lnTo>
                  <a:pt x="5154168" y="2479548"/>
                </a:lnTo>
                <a:lnTo>
                  <a:pt x="5154168" y="2275332"/>
                </a:lnTo>
                <a:close/>
              </a:path>
              <a:path w="7275830" h="2687320">
                <a:moveTo>
                  <a:pt x="5154168" y="2069592"/>
                </a:moveTo>
                <a:lnTo>
                  <a:pt x="4096512" y="2069592"/>
                </a:lnTo>
                <a:lnTo>
                  <a:pt x="4096512" y="2272284"/>
                </a:lnTo>
                <a:lnTo>
                  <a:pt x="5154168" y="2272284"/>
                </a:lnTo>
                <a:lnTo>
                  <a:pt x="5154168" y="2069592"/>
                </a:lnTo>
                <a:close/>
              </a:path>
              <a:path w="7275830" h="2687320">
                <a:moveTo>
                  <a:pt x="5154168" y="1862328"/>
                </a:moveTo>
                <a:lnTo>
                  <a:pt x="4096512" y="1862328"/>
                </a:lnTo>
                <a:lnTo>
                  <a:pt x="4096512" y="2065020"/>
                </a:lnTo>
                <a:lnTo>
                  <a:pt x="5154168" y="2065020"/>
                </a:lnTo>
                <a:lnTo>
                  <a:pt x="5154168" y="1862328"/>
                </a:lnTo>
                <a:close/>
              </a:path>
              <a:path w="7275830" h="2687320">
                <a:moveTo>
                  <a:pt x="5154168" y="1655064"/>
                </a:moveTo>
                <a:lnTo>
                  <a:pt x="4096512" y="1655064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5064"/>
                </a:lnTo>
                <a:close/>
              </a:path>
              <a:path w="7275830" h="2687320">
                <a:moveTo>
                  <a:pt x="5154168" y="1447800"/>
                </a:moveTo>
                <a:lnTo>
                  <a:pt x="4096512" y="1447800"/>
                </a:lnTo>
                <a:lnTo>
                  <a:pt x="4096512" y="1652016"/>
                </a:lnTo>
                <a:lnTo>
                  <a:pt x="5154168" y="1652016"/>
                </a:lnTo>
                <a:lnTo>
                  <a:pt x="5154168" y="1447800"/>
                </a:lnTo>
                <a:close/>
              </a:path>
              <a:path w="7275830" h="2687320">
                <a:moveTo>
                  <a:pt x="5154168" y="1240536"/>
                </a:moveTo>
                <a:lnTo>
                  <a:pt x="4096512" y="1240536"/>
                </a:lnTo>
                <a:lnTo>
                  <a:pt x="4096512" y="1444752"/>
                </a:lnTo>
                <a:lnTo>
                  <a:pt x="5154168" y="1444752"/>
                </a:lnTo>
                <a:lnTo>
                  <a:pt x="5154168" y="1240536"/>
                </a:lnTo>
                <a:close/>
              </a:path>
              <a:path w="7275830" h="2687320">
                <a:moveTo>
                  <a:pt x="5154168" y="1033272"/>
                </a:moveTo>
                <a:lnTo>
                  <a:pt x="4096512" y="1033272"/>
                </a:lnTo>
                <a:lnTo>
                  <a:pt x="4096512" y="1237488"/>
                </a:lnTo>
                <a:lnTo>
                  <a:pt x="5154168" y="1237488"/>
                </a:lnTo>
                <a:lnTo>
                  <a:pt x="5154168" y="1033272"/>
                </a:lnTo>
                <a:close/>
              </a:path>
              <a:path w="7275830" h="2687320">
                <a:moveTo>
                  <a:pt x="6214872" y="2482596"/>
                </a:moveTo>
                <a:lnTo>
                  <a:pt x="5157216" y="2482596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2596"/>
                </a:lnTo>
                <a:close/>
              </a:path>
              <a:path w="7275830" h="2687320">
                <a:moveTo>
                  <a:pt x="6214872" y="2275332"/>
                </a:moveTo>
                <a:lnTo>
                  <a:pt x="5157216" y="2275332"/>
                </a:lnTo>
                <a:lnTo>
                  <a:pt x="5157216" y="2479548"/>
                </a:lnTo>
                <a:lnTo>
                  <a:pt x="6214872" y="2479548"/>
                </a:lnTo>
                <a:lnTo>
                  <a:pt x="6214872" y="2275332"/>
                </a:lnTo>
                <a:close/>
              </a:path>
              <a:path w="7275830" h="2687320">
                <a:moveTo>
                  <a:pt x="6214872" y="2069592"/>
                </a:moveTo>
                <a:lnTo>
                  <a:pt x="5157216" y="2069592"/>
                </a:lnTo>
                <a:lnTo>
                  <a:pt x="5157216" y="2272284"/>
                </a:lnTo>
                <a:lnTo>
                  <a:pt x="6214872" y="2272284"/>
                </a:lnTo>
                <a:lnTo>
                  <a:pt x="6214872" y="2069592"/>
                </a:lnTo>
                <a:close/>
              </a:path>
              <a:path w="7275830" h="2687320">
                <a:moveTo>
                  <a:pt x="6214872" y="1862328"/>
                </a:moveTo>
                <a:lnTo>
                  <a:pt x="5157216" y="1862328"/>
                </a:lnTo>
                <a:lnTo>
                  <a:pt x="5157216" y="2065020"/>
                </a:lnTo>
                <a:lnTo>
                  <a:pt x="6214872" y="2065020"/>
                </a:lnTo>
                <a:lnTo>
                  <a:pt x="6214872" y="1862328"/>
                </a:lnTo>
                <a:close/>
              </a:path>
              <a:path w="7275830" h="2687320">
                <a:moveTo>
                  <a:pt x="6214872" y="1655064"/>
                </a:moveTo>
                <a:lnTo>
                  <a:pt x="5157216" y="1655064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5064"/>
                </a:lnTo>
                <a:close/>
              </a:path>
              <a:path w="7275830" h="2687320">
                <a:moveTo>
                  <a:pt x="6214872" y="1447800"/>
                </a:moveTo>
                <a:lnTo>
                  <a:pt x="5157216" y="1447800"/>
                </a:lnTo>
                <a:lnTo>
                  <a:pt x="5157216" y="1652016"/>
                </a:lnTo>
                <a:lnTo>
                  <a:pt x="6214872" y="1652016"/>
                </a:lnTo>
                <a:lnTo>
                  <a:pt x="6214872" y="1447800"/>
                </a:lnTo>
                <a:close/>
              </a:path>
              <a:path w="7275830" h="2687320">
                <a:moveTo>
                  <a:pt x="6214872" y="1240536"/>
                </a:moveTo>
                <a:lnTo>
                  <a:pt x="5157216" y="1240536"/>
                </a:lnTo>
                <a:lnTo>
                  <a:pt x="5157216" y="1444752"/>
                </a:lnTo>
                <a:lnTo>
                  <a:pt x="6214872" y="1444752"/>
                </a:lnTo>
                <a:lnTo>
                  <a:pt x="6214872" y="1240536"/>
                </a:lnTo>
                <a:close/>
              </a:path>
              <a:path w="7275830" h="2687320">
                <a:moveTo>
                  <a:pt x="6214872" y="1033272"/>
                </a:moveTo>
                <a:lnTo>
                  <a:pt x="5157216" y="1033272"/>
                </a:lnTo>
                <a:lnTo>
                  <a:pt x="5157216" y="1237488"/>
                </a:lnTo>
                <a:lnTo>
                  <a:pt x="6214872" y="1237488"/>
                </a:lnTo>
                <a:lnTo>
                  <a:pt x="6214872" y="1033272"/>
                </a:lnTo>
                <a:close/>
              </a:path>
              <a:path w="7275830" h="2687320">
                <a:moveTo>
                  <a:pt x="7275576" y="2482596"/>
                </a:moveTo>
                <a:lnTo>
                  <a:pt x="6217920" y="2482596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2596"/>
                </a:lnTo>
                <a:close/>
              </a:path>
              <a:path w="7275830" h="2687320">
                <a:moveTo>
                  <a:pt x="7275576" y="2275332"/>
                </a:moveTo>
                <a:lnTo>
                  <a:pt x="6217920" y="2275332"/>
                </a:lnTo>
                <a:lnTo>
                  <a:pt x="6217920" y="2479548"/>
                </a:lnTo>
                <a:lnTo>
                  <a:pt x="7275576" y="2479548"/>
                </a:lnTo>
                <a:lnTo>
                  <a:pt x="7275576" y="2275332"/>
                </a:lnTo>
                <a:close/>
              </a:path>
              <a:path w="7275830" h="2687320">
                <a:moveTo>
                  <a:pt x="7275576" y="2069592"/>
                </a:moveTo>
                <a:lnTo>
                  <a:pt x="6217920" y="2069592"/>
                </a:lnTo>
                <a:lnTo>
                  <a:pt x="6217920" y="2272284"/>
                </a:lnTo>
                <a:lnTo>
                  <a:pt x="7275576" y="2272284"/>
                </a:lnTo>
                <a:lnTo>
                  <a:pt x="7275576" y="2069592"/>
                </a:lnTo>
                <a:close/>
              </a:path>
              <a:path w="7275830" h="2687320">
                <a:moveTo>
                  <a:pt x="7275576" y="1862328"/>
                </a:moveTo>
                <a:lnTo>
                  <a:pt x="6217920" y="1862328"/>
                </a:lnTo>
                <a:lnTo>
                  <a:pt x="6217920" y="2065020"/>
                </a:lnTo>
                <a:lnTo>
                  <a:pt x="7275576" y="2065020"/>
                </a:lnTo>
                <a:lnTo>
                  <a:pt x="7275576" y="1862328"/>
                </a:lnTo>
                <a:close/>
              </a:path>
              <a:path w="7275830" h="2687320">
                <a:moveTo>
                  <a:pt x="7275576" y="1655064"/>
                </a:moveTo>
                <a:lnTo>
                  <a:pt x="6217920" y="1655064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5064"/>
                </a:lnTo>
                <a:close/>
              </a:path>
              <a:path w="7275830" h="2687320">
                <a:moveTo>
                  <a:pt x="7275576" y="1447800"/>
                </a:moveTo>
                <a:lnTo>
                  <a:pt x="6217920" y="1447800"/>
                </a:lnTo>
                <a:lnTo>
                  <a:pt x="6217920" y="1652016"/>
                </a:lnTo>
                <a:lnTo>
                  <a:pt x="7275576" y="1652016"/>
                </a:lnTo>
                <a:lnTo>
                  <a:pt x="7275576" y="1447800"/>
                </a:lnTo>
                <a:close/>
              </a:path>
              <a:path w="7275830" h="2687320">
                <a:moveTo>
                  <a:pt x="7275576" y="1240536"/>
                </a:moveTo>
                <a:lnTo>
                  <a:pt x="6217920" y="1240536"/>
                </a:lnTo>
                <a:lnTo>
                  <a:pt x="6217920" y="1444752"/>
                </a:lnTo>
                <a:lnTo>
                  <a:pt x="7275576" y="1444752"/>
                </a:lnTo>
                <a:lnTo>
                  <a:pt x="7275576" y="1240536"/>
                </a:lnTo>
                <a:close/>
              </a:path>
              <a:path w="7275830" h="2687320">
                <a:moveTo>
                  <a:pt x="7275576" y="1033272"/>
                </a:moveTo>
                <a:lnTo>
                  <a:pt x="6217920" y="1033272"/>
                </a:lnTo>
                <a:lnTo>
                  <a:pt x="6217920" y="1237488"/>
                </a:lnTo>
                <a:lnTo>
                  <a:pt x="7275576" y="1237488"/>
                </a:lnTo>
                <a:lnTo>
                  <a:pt x="7275576" y="1033272"/>
                </a:lnTo>
                <a:close/>
              </a:path>
              <a:path w="7275830" h="2687320">
                <a:moveTo>
                  <a:pt x="7275576" y="827532"/>
                </a:moveTo>
                <a:lnTo>
                  <a:pt x="6217920" y="827532"/>
                </a:lnTo>
                <a:lnTo>
                  <a:pt x="6217920" y="1030224"/>
                </a:lnTo>
                <a:lnTo>
                  <a:pt x="7275576" y="1030224"/>
                </a:lnTo>
                <a:lnTo>
                  <a:pt x="7275576" y="82753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539496</xdr:colOff>
      <xdr:row>27</xdr:row>
      <xdr:rowOff>0</xdr:rowOff>
    </xdr:from>
    <xdr:ext cx="708660" cy="434340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B00-000063000000}"/>
            </a:ext>
          </a:extLst>
        </xdr:cNvPr>
        <xdr:cNvSpPr/>
      </xdr:nvSpPr>
      <xdr:spPr>
        <a:xfrm>
          <a:off x="0" y="0"/>
          <a:ext cx="708660" cy="4343400"/>
        </a:xfrm>
        <a:custGeom>
          <a:avLst/>
          <a:gdLst/>
          <a:ahLst/>
          <a:cxnLst/>
          <a:rect l="0" t="0" r="0" b="0"/>
          <a:pathLst>
            <a:path w="708660" h="4343400">
              <a:moveTo>
                <a:pt x="708660" y="4139184"/>
              </a:moveTo>
              <a:lnTo>
                <a:pt x="0" y="4139184"/>
              </a:lnTo>
              <a:lnTo>
                <a:pt x="0" y="4343400"/>
              </a:lnTo>
              <a:lnTo>
                <a:pt x="708660" y="4343400"/>
              </a:lnTo>
              <a:lnTo>
                <a:pt x="708660" y="4139184"/>
              </a:lnTo>
              <a:close/>
            </a:path>
            <a:path w="708660" h="4343400">
              <a:moveTo>
                <a:pt x="708660" y="3931920"/>
              </a:moveTo>
              <a:lnTo>
                <a:pt x="0" y="3931920"/>
              </a:lnTo>
              <a:lnTo>
                <a:pt x="0" y="4136136"/>
              </a:lnTo>
              <a:lnTo>
                <a:pt x="708660" y="4136136"/>
              </a:lnTo>
              <a:lnTo>
                <a:pt x="708660" y="3931920"/>
              </a:lnTo>
              <a:close/>
            </a:path>
            <a:path w="708660" h="4343400">
              <a:moveTo>
                <a:pt x="708660" y="3726180"/>
              </a:moveTo>
              <a:lnTo>
                <a:pt x="0" y="3726180"/>
              </a:lnTo>
              <a:lnTo>
                <a:pt x="0" y="3928872"/>
              </a:lnTo>
              <a:lnTo>
                <a:pt x="708660" y="3928872"/>
              </a:lnTo>
              <a:lnTo>
                <a:pt x="708660" y="3726180"/>
              </a:lnTo>
              <a:close/>
            </a:path>
            <a:path w="708660" h="4343400">
              <a:moveTo>
                <a:pt x="708660" y="3518916"/>
              </a:moveTo>
              <a:lnTo>
                <a:pt x="0" y="3518916"/>
              </a:lnTo>
              <a:lnTo>
                <a:pt x="0" y="3721608"/>
              </a:lnTo>
              <a:lnTo>
                <a:pt x="708660" y="3721608"/>
              </a:lnTo>
              <a:lnTo>
                <a:pt x="708660" y="3518916"/>
              </a:lnTo>
              <a:close/>
            </a:path>
            <a:path w="708660" h="4343400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4343400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4343400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434340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434340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434340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434340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434340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434340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434340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434340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434340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434340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434340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434340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434340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434340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14</xdr:row>
      <xdr:rowOff>206501</xdr:rowOff>
    </xdr:from>
    <xdr:ext cx="3179445" cy="37528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101" name="image1.jpeg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102" name="image2.jpeg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103" name="image3.jpeg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191135</xdr:colOff>
      <xdr:row>16</xdr:row>
      <xdr:rowOff>0</xdr:rowOff>
    </xdr:from>
    <xdr:ext cx="7275830" cy="227393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/>
      </xdr:nvSpPr>
      <xdr:spPr>
        <a:xfrm>
          <a:off x="0" y="0"/>
          <a:ext cx="7275830" cy="2273935"/>
        </a:xfrm>
        <a:custGeom>
          <a:avLst/>
          <a:gdLst/>
          <a:ahLst/>
          <a:cxnLst/>
          <a:rect l="0" t="0" r="0" b="0"/>
          <a:pathLst>
            <a:path w="7275830" h="2273935">
              <a:moveTo>
                <a:pt x="347472" y="1862328"/>
              </a:moveTo>
              <a:lnTo>
                <a:pt x="0" y="1862328"/>
              </a:lnTo>
              <a:lnTo>
                <a:pt x="0" y="2273808"/>
              </a:lnTo>
              <a:lnTo>
                <a:pt x="347472" y="2273808"/>
              </a:lnTo>
              <a:lnTo>
                <a:pt x="347472" y="1862328"/>
              </a:lnTo>
              <a:close/>
            </a:path>
            <a:path w="7275830" h="2273935">
              <a:moveTo>
                <a:pt x="347472" y="620268"/>
              </a:moveTo>
              <a:lnTo>
                <a:pt x="0" y="620268"/>
              </a:lnTo>
              <a:lnTo>
                <a:pt x="0" y="1859280"/>
              </a:lnTo>
              <a:lnTo>
                <a:pt x="347472" y="1859280"/>
              </a:lnTo>
              <a:lnTo>
                <a:pt x="347472" y="620268"/>
              </a:lnTo>
              <a:close/>
            </a:path>
            <a:path w="7275830" h="2273935">
              <a:moveTo>
                <a:pt x="347472" y="0"/>
              </a:moveTo>
              <a:lnTo>
                <a:pt x="0" y="0"/>
              </a:lnTo>
              <a:lnTo>
                <a:pt x="0" y="617220"/>
              </a:lnTo>
              <a:lnTo>
                <a:pt x="347472" y="617220"/>
              </a:lnTo>
              <a:lnTo>
                <a:pt x="347472" y="0"/>
              </a:lnTo>
              <a:close/>
            </a:path>
            <a:path w="7275830" h="2273935">
              <a:moveTo>
                <a:pt x="1408176" y="1862328"/>
              </a:moveTo>
              <a:lnTo>
                <a:pt x="350520" y="1862328"/>
              </a:lnTo>
              <a:lnTo>
                <a:pt x="350520" y="2273808"/>
              </a:lnTo>
              <a:lnTo>
                <a:pt x="1408176" y="2273808"/>
              </a:lnTo>
              <a:lnTo>
                <a:pt x="1408176" y="1862328"/>
              </a:lnTo>
              <a:close/>
            </a:path>
            <a:path w="7275830" h="2273935">
              <a:moveTo>
                <a:pt x="1408176" y="620268"/>
              </a:moveTo>
              <a:lnTo>
                <a:pt x="350520" y="620268"/>
              </a:lnTo>
              <a:lnTo>
                <a:pt x="350520" y="1859280"/>
              </a:lnTo>
              <a:lnTo>
                <a:pt x="1408176" y="1859280"/>
              </a:lnTo>
              <a:lnTo>
                <a:pt x="1408176" y="620268"/>
              </a:lnTo>
              <a:close/>
            </a:path>
            <a:path w="7275830" h="2273935">
              <a:moveTo>
                <a:pt x="1408176" y="0"/>
              </a:moveTo>
              <a:lnTo>
                <a:pt x="350520" y="0"/>
              </a:lnTo>
              <a:lnTo>
                <a:pt x="350520" y="617220"/>
              </a:lnTo>
              <a:lnTo>
                <a:pt x="1408176" y="617220"/>
              </a:lnTo>
              <a:lnTo>
                <a:pt x="1408176" y="0"/>
              </a:lnTo>
              <a:close/>
            </a:path>
            <a:path w="7275830" h="2273935">
              <a:moveTo>
                <a:pt x="2819400" y="1862328"/>
              </a:moveTo>
              <a:lnTo>
                <a:pt x="1411224" y="1862328"/>
              </a:lnTo>
              <a:lnTo>
                <a:pt x="1411224" y="2273808"/>
              </a:lnTo>
              <a:lnTo>
                <a:pt x="2819400" y="2273808"/>
              </a:lnTo>
              <a:lnTo>
                <a:pt x="2819400" y="1862328"/>
              </a:lnTo>
              <a:close/>
            </a:path>
            <a:path w="7275830" h="2273935">
              <a:moveTo>
                <a:pt x="2819400" y="620268"/>
              </a:moveTo>
              <a:lnTo>
                <a:pt x="1411224" y="620268"/>
              </a:lnTo>
              <a:lnTo>
                <a:pt x="1411224" y="1859280"/>
              </a:lnTo>
              <a:lnTo>
                <a:pt x="2819400" y="1859280"/>
              </a:lnTo>
              <a:lnTo>
                <a:pt x="2819400" y="620268"/>
              </a:lnTo>
              <a:close/>
            </a:path>
            <a:path w="7275830" h="2273935">
              <a:moveTo>
                <a:pt x="2819400" y="0"/>
              </a:moveTo>
              <a:lnTo>
                <a:pt x="1411224" y="0"/>
              </a:lnTo>
              <a:lnTo>
                <a:pt x="1411224" y="617220"/>
              </a:lnTo>
              <a:lnTo>
                <a:pt x="2819400" y="617220"/>
              </a:lnTo>
              <a:lnTo>
                <a:pt x="2819400" y="0"/>
              </a:lnTo>
              <a:close/>
            </a:path>
            <a:path w="7275830" h="2273935">
              <a:moveTo>
                <a:pt x="3381756" y="2069592"/>
              </a:moveTo>
              <a:lnTo>
                <a:pt x="2822448" y="2069592"/>
              </a:lnTo>
              <a:lnTo>
                <a:pt x="2822448" y="2273808"/>
              </a:lnTo>
              <a:lnTo>
                <a:pt x="3381756" y="2273808"/>
              </a:lnTo>
              <a:lnTo>
                <a:pt x="3381756" y="2069592"/>
              </a:lnTo>
              <a:close/>
            </a:path>
            <a:path w="7275830" h="2273935">
              <a:moveTo>
                <a:pt x="3381756" y="1862328"/>
              </a:moveTo>
              <a:lnTo>
                <a:pt x="2822448" y="1862328"/>
              </a:lnTo>
              <a:lnTo>
                <a:pt x="2822448" y="2066544"/>
              </a:lnTo>
              <a:lnTo>
                <a:pt x="3381756" y="2066544"/>
              </a:lnTo>
              <a:lnTo>
                <a:pt x="3381756" y="1862328"/>
              </a:lnTo>
              <a:close/>
            </a:path>
            <a:path w="7275830" h="2273935">
              <a:moveTo>
                <a:pt x="3381756" y="1656588"/>
              </a:moveTo>
              <a:lnTo>
                <a:pt x="2822448" y="1656588"/>
              </a:lnTo>
              <a:lnTo>
                <a:pt x="2822448" y="1859280"/>
              </a:lnTo>
              <a:lnTo>
                <a:pt x="3381756" y="1859280"/>
              </a:lnTo>
              <a:lnTo>
                <a:pt x="3381756" y="1656588"/>
              </a:lnTo>
              <a:close/>
            </a:path>
            <a:path w="7275830" h="2273935">
              <a:moveTo>
                <a:pt x="3381756" y="1449324"/>
              </a:moveTo>
              <a:lnTo>
                <a:pt x="2822448" y="1449324"/>
              </a:lnTo>
              <a:lnTo>
                <a:pt x="2822448" y="1653540"/>
              </a:lnTo>
              <a:lnTo>
                <a:pt x="3381756" y="1653540"/>
              </a:lnTo>
              <a:lnTo>
                <a:pt x="3381756" y="1449324"/>
              </a:lnTo>
              <a:close/>
            </a:path>
            <a:path w="7275830" h="2273935">
              <a:moveTo>
                <a:pt x="3381756" y="1242060"/>
              </a:moveTo>
              <a:lnTo>
                <a:pt x="2822448" y="1242060"/>
              </a:lnTo>
              <a:lnTo>
                <a:pt x="2822448" y="1446276"/>
              </a:lnTo>
              <a:lnTo>
                <a:pt x="3381756" y="1446276"/>
              </a:lnTo>
              <a:lnTo>
                <a:pt x="3381756" y="1242060"/>
              </a:lnTo>
              <a:close/>
            </a:path>
            <a:path w="7275830" h="2273935">
              <a:moveTo>
                <a:pt x="3381756" y="1034796"/>
              </a:moveTo>
              <a:lnTo>
                <a:pt x="2822448" y="1034796"/>
              </a:lnTo>
              <a:lnTo>
                <a:pt x="2822448" y="1239012"/>
              </a:lnTo>
              <a:lnTo>
                <a:pt x="3381756" y="1239012"/>
              </a:lnTo>
              <a:lnTo>
                <a:pt x="3381756" y="1034796"/>
              </a:lnTo>
              <a:close/>
            </a:path>
            <a:path w="7275830" h="2273935">
              <a:moveTo>
                <a:pt x="3381756" y="827532"/>
              </a:moveTo>
              <a:lnTo>
                <a:pt x="2822448" y="827532"/>
              </a:lnTo>
              <a:lnTo>
                <a:pt x="2822448" y="1031748"/>
              </a:lnTo>
              <a:lnTo>
                <a:pt x="3381756" y="1031748"/>
              </a:lnTo>
              <a:lnTo>
                <a:pt x="3381756" y="827532"/>
              </a:lnTo>
              <a:close/>
            </a:path>
            <a:path w="7275830" h="2273935">
              <a:moveTo>
                <a:pt x="3381756" y="620268"/>
              </a:moveTo>
              <a:lnTo>
                <a:pt x="2822448" y="620268"/>
              </a:lnTo>
              <a:lnTo>
                <a:pt x="2822448" y="824484"/>
              </a:lnTo>
              <a:lnTo>
                <a:pt x="3381756" y="824484"/>
              </a:lnTo>
              <a:lnTo>
                <a:pt x="3381756" y="620268"/>
              </a:lnTo>
              <a:close/>
            </a:path>
            <a:path w="7275830" h="2273935">
              <a:moveTo>
                <a:pt x="3381756" y="414528"/>
              </a:moveTo>
              <a:lnTo>
                <a:pt x="2822448" y="414528"/>
              </a:lnTo>
              <a:lnTo>
                <a:pt x="2822448" y="617220"/>
              </a:lnTo>
              <a:lnTo>
                <a:pt x="3381756" y="617220"/>
              </a:lnTo>
              <a:lnTo>
                <a:pt x="3381756" y="414528"/>
              </a:lnTo>
              <a:close/>
            </a:path>
            <a:path w="7275830" h="2273935">
              <a:moveTo>
                <a:pt x="3381756" y="207264"/>
              </a:moveTo>
              <a:lnTo>
                <a:pt x="2822448" y="207264"/>
              </a:lnTo>
              <a:lnTo>
                <a:pt x="2822448" y="411480"/>
              </a:lnTo>
              <a:lnTo>
                <a:pt x="3381756" y="411480"/>
              </a:lnTo>
              <a:lnTo>
                <a:pt x="3381756" y="207264"/>
              </a:lnTo>
              <a:close/>
            </a:path>
            <a:path w="7275830" h="2273935">
              <a:moveTo>
                <a:pt x="3381756" y="0"/>
              </a:moveTo>
              <a:lnTo>
                <a:pt x="2822448" y="0"/>
              </a:lnTo>
              <a:lnTo>
                <a:pt x="2822448" y="204216"/>
              </a:lnTo>
              <a:lnTo>
                <a:pt x="3381756" y="204216"/>
              </a:lnTo>
              <a:lnTo>
                <a:pt x="3381756" y="0"/>
              </a:lnTo>
              <a:close/>
            </a:path>
            <a:path w="7275830" h="2273935">
              <a:moveTo>
                <a:pt x="4093464" y="2069592"/>
              </a:moveTo>
              <a:lnTo>
                <a:pt x="3384804" y="2069592"/>
              </a:lnTo>
              <a:lnTo>
                <a:pt x="3384804" y="2273808"/>
              </a:lnTo>
              <a:lnTo>
                <a:pt x="4093464" y="2273808"/>
              </a:lnTo>
              <a:lnTo>
                <a:pt x="4093464" y="2069592"/>
              </a:lnTo>
              <a:close/>
            </a:path>
            <a:path w="7275830" h="2273935">
              <a:moveTo>
                <a:pt x="4093464" y="1862328"/>
              </a:moveTo>
              <a:lnTo>
                <a:pt x="3384804" y="1862328"/>
              </a:lnTo>
              <a:lnTo>
                <a:pt x="3384804" y="2066544"/>
              </a:lnTo>
              <a:lnTo>
                <a:pt x="4093464" y="2066544"/>
              </a:lnTo>
              <a:lnTo>
                <a:pt x="4093464" y="1862328"/>
              </a:lnTo>
              <a:close/>
            </a:path>
            <a:path w="7275830" h="2273935">
              <a:moveTo>
                <a:pt x="4093464" y="1656588"/>
              </a:moveTo>
              <a:lnTo>
                <a:pt x="3384804" y="1656588"/>
              </a:lnTo>
              <a:lnTo>
                <a:pt x="3384804" y="1859280"/>
              </a:lnTo>
              <a:lnTo>
                <a:pt x="4093464" y="1859280"/>
              </a:lnTo>
              <a:lnTo>
                <a:pt x="4093464" y="1656588"/>
              </a:lnTo>
              <a:close/>
            </a:path>
            <a:path w="7275830" h="2273935">
              <a:moveTo>
                <a:pt x="4093464" y="1449324"/>
              </a:moveTo>
              <a:lnTo>
                <a:pt x="3384804" y="1449324"/>
              </a:lnTo>
              <a:lnTo>
                <a:pt x="3384804" y="1653540"/>
              </a:lnTo>
              <a:lnTo>
                <a:pt x="4093464" y="1653540"/>
              </a:lnTo>
              <a:lnTo>
                <a:pt x="4093464" y="1449324"/>
              </a:lnTo>
              <a:close/>
            </a:path>
            <a:path w="7275830" h="2273935">
              <a:moveTo>
                <a:pt x="4093464" y="1242060"/>
              </a:moveTo>
              <a:lnTo>
                <a:pt x="3384804" y="1242060"/>
              </a:lnTo>
              <a:lnTo>
                <a:pt x="3384804" y="1446276"/>
              </a:lnTo>
              <a:lnTo>
                <a:pt x="4093464" y="1446276"/>
              </a:lnTo>
              <a:lnTo>
                <a:pt x="4093464" y="1242060"/>
              </a:lnTo>
              <a:close/>
            </a:path>
            <a:path w="7275830" h="2273935">
              <a:moveTo>
                <a:pt x="4093464" y="1034796"/>
              </a:moveTo>
              <a:lnTo>
                <a:pt x="3384804" y="1034796"/>
              </a:lnTo>
              <a:lnTo>
                <a:pt x="3384804" y="1239012"/>
              </a:lnTo>
              <a:lnTo>
                <a:pt x="4093464" y="1239012"/>
              </a:lnTo>
              <a:lnTo>
                <a:pt x="4093464" y="1034796"/>
              </a:lnTo>
              <a:close/>
            </a:path>
            <a:path w="7275830" h="2273935">
              <a:moveTo>
                <a:pt x="4093464" y="827532"/>
              </a:moveTo>
              <a:lnTo>
                <a:pt x="3384804" y="827532"/>
              </a:lnTo>
              <a:lnTo>
                <a:pt x="3384804" y="1031748"/>
              </a:lnTo>
              <a:lnTo>
                <a:pt x="4093464" y="1031748"/>
              </a:lnTo>
              <a:lnTo>
                <a:pt x="4093464" y="827532"/>
              </a:lnTo>
              <a:close/>
            </a:path>
            <a:path w="7275830" h="2273935">
              <a:moveTo>
                <a:pt x="4093464" y="620268"/>
              </a:moveTo>
              <a:lnTo>
                <a:pt x="3384804" y="620268"/>
              </a:lnTo>
              <a:lnTo>
                <a:pt x="3384804" y="824484"/>
              </a:lnTo>
              <a:lnTo>
                <a:pt x="4093464" y="824484"/>
              </a:lnTo>
              <a:lnTo>
                <a:pt x="4093464" y="620268"/>
              </a:lnTo>
              <a:close/>
            </a:path>
            <a:path w="7275830" h="2273935">
              <a:moveTo>
                <a:pt x="4093464" y="414528"/>
              </a:moveTo>
              <a:lnTo>
                <a:pt x="3384804" y="414528"/>
              </a:lnTo>
              <a:lnTo>
                <a:pt x="3384804" y="617220"/>
              </a:lnTo>
              <a:lnTo>
                <a:pt x="4093464" y="617220"/>
              </a:lnTo>
              <a:lnTo>
                <a:pt x="4093464" y="414528"/>
              </a:lnTo>
              <a:close/>
            </a:path>
            <a:path w="7275830" h="2273935">
              <a:moveTo>
                <a:pt x="4093464" y="207264"/>
              </a:moveTo>
              <a:lnTo>
                <a:pt x="3384804" y="207264"/>
              </a:lnTo>
              <a:lnTo>
                <a:pt x="3384804" y="411480"/>
              </a:lnTo>
              <a:lnTo>
                <a:pt x="4093464" y="411480"/>
              </a:lnTo>
              <a:lnTo>
                <a:pt x="4093464" y="207264"/>
              </a:lnTo>
              <a:close/>
            </a:path>
            <a:path w="7275830" h="2273935">
              <a:moveTo>
                <a:pt x="4093464" y="0"/>
              </a:moveTo>
              <a:lnTo>
                <a:pt x="3384804" y="0"/>
              </a:lnTo>
              <a:lnTo>
                <a:pt x="3384804" y="204216"/>
              </a:lnTo>
              <a:lnTo>
                <a:pt x="4093464" y="204216"/>
              </a:lnTo>
              <a:lnTo>
                <a:pt x="4093464" y="0"/>
              </a:lnTo>
              <a:close/>
            </a:path>
            <a:path w="7275830" h="2273935">
              <a:moveTo>
                <a:pt x="5154168" y="2069592"/>
              </a:moveTo>
              <a:lnTo>
                <a:pt x="4096512" y="2069592"/>
              </a:lnTo>
              <a:lnTo>
                <a:pt x="4096512" y="2273808"/>
              </a:lnTo>
              <a:lnTo>
                <a:pt x="5154168" y="2273808"/>
              </a:lnTo>
              <a:lnTo>
                <a:pt x="5154168" y="2069592"/>
              </a:lnTo>
              <a:close/>
            </a:path>
            <a:path w="7275830" h="2273935">
              <a:moveTo>
                <a:pt x="5154168" y="1862328"/>
              </a:moveTo>
              <a:lnTo>
                <a:pt x="4096512" y="1862328"/>
              </a:lnTo>
              <a:lnTo>
                <a:pt x="4096512" y="2066544"/>
              </a:lnTo>
              <a:lnTo>
                <a:pt x="5154168" y="2066544"/>
              </a:lnTo>
              <a:lnTo>
                <a:pt x="5154168" y="1862328"/>
              </a:lnTo>
              <a:close/>
            </a:path>
            <a:path w="7275830" h="2273935">
              <a:moveTo>
                <a:pt x="5154168" y="1656588"/>
              </a:moveTo>
              <a:lnTo>
                <a:pt x="4096512" y="1656588"/>
              </a:lnTo>
              <a:lnTo>
                <a:pt x="4096512" y="1859280"/>
              </a:lnTo>
              <a:lnTo>
                <a:pt x="5154168" y="1859280"/>
              </a:lnTo>
              <a:lnTo>
                <a:pt x="5154168" y="1656588"/>
              </a:lnTo>
              <a:close/>
            </a:path>
            <a:path w="7275830" h="2273935">
              <a:moveTo>
                <a:pt x="5154168" y="1449324"/>
              </a:moveTo>
              <a:lnTo>
                <a:pt x="4096512" y="1449324"/>
              </a:lnTo>
              <a:lnTo>
                <a:pt x="4096512" y="1653540"/>
              </a:lnTo>
              <a:lnTo>
                <a:pt x="5154168" y="1653540"/>
              </a:lnTo>
              <a:lnTo>
                <a:pt x="5154168" y="1449324"/>
              </a:lnTo>
              <a:close/>
            </a:path>
            <a:path w="7275830" h="2273935">
              <a:moveTo>
                <a:pt x="5154168" y="1242060"/>
              </a:moveTo>
              <a:lnTo>
                <a:pt x="4096512" y="1242060"/>
              </a:lnTo>
              <a:lnTo>
                <a:pt x="4096512" y="1446276"/>
              </a:lnTo>
              <a:lnTo>
                <a:pt x="5154168" y="1446276"/>
              </a:lnTo>
              <a:lnTo>
                <a:pt x="5154168" y="1242060"/>
              </a:lnTo>
              <a:close/>
            </a:path>
            <a:path w="7275830" h="2273935">
              <a:moveTo>
                <a:pt x="5154168" y="1034796"/>
              </a:moveTo>
              <a:lnTo>
                <a:pt x="4096512" y="1034796"/>
              </a:lnTo>
              <a:lnTo>
                <a:pt x="4096512" y="1239012"/>
              </a:lnTo>
              <a:lnTo>
                <a:pt x="5154168" y="1239012"/>
              </a:lnTo>
              <a:lnTo>
                <a:pt x="5154168" y="1034796"/>
              </a:lnTo>
              <a:close/>
            </a:path>
            <a:path w="7275830" h="2273935">
              <a:moveTo>
                <a:pt x="5154168" y="827532"/>
              </a:moveTo>
              <a:lnTo>
                <a:pt x="4096512" y="827532"/>
              </a:lnTo>
              <a:lnTo>
                <a:pt x="4096512" y="1031748"/>
              </a:lnTo>
              <a:lnTo>
                <a:pt x="5154168" y="1031748"/>
              </a:lnTo>
              <a:lnTo>
                <a:pt x="5154168" y="827532"/>
              </a:lnTo>
              <a:close/>
            </a:path>
            <a:path w="7275830" h="2273935">
              <a:moveTo>
                <a:pt x="5154168" y="620268"/>
              </a:moveTo>
              <a:lnTo>
                <a:pt x="4096512" y="620268"/>
              </a:lnTo>
              <a:lnTo>
                <a:pt x="4096512" y="824484"/>
              </a:lnTo>
              <a:lnTo>
                <a:pt x="5154168" y="824484"/>
              </a:lnTo>
              <a:lnTo>
                <a:pt x="5154168" y="620268"/>
              </a:lnTo>
              <a:close/>
            </a:path>
            <a:path w="7275830" h="2273935">
              <a:moveTo>
                <a:pt x="5154168" y="414528"/>
              </a:moveTo>
              <a:lnTo>
                <a:pt x="4096512" y="414528"/>
              </a:lnTo>
              <a:lnTo>
                <a:pt x="4096512" y="617220"/>
              </a:lnTo>
              <a:lnTo>
                <a:pt x="5154168" y="617220"/>
              </a:lnTo>
              <a:lnTo>
                <a:pt x="5154168" y="414528"/>
              </a:lnTo>
              <a:close/>
            </a:path>
            <a:path w="7275830" h="2273935">
              <a:moveTo>
                <a:pt x="5154168" y="207264"/>
              </a:moveTo>
              <a:lnTo>
                <a:pt x="4096512" y="207264"/>
              </a:lnTo>
              <a:lnTo>
                <a:pt x="4096512" y="411480"/>
              </a:lnTo>
              <a:lnTo>
                <a:pt x="5154168" y="411480"/>
              </a:lnTo>
              <a:lnTo>
                <a:pt x="5154168" y="207264"/>
              </a:lnTo>
              <a:close/>
            </a:path>
            <a:path w="7275830" h="2273935">
              <a:moveTo>
                <a:pt x="5154168" y="0"/>
              </a:moveTo>
              <a:lnTo>
                <a:pt x="4096512" y="0"/>
              </a:lnTo>
              <a:lnTo>
                <a:pt x="4096512" y="204216"/>
              </a:lnTo>
              <a:lnTo>
                <a:pt x="5154168" y="204216"/>
              </a:lnTo>
              <a:lnTo>
                <a:pt x="5154168" y="0"/>
              </a:lnTo>
              <a:close/>
            </a:path>
            <a:path w="7275830" h="2273935">
              <a:moveTo>
                <a:pt x="6214872" y="2069592"/>
              </a:moveTo>
              <a:lnTo>
                <a:pt x="5157216" y="2069592"/>
              </a:lnTo>
              <a:lnTo>
                <a:pt x="5157216" y="2273808"/>
              </a:lnTo>
              <a:lnTo>
                <a:pt x="6214872" y="2273808"/>
              </a:lnTo>
              <a:lnTo>
                <a:pt x="6214872" y="2069592"/>
              </a:lnTo>
              <a:close/>
            </a:path>
            <a:path w="7275830" h="2273935">
              <a:moveTo>
                <a:pt x="6214872" y="1862328"/>
              </a:moveTo>
              <a:lnTo>
                <a:pt x="5157216" y="1862328"/>
              </a:lnTo>
              <a:lnTo>
                <a:pt x="5157216" y="2066544"/>
              </a:lnTo>
              <a:lnTo>
                <a:pt x="6214872" y="2066544"/>
              </a:lnTo>
              <a:lnTo>
                <a:pt x="6214872" y="1862328"/>
              </a:lnTo>
              <a:close/>
            </a:path>
            <a:path w="7275830" h="2273935">
              <a:moveTo>
                <a:pt x="6214872" y="1656588"/>
              </a:moveTo>
              <a:lnTo>
                <a:pt x="5157216" y="1656588"/>
              </a:lnTo>
              <a:lnTo>
                <a:pt x="5157216" y="1859280"/>
              </a:lnTo>
              <a:lnTo>
                <a:pt x="6214872" y="1859280"/>
              </a:lnTo>
              <a:lnTo>
                <a:pt x="6214872" y="1656588"/>
              </a:lnTo>
              <a:close/>
            </a:path>
            <a:path w="7275830" h="2273935">
              <a:moveTo>
                <a:pt x="6214872" y="1449324"/>
              </a:moveTo>
              <a:lnTo>
                <a:pt x="5157216" y="1449324"/>
              </a:lnTo>
              <a:lnTo>
                <a:pt x="5157216" y="1653540"/>
              </a:lnTo>
              <a:lnTo>
                <a:pt x="6214872" y="1653540"/>
              </a:lnTo>
              <a:lnTo>
                <a:pt x="6214872" y="1449324"/>
              </a:lnTo>
              <a:close/>
            </a:path>
            <a:path w="7275830" h="2273935">
              <a:moveTo>
                <a:pt x="6214872" y="1242060"/>
              </a:moveTo>
              <a:lnTo>
                <a:pt x="5157216" y="1242060"/>
              </a:lnTo>
              <a:lnTo>
                <a:pt x="5157216" y="1446276"/>
              </a:lnTo>
              <a:lnTo>
                <a:pt x="6214872" y="1446276"/>
              </a:lnTo>
              <a:lnTo>
                <a:pt x="6214872" y="1242060"/>
              </a:lnTo>
              <a:close/>
            </a:path>
            <a:path w="7275830" h="2273935">
              <a:moveTo>
                <a:pt x="6214872" y="1034796"/>
              </a:moveTo>
              <a:lnTo>
                <a:pt x="5157216" y="1034796"/>
              </a:lnTo>
              <a:lnTo>
                <a:pt x="5157216" y="1239012"/>
              </a:lnTo>
              <a:lnTo>
                <a:pt x="6214872" y="1239012"/>
              </a:lnTo>
              <a:lnTo>
                <a:pt x="6214872" y="1034796"/>
              </a:lnTo>
              <a:close/>
            </a:path>
            <a:path w="7275830" h="2273935">
              <a:moveTo>
                <a:pt x="6214872" y="827532"/>
              </a:moveTo>
              <a:lnTo>
                <a:pt x="5157216" y="827532"/>
              </a:lnTo>
              <a:lnTo>
                <a:pt x="5157216" y="1031748"/>
              </a:lnTo>
              <a:lnTo>
                <a:pt x="6214872" y="1031748"/>
              </a:lnTo>
              <a:lnTo>
                <a:pt x="6214872" y="827532"/>
              </a:lnTo>
              <a:close/>
            </a:path>
            <a:path w="7275830" h="2273935">
              <a:moveTo>
                <a:pt x="6214872" y="620268"/>
              </a:moveTo>
              <a:lnTo>
                <a:pt x="5157216" y="620268"/>
              </a:lnTo>
              <a:lnTo>
                <a:pt x="5157216" y="824484"/>
              </a:lnTo>
              <a:lnTo>
                <a:pt x="6214872" y="824484"/>
              </a:lnTo>
              <a:lnTo>
                <a:pt x="6214872" y="620268"/>
              </a:lnTo>
              <a:close/>
            </a:path>
            <a:path w="7275830" h="2273935">
              <a:moveTo>
                <a:pt x="6214872" y="414528"/>
              </a:moveTo>
              <a:lnTo>
                <a:pt x="5157216" y="414528"/>
              </a:lnTo>
              <a:lnTo>
                <a:pt x="5157216" y="617220"/>
              </a:lnTo>
              <a:lnTo>
                <a:pt x="6214872" y="617220"/>
              </a:lnTo>
              <a:lnTo>
                <a:pt x="6214872" y="414528"/>
              </a:lnTo>
              <a:close/>
            </a:path>
            <a:path w="7275830" h="2273935">
              <a:moveTo>
                <a:pt x="6214872" y="207264"/>
              </a:moveTo>
              <a:lnTo>
                <a:pt x="5157216" y="207264"/>
              </a:lnTo>
              <a:lnTo>
                <a:pt x="5157216" y="411480"/>
              </a:lnTo>
              <a:lnTo>
                <a:pt x="6214872" y="411480"/>
              </a:lnTo>
              <a:lnTo>
                <a:pt x="6214872" y="207264"/>
              </a:lnTo>
              <a:close/>
            </a:path>
            <a:path w="7275830" h="2273935">
              <a:moveTo>
                <a:pt x="6214872" y="0"/>
              </a:moveTo>
              <a:lnTo>
                <a:pt x="5157216" y="0"/>
              </a:lnTo>
              <a:lnTo>
                <a:pt x="5157216" y="204216"/>
              </a:lnTo>
              <a:lnTo>
                <a:pt x="6214872" y="204216"/>
              </a:lnTo>
              <a:lnTo>
                <a:pt x="6214872" y="0"/>
              </a:lnTo>
              <a:close/>
            </a:path>
            <a:path w="7275830" h="2273935">
              <a:moveTo>
                <a:pt x="7275576" y="2069592"/>
              </a:moveTo>
              <a:lnTo>
                <a:pt x="6217920" y="2069592"/>
              </a:lnTo>
              <a:lnTo>
                <a:pt x="6217920" y="2273808"/>
              </a:lnTo>
              <a:lnTo>
                <a:pt x="7275576" y="2273808"/>
              </a:lnTo>
              <a:lnTo>
                <a:pt x="7275576" y="2069592"/>
              </a:lnTo>
              <a:close/>
            </a:path>
            <a:path w="7275830" h="2273935">
              <a:moveTo>
                <a:pt x="7275576" y="1862328"/>
              </a:moveTo>
              <a:lnTo>
                <a:pt x="6217920" y="1862328"/>
              </a:lnTo>
              <a:lnTo>
                <a:pt x="6217920" y="2066544"/>
              </a:lnTo>
              <a:lnTo>
                <a:pt x="7275576" y="2066544"/>
              </a:lnTo>
              <a:lnTo>
                <a:pt x="7275576" y="1862328"/>
              </a:lnTo>
              <a:close/>
            </a:path>
            <a:path w="7275830" h="2273935">
              <a:moveTo>
                <a:pt x="7275576" y="1656588"/>
              </a:moveTo>
              <a:lnTo>
                <a:pt x="6217920" y="1656588"/>
              </a:lnTo>
              <a:lnTo>
                <a:pt x="6217920" y="1859280"/>
              </a:lnTo>
              <a:lnTo>
                <a:pt x="7275576" y="1859280"/>
              </a:lnTo>
              <a:lnTo>
                <a:pt x="7275576" y="1656588"/>
              </a:lnTo>
              <a:close/>
            </a:path>
            <a:path w="7275830" h="2273935">
              <a:moveTo>
                <a:pt x="7275576" y="1449324"/>
              </a:moveTo>
              <a:lnTo>
                <a:pt x="6217920" y="1449324"/>
              </a:lnTo>
              <a:lnTo>
                <a:pt x="6217920" y="1653540"/>
              </a:lnTo>
              <a:lnTo>
                <a:pt x="7275576" y="1653540"/>
              </a:lnTo>
              <a:lnTo>
                <a:pt x="7275576" y="1449324"/>
              </a:lnTo>
              <a:close/>
            </a:path>
            <a:path w="7275830" h="2273935">
              <a:moveTo>
                <a:pt x="7275576" y="1242060"/>
              </a:moveTo>
              <a:lnTo>
                <a:pt x="6217920" y="1242060"/>
              </a:lnTo>
              <a:lnTo>
                <a:pt x="6217920" y="1446276"/>
              </a:lnTo>
              <a:lnTo>
                <a:pt x="7275576" y="1446276"/>
              </a:lnTo>
              <a:lnTo>
                <a:pt x="7275576" y="1242060"/>
              </a:lnTo>
              <a:close/>
            </a:path>
            <a:path w="7275830" h="2273935">
              <a:moveTo>
                <a:pt x="7275576" y="1034796"/>
              </a:moveTo>
              <a:lnTo>
                <a:pt x="6217920" y="1034796"/>
              </a:lnTo>
              <a:lnTo>
                <a:pt x="6217920" y="1239012"/>
              </a:lnTo>
              <a:lnTo>
                <a:pt x="7275576" y="1239012"/>
              </a:lnTo>
              <a:lnTo>
                <a:pt x="7275576" y="1034796"/>
              </a:lnTo>
              <a:close/>
            </a:path>
            <a:path w="7275830" h="2273935">
              <a:moveTo>
                <a:pt x="7275576" y="827532"/>
              </a:moveTo>
              <a:lnTo>
                <a:pt x="6217920" y="827532"/>
              </a:lnTo>
              <a:lnTo>
                <a:pt x="6217920" y="1031748"/>
              </a:lnTo>
              <a:lnTo>
                <a:pt x="7275576" y="1031748"/>
              </a:lnTo>
              <a:lnTo>
                <a:pt x="7275576" y="827532"/>
              </a:lnTo>
              <a:close/>
            </a:path>
            <a:path w="7275830" h="2273935">
              <a:moveTo>
                <a:pt x="7275576" y="620268"/>
              </a:moveTo>
              <a:lnTo>
                <a:pt x="6217920" y="620268"/>
              </a:lnTo>
              <a:lnTo>
                <a:pt x="6217920" y="824484"/>
              </a:lnTo>
              <a:lnTo>
                <a:pt x="7275576" y="824484"/>
              </a:lnTo>
              <a:lnTo>
                <a:pt x="7275576" y="620268"/>
              </a:lnTo>
              <a:close/>
            </a:path>
            <a:path w="7275830" h="2273935">
              <a:moveTo>
                <a:pt x="7275576" y="414528"/>
              </a:moveTo>
              <a:lnTo>
                <a:pt x="6217920" y="414528"/>
              </a:lnTo>
              <a:lnTo>
                <a:pt x="6217920" y="617220"/>
              </a:lnTo>
              <a:lnTo>
                <a:pt x="7275576" y="617220"/>
              </a:lnTo>
              <a:lnTo>
                <a:pt x="7275576" y="414528"/>
              </a:lnTo>
              <a:close/>
            </a:path>
            <a:path w="7275830" h="2273935">
              <a:moveTo>
                <a:pt x="7275576" y="207264"/>
              </a:moveTo>
              <a:lnTo>
                <a:pt x="6217920" y="207264"/>
              </a:lnTo>
              <a:lnTo>
                <a:pt x="6217920" y="411480"/>
              </a:lnTo>
              <a:lnTo>
                <a:pt x="7275576" y="411480"/>
              </a:lnTo>
              <a:lnTo>
                <a:pt x="7275576" y="207264"/>
              </a:lnTo>
              <a:close/>
            </a:path>
            <a:path w="7275830" h="2273935">
              <a:moveTo>
                <a:pt x="7275576" y="0"/>
              </a:moveTo>
              <a:lnTo>
                <a:pt x="6217920" y="0"/>
              </a:lnTo>
              <a:lnTo>
                <a:pt x="6217920" y="204216"/>
              </a:lnTo>
              <a:lnTo>
                <a:pt x="7275576" y="204216"/>
              </a:lnTo>
              <a:lnTo>
                <a:pt x="72755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9</xdr:col>
      <xdr:colOff>538861</xdr:colOff>
      <xdr:row>17</xdr:row>
      <xdr:rowOff>0</xdr:rowOff>
    </xdr:from>
    <xdr:ext cx="708660" cy="227393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/>
      </xdr:nvSpPr>
      <xdr:spPr>
        <a:xfrm>
          <a:off x="0" y="0"/>
          <a:ext cx="708660" cy="2273935"/>
        </a:xfrm>
        <a:custGeom>
          <a:avLst/>
          <a:gdLst/>
          <a:ahLst/>
          <a:cxnLst/>
          <a:rect l="0" t="0" r="0" b="0"/>
          <a:pathLst>
            <a:path w="708660" h="2273935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2273935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2273935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2273935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2273935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2273935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2273935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2273935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2273935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2273935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2273935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539877</xdr:colOff>
      <xdr:row>23</xdr:row>
      <xdr:rowOff>206501</xdr:rowOff>
    </xdr:from>
    <xdr:ext cx="3179445" cy="37528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350520</xdr:colOff>
      <xdr:row>3</xdr:row>
      <xdr:rowOff>49142</xdr:rowOff>
    </xdr:from>
    <xdr:ext cx="381000" cy="290285"/>
    <xdr:pic>
      <xdr:nvPicPr>
        <xdr:cNvPr id="107" name="image1.jpeg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108" name="image2.jpeg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109" name="image3.jpeg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2</xdr:col>
      <xdr:colOff>541274</xdr:colOff>
      <xdr:row>25</xdr:row>
      <xdr:rowOff>0</xdr:rowOff>
    </xdr:from>
    <xdr:ext cx="5864860" cy="4136390"/>
    <xdr:grpSp>
      <xdr:nvGrpSpPr>
        <xdr:cNvPr id="110" name="Group 110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GrpSpPr/>
      </xdr:nvGrpSpPr>
      <xdr:grpSpPr>
        <a:xfrm>
          <a:off x="2309114" y="6050280"/>
          <a:ext cx="5864860" cy="4136390"/>
          <a:chOff x="0" y="0"/>
          <a:chExt cx="5864860" cy="4136390"/>
        </a:xfrm>
      </xdr:grpSpPr>
      <xdr:sp macro="" textlink="">
        <xdr:nvSpPr>
          <xdr:cNvPr id="111" name="Shape 111">
            <a:extLst>
              <a:ext uri="{FF2B5EF4-FFF2-40B4-BE49-F238E27FC236}">
                <a16:creationId xmlns:a16="http://schemas.microsoft.com/office/drawing/2014/main" id="{00000000-0008-0000-0D00-00006F000000}"/>
              </a:ext>
            </a:extLst>
          </xdr:cNvPr>
          <xdr:cNvSpPr/>
        </xdr:nvSpPr>
        <xdr:spPr>
          <a:xfrm>
            <a:off x="1411224" y="0"/>
            <a:ext cx="4453255" cy="3101340"/>
          </a:xfrm>
          <a:custGeom>
            <a:avLst/>
            <a:gdLst/>
            <a:ahLst/>
            <a:cxnLst/>
            <a:rect l="0" t="0" r="0" b="0"/>
            <a:pathLst>
              <a:path w="4453255" h="3101340">
                <a:moveTo>
                  <a:pt x="559308" y="2897124"/>
                </a:moveTo>
                <a:lnTo>
                  <a:pt x="0" y="2897124"/>
                </a:lnTo>
                <a:lnTo>
                  <a:pt x="0" y="3101340"/>
                </a:lnTo>
                <a:lnTo>
                  <a:pt x="559308" y="3101340"/>
                </a:lnTo>
                <a:lnTo>
                  <a:pt x="559308" y="2897124"/>
                </a:lnTo>
                <a:close/>
              </a:path>
              <a:path w="4453255" h="3101340">
                <a:moveTo>
                  <a:pt x="559308" y="2689860"/>
                </a:moveTo>
                <a:lnTo>
                  <a:pt x="0" y="2689860"/>
                </a:lnTo>
                <a:lnTo>
                  <a:pt x="0" y="2894076"/>
                </a:lnTo>
                <a:lnTo>
                  <a:pt x="559308" y="2894076"/>
                </a:lnTo>
                <a:lnTo>
                  <a:pt x="559308" y="2689860"/>
                </a:lnTo>
                <a:close/>
              </a:path>
              <a:path w="4453255" h="3101340">
                <a:moveTo>
                  <a:pt x="559308" y="2484120"/>
                </a:moveTo>
                <a:lnTo>
                  <a:pt x="0" y="2484120"/>
                </a:lnTo>
                <a:lnTo>
                  <a:pt x="0" y="2686812"/>
                </a:lnTo>
                <a:lnTo>
                  <a:pt x="559308" y="2686812"/>
                </a:lnTo>
                <a:lnTo>
                  <a:pt x="559308" y="2484120"/>
                </a:lnTo>
                <a:close/>
              </a:path>
              <a:path w="4453255" h="3101340">
                <a:moveTo>
                  <a:pt x="559308" y="2276856"/>
                </a:moveTo>
                <a:lnTo>
                  <a:pt x="0" y="2276856"/>
                </a:lnTo>
                <a:lnTo>
                  <a:pt x="0" y="2481072"/>
                </a:lnTo>
                <a:lnTo>
                  <a:pt x="559308" y="2481072"/>
                </a:lnTo>
                <a:lnTo>
                  <a:pt x="559308" y="2276856"/>
                </a:lnTo>
                <a:close/>
              </a:path>
              <a:path w="4453255" h="3101340">
                <a:moveTo>
                  <a:pt x="559308" y="2069592"/>
                </a:moveTo>
                <a:lnTo>
                  <a:pt x="0" y="2069592"/>
                </a:lnTo>
                <a:lnTo>
                  <a:pt x="0" y="2273808"/>
                </a:lnTo>
                <a:lnTo>
                  <a:pt x="559308" y="2273808"/>
                </a:lnTo>
                <a:lnTo>
                  <a:pt x="559308" y="2069592"/>
                </a:lnTo>
                <a:close/>
              </a:path>
              <a:path w="4453255" h="3101340">
                <a:moveTo>
                  <a:pt x="559308" y="1862328"/>
                </a:moveTo>
                <a:lnTo>
                  <a:pt x="0" y="1862328"/>
                </a:lnTo>
                <a:lnTo>
                  <a:pt x="0" y="2066544"/>
                </a:lnTo>
                <a:lnTo>
                  <a:pt x="559308" y="2066544"/>
                </a:lnTo>
                <a:lnTo>
                  <a:pt x="559308" y="1862328"/>
                </a:lnTo>
                <a:close/>
              </a:path>
              <a:path w="4453255" h="3101340">
                <a:moveTo>
                  <a:pt x="559308" y="1656588"/>
                </a:moveTo>
                <a:lnTo>
                  <a:pt x="0" y="1656588"/>
                </a:lnTo>
                <a:lnTo>
                  <a:pt x="0" y="1859280"/>
                </a:lnTo>
                <a:lnTo>
                  <a:pt x="559308" y="1859280"/>
                </a:lnTo>
                <a:lnTo>
                  <a:pt x="559308" y="1656588"/>
                </a:lnTo>
                <a:close/>
              </a:path>
              <a:path w="4453255" h="3101340">
                <a:moveTo>
                  <a:pt x="559308" y="1449324"/>
                </a:moveTo>
                <a:lnTo>
                  <a:pt x="0" y="1449324"/>
                </a:lnTo>
                <a:lnTo>
                  <a:pt x="0" y="1653540"/>
                </a:lnTo>
                <a:lnTo>
                  <a:pt x="559308" y="1653540"/>
                </a:lnTo>
                <a:lnTo>
                  <a:pt x="559308" y="1449324"/>
                </a:lnTo>
                <a:close/>
              </a:path>
              <a:path w="4453255" h="3101340">
                <a:moveTo>
                  <a:pt x="559308" y="1242060"/>
                </a:moveTo>
                <a:lnTo>
                  <a:pt x="0" y="1242060"/>
                </a:lnTo>
                <a:lnTo>
                  <a:pt x="0" y="1446276"/>
                </a:lnTo>
                <a:lnTo>
                  <a:pt x="559308" y="1446276"/>
                </a:lnTo>
                <a:lnTo>
                  <a:pt x="559308" y="1242060"/>
                </a:lnTo>
                <a:close/>
              </a:path>
              <a:path w="4453255" h="3101340">
                <a:moveTo>
                  <a:pt x="559308" y="1034796"/>
                </a:moveTo>
                <a:lnTo>
                  <a:pt x="0" y="1034796"/>
                </a:lnTo>
                <a:lnTo>
                  <a:pt x="0" y="1239012"/>
                </a:lnTo>
                <a:lnTo>
                  <a:pt x="559308" y="1239012"/>
                </a:lnTo>
                <a:lnTo>
                  <a:pt x="559308" y="1034796"/>
                </a:lnTo>
                <a:close/>
              </a:path>
              <a:path w="4453255" h="3101340">
                <a:moveTo>
                  <a:pt x="559308" y="827532"/>
                </a:moveTo>
                <a:lnTo>
                  <a:pt x="0" y="827532"/>
                </a:lnTo>
                <a:lnTo>
                  <a:pt x="0" y="1031748"/>
                </a:lnTo>
                <a:lnTo>
                  <a:pt x="559308" y="1031748"/>
                </a:lnTo>
                <a:lnTo>
                  <a:pt x="559308" y="827532"/>
                </a:lnTo>
                <a:close/>
              </a:path>
              <a:path w="4453255" h="3101340">
                <a:moveTo>
                  <a:pt x="559308" y="620268"/>
                </a:moveTo>
                <a:lnTo>
                  <a:pt x="0" y="620268"/>
                </a:lnTo>
                <a:lnTo>
                  <a:pt x="0" y="824484"/>
                </a:lnTo>
                <a:lnTo>
                  <a:pt x="559308" y="824484"/>
                </a:lnTo>
                <a:lnTo>
                  <a:pt x="559308" y="620268"/>
                </a:lnTo>
                <a:close/>
              </a:path>
              <a:path w="4453255" h="3101340">
                <a:moveTo>
                  <a:pt x="559308" y="414528"/>
                </a:moveTo>
                <a:lnTo>
                  <a:pt x="0" y="414528"/>
                </a:lnTo>
                <a:lnTo>
                  <a:pt x="0" y="617220"/>
                </a:lnTo>
                <a:lnTo>
                  <a:pt x="559308" y="617220"/>
                </a:lnTo>
                <a:lnTo>
                  <a:pt x="559308" y="414528"/>
                </a:lnTo>
                <a:close/>
              </a:path>
              <a:path w="4453255" h="3101340">
                <a:moveTo>
                  <a:pt x="559308" y="207264"/>
                </a:moveTo>
                <a:lnTo>
                  <a:pt x="0" y="207264"/>
                </a:lnTo>
                <a:lnTo>
                  <a:pt x="0" y="411480"/>
                </a:lnTo>
                <a:lnTo>
                  <a:pt x="559308" y="411480"/>
                </a:lnTo>
                <a:lnTo>
                  <a:pt x="559308" y="207264"/>
                </a:lnTo>
                <a:close/>
              </a:path>
              <a:path w="4453255" h="3101340">
                <a:moveTo>
                  <a:pt x="559308" y="0"/>
                </a:moveTo>
                <a:lnTo>
                  <a:pt x="0" y="0"/>
                </a:lnTo>
                <a:lnTo>
                  <a:pt x="0" y="204216"/>
                </a:lnTo>
                <a:lnTo>
                  <a:pt x="559308" y="204216"/>
                </a:lnTo>
                <a:lnTo>
                  <a:pt x="559308" y="0"/>
                </a:lnTo>
                <a:close/>
              </a:path>
              <a:path w="4453255" h="3101340">
                <a:moveTo>
                  <a:pt x="1271016" y="2689860"/>
                </a:moveTo>
                <a:lnTo>
                  <a:pt x="562356" y="2689860"/>
                </a:lnTo>
                <a:lnTo>
                  <a:pt x="562356" y="2894076"/>
                </a:lnTo>
                <a:lnTo>
                  <a:pt x="1271016" y="2894076"/>
                </a:lnTo>
                <a:lnTo>
                  <a:pt x="1271016" y="2689860"/>
                </a:lnTo>
                <a:close/>
              </a:path>
              <a:path w="4453255" h="3101340">
                <a:moveTo>
                  <a:pt x="1271016" y="2484120"/>
                </a:moveTo>
                <a:lnTo>
                  <a:pt x="562356" y="2484120"/>
                </a:lnTo>
                <a:lnTo>
                  <a:pt x="562356" y="2686812"/>
                </a:lnTo>
                <a:lnTo>
                  <a:pt x="1271016" y="2686812"/>
                </a:lnTo>
                <a:lnTo>
                  <a:pt x="1271016" y="2484120"/>
                </a:lnTo>
                <a:close/>
              </a:path>
              <a:path w="4453255" h="3101340">
                <a:moveTo>
                  <a:pt x="1271016" y="2276856"/>
                </a:moveTo>
                <a:lnTo>
                  <a:pt x="562356" y="2276856"/>
                </a:lnTo>
                <a:lnTo>
                  <a:pt x="562356" y="2481072"/>
                </a:lnTo>
                <a:lnTo>
                  <a:pt x="1271016" y="2481072"/>
                </a:lnTo>
                <a:lnTo>
                  <a:pt x="1271016" y="2276856"/>
                </a:lnTo>
                <a:close/>
              </a:path>
              <a:path w="4453255" h="3101340">
                <a:moveTo>
                  <a:pt x="1271016" y="2069592"/>
                </a:moveTo>
                <a:lnTo>
                  <a:pt x="562356" y="2069592"/>
                </a:lnTo>
                <a:lnTo>
                  <a:pt x="562356" y="2273808"/>
                </a:lnTo>
                <a:lnTo>
                  <a:pt x="1271016" y="2273808"/>
                </a:lnTo>
                <a:lnTo>
                  <a:pt x="1271016" y="2069592"/>
                </a:lnTo>
                <a:close/>
              </a:path>
              <a:path w="4453255" h="3101340">
                <a:moveTo>
                  <a:pt x="1271016" y="1862328"/>
                </a:moveTo>
                <a:lnTo>
                  <a:pt x="562356" y="1862328"/>
                </a:lnTo>
                <a:lnTo>
                  <a:pt x="562356" y="2066544"/>
                </a:lnTo>
                <a:lnTo>
                  <a:pt x="1271016" y="2066544"/>
                </a:lnTo>
                <a:lnTo>
                  <a:pt x="1271016" y="1862328"/>
                </a:lnTo>
                <a:close/>
              </a:path>
              <a:path w="4453255" h="3101340">
                <a:moveTo>
                  <a:pt x="1271016" y="1656588"/>
                </a:moveTo>
                <a:lnTo>
                  <a:pt x="562356" y="1656588"/>
                </a:lnTo>
                <a:lnTo>
                  <a:pt x="562356" y="1859280"/>
                </a:lnTo>
                <a:lnTo>
                  <a:pt x="1271016" y="1859280"/>
                </a:lnTo>
                <a:lnTo>
                  <a:pt x="1271016" y="1656588"/>
                </a:lnTo>
                <a:close/>
              </a:path>
              <a:path w="4453255" h="3101340">
                <a:moveTo>
                  <a:pt x="1271016" y="1449324"/>
                </a:moveTo>
                <a:lnTo>
                  <a:pt x="562356" y="1449324"/>
                </a:lnTo>
                <a:lnTo>
                  <a:pt x="562356" y="1653540"/>
                </a:lnTo>
                <a:lnTo>
                  <a:pt x="1271016" y="1653540"/>
                </a:lnTo>
                <a:lnTo>
                  <a:pt x="1271016" y="1449324"/>
                </a:lnTo>
                <a:close/>
              </a:path>
              <a:path w="4453255" h="3101340">
                <a:moveTo>
                  <a:pt x="1271016" y="1242060"/>
                </a:moveTo>
                <a:lnTo>
                  <a:pt x="562356" y="1242060"/>
                </a:lnTo>
                <a:lnTo>
                  <a:pt x="562356" y="1446276"/>
                </a:lnTo>
                <a:lnTo>
                  <a:pt x="1271016" y="1446276"/>
                </a:lnTo>
                <a:lnTo>
                  <a:pt x="1271016" y="1242060"/>
                </a:lnTo>
                <a:close/>
              </a:path>
              <a:path w="4453255" h="3101340">
                <a:moveTo>
                  <a:pt x="1271016" y="1034796"/>
                </a:moveTo>
                <a:lnTo>
                  <a:pt x="562356" y="1034796"/>
                </a:lnTo>
                <a:lnTo>
                  <a:pt x="562356" y="1239012"/>
                </a:lnTo>
                <a:lnTo>
                  <a:pt x="1271016" y="1239012"/>
                </a:lnTo>
                <a:lnTo>
                  <a:pt x="1271016" y="1034796"/>
                </a:lnTo>
                <a:close/>
              </a:path>
              <a:path w="4453255" h="3101340">
                <a:moveTo>
                  <a:pt x="1271016" y="827532"/>
                </a:moveTo>
                <a:lnTo>
                  <a:pt x="562356" y="827532"/>
                </a:lnTo>
                <a:lnTo>
                  <a:pt x="562356" y="1031748"/>
                </a:lnTo>
                <a:lnTo>
                  <a:pt x="1271016" y="1031748"/>
                </a:lnTo>
                <a:lnTo>
                  <a:pt x="1271016" y="827532"/>
                </a:lnTo>
                <a:close/>
              </a:path>
              <a:path w="4453255" h="3101340">
                <a:moveTo>
                  <a:pt x="1271016" y="620268"/>
                </a:moveTo>
                <a:lnTo>
                  <a:pt x="562356" y="620268"/>
                </a:lnTo>
                <a:lnTo>
                  <a:pt x="562356" y="824484"/>
                </a:lnTo>
                <a:lnTo>
                  <a:pt x="1271016" y="824484"/>
                </a:lnTo>
                <a:lnTo>
                  <a:pt x="1271016" y="620268"/>
                </a:lnTo>
                <a:close/>
              </a:path>
              <a:path w="4453255" h="3101340">
                <a:moveTo>
                  <a:pt x="1271016" y="414528"/>
                </a:moveTo>
                <a:lnTo>
                  <a:pt x="562356" y="414528"/>
                </a:lnTo>
                <a:lnTo>
                  <a:pt x="562356" y="617220"/>
                </a:lnTo>
                <a:lnTo>
                  <a:pt x="1271016" y="617220"/>
                </a:lnTo>
                <a:lnTo>
                  <a:pt x="1271016" y="414528"/>
                </a:lnTo>
                <a:close/>
              </a:path>
              <a:path w="4453255" h="3101340">
                <a:moveTo>
                  <a:pt x="1271016" y="207264"/>
                </a:moveTo>
                <a:lnTo>
                  <a:pt x="562356" y="207264"/>
                </a:lnTo>
                <a:lnTo>
                  <a:pt x="562356" y="411480"/>
                </a:lnTo>
                <a:lnTo>
                  <a:pt x="1271016" y="411480"/>
                </a:lnTo>
                <a:lnTo>
                  <a:pt x="1271016" y="207264"/>
                </a:lnTo>
                <a:close/>
              </a:path>
              <a:path w="4453255" h="3101340">
                <a:moveTo>
                  <a:pt x="1271016" y="0"/>
                </a:moveTo>
                <a:lnTo>
                  <a:pt x="562356" y="0"/>
                </a:lnTo>
                <a:lnTo>
                  <a:pt x="562356" y="204216"/>
                </a:lnTo>
                <a:lnTo>
                  <a:pt x="1271016" y="204216"/>
                </a:lnTo>
                <a:lnTo>
                  <a:pt x="1271016" y="0"/>
                </a:lnTo>
                <a:close/>
              </a:path>
              <a:path w="4453255" h="3101340">
                <a:moveTo>
                  <a:pt x="2331720" y="2689860"/>
                </a:moveTo>
                <a:lnTo>
                  <a:pt x="1274064" y="2689860"/>
                </a:lnTo>
                <a:lnTo>
                  <a:pt x="1274064" y="2894076"/>
                </a:lnTo>
                <a:lnTo>
                  <a:pt x="2331720" y="2894076"/>
                </a:lnTo>
                <a:lnTo>
                  <a:pt x="2331720" y="2689860"/>
                </a:lnTo>
                <a:close/>
              </a:path>
              <a:path w="4453255" h="3101340">
                <a:moveTo>
                  <a:pt x="2331720" y="2484120"/>
                </a:moveTo>
                <a:lnTo>
                  <a:pt x="1274064" y="2484120"/>
                </a:lnTo>
                <a:lnTo>
                  <a:pt x="1274064" y="2686812"/>
                </a:lnTo>
                <a:lnTo>
                  <a:pt x="2331720" y="2686812"/>
                </a:lnTo>
                <a:lnTo>
                  <a:pt x="2331720" y="2484120"/>
                </a:lnTo>
                <a:close/>
              </a:path>
              <a:path w="4453255" h="3101340">
                <a:moveTo>
                  <a:pt x="2331720" y="2276856"/>
                </a:moveTo>
                <a:lnTo>
                  <a:pt x="1274064" y="2276856"/>
                </a:lnTo>
                <a:lnTo>
                  <a:pt x="1274064" y="2481072"/>
                </a:lnTo>
                <a:lnTo>
                  <a:pt x="2331720" y="2481072"/>
                </a:lnTo>
                <a:lnTo>
                  <a:pt x="2331720" y="2276856"/>
                </a:lnTo>
                <a:close/>
              </a:path>
              <a:path w="4453255" h="3101340">
                <a:moveTo>
                  <a:pt x="2331720" y="2069592"/>
                </a:moveTo>
                <a:lnTo>
                  <a:pt x="1274064" y="2069592"/>
                </a:lnTo>
                <a:lnTo>
                  <a:pt x="1274064" y="2273808"/>
                </a:lnTo>
                <a:lnTo>
                  <a:pt x="2331720" y="2273808"/>
                </a:lnTo>
                <a:lnTo>
                  <a:pt x="2331720" y="2069592"/>
                </a:lnTo>
                <a:close/>
              </a:path>
              <a:path w="4453255" h="3101340">
                <a:moveTo>
                  <a:pt x="2331720" y="1862328"/>
                </a:moveTo>
                <a:lnTo>
                  <a:pt x="1274064" y="1862328"/>
                </a:lnTo>
                <a:lnTo>
                  <a:pt x="1274064" y="2066544"/>
                </a:lnTo>
                <a:lnTo>
                  <a:pt x="2331720" y="2066544"/>
                </a:lnTo>
                <a:lnTo>
                  <a:pt x="2331720" y="1862328"/>
                </a:lnTo>
                <a:close/>
              </a:path>
              <a:path w="4453255" h="3101340">
                <a:moveTo>
                  <a:pt x="2331720" y="1656588"/>
                </a:moveTo>
                <a:lnTo>
                  <a:pt x="1274064" y="1656588"/>
                </a:lnTo>
                <a:lnTo>
                  <a:pt x="1274064" y="1859280"/>
                </a:lnTo>
                <a:lnTo>
                  <a:pt x="2331720" y="1859280"/>
                </a:lnTo>
                <a:lnTo>
                  <a:pt x="2331720" y="1656588"/>
                </a:lnTo>
                <a:close/>
              </a:path>
              <a:path w="4453255" h="3101340">
                <a:moveTo>
                  <a:pt x="2331720" y="1449324"/>
                </a:moveTo>
                <a:lnTo>
                  <a:pt x="1274064" y="1449324"/>
                </a:lnTo>
                <a:lnTo>
                  <a:pt x="1274064" y="1653540"/>
                </a:lnTo>
                <a:lnTo>
                  <a:pt x="2331720" y="1653540"/>
                </a:lnTo>
                <a:lnTo>
                  <a:pt x="2331720" y="1449324"/>
                </a:lnTo>
                <a:close/>
              </a:path>
              <a:path w="4453255" h="3101340">
                <a:moveTo>
                  <a:pt x="2331720" y="1242060"/>
                </a:moveTo>
                <a:lnTo>
                  <a:pt x="1274064" y="1242060"/>
                </a:lnTo>
                <a:lnTo>
                  <a:pt x="1274064" y="1446276"/>
                </a:lnTo>
                <a:lnTo>
                  <a:pt x="2331720" y="1446276"/>
                </a:lnTo>
                <a:lnTo>
                  <a:pt x="2331720" y="1242060"/>
                </a:lnTo>
                <a:close/>
              </a:path>
              <a:path w="4453255" h="3101340">
                <a:moveTo>
                  <a:pt x="2331720" y="1034796"/>
                </a:moveTo>
                <a:lnTo>
                  <a:pt x="1274064" y="1034796"/>
                </a:lnTo>
                <a:lnTo>
                  <a:pt x="1274064" y="1239012"/>
                </a:lnTo>
                <a:lnTo>
                  <a:pt x="2331720" y="1239012"/>
                </a:lnTo>
                <a:lnTo>
                  <a:pt x="2331720" y="1034796"/>
                </a:lnTo>
                <a:close/>
              </a:path>
              <a:path w="4453255" h="3101340">
                <a:moveTo>
                  <a:pt x="2331720" y="827532"/>
                </a:moveTo>
                <a:lnTo>
                  <a:pt x="1274064" y="827532"/>
                </a:lnTo>
                <a:lnTo>
                  <a:pt x="1274064" y="1031748"/>
                </a:lnTo>
                <a:lnTo>
                  <a:pt x="2331720" y="1031748"/>
                </a:lnTo>
                <a:lnTo>
                  <a:pt x="2331720" y="827532"/>
                </a:lnTo>
                <a:close/>
              </a:path>
              <a:path w="4453255" h="3101340">
                <a:moveTo>
                  <a:pt x="2331720" y="620268"/>
                </a:moveTo>
                <a:lnTo>
                  <a:pt x="1274064" y="620268"/>
                </a:lnTo>
                <a:lnTo>
                  <a:pt x="1274064" y="824484"/>
                </a:lnTo>
                <a:lnTo>
                  <a:pt x="2331720" y="824484"/>
                </a:lnTo>
                <a:lnTo>
                  <a:pt x="2331720" y="620268"/>
                </a:lnTo>
                <a:close/>
              </a:path>
              <a:path w="4453255" h="3101340">
                <a:moveTo>
                  <a:pt x="2331720" y="414528"/>
                </a:moveTo>
                <a:lnTo>
                  <a:pt x="1274064" y="414528"/>
                </a:lnTo>
                <a:lnTo>
                  <a:pt x="1274064" y="617220"/>
                </a:lnTo>
                <a:lnTo>
                  <a:pt x="2331720" y="617220"/>
                </a:lnTo>
                <a:lnTo>
                  <a:pt x="2331720" y="414528"/>
                </a:lnTo>
                <a:close/>
              </a:path>
              <a:path w="4453255" h="3101340">
                <a:moveTo>
                  <a:pt x="2331720" y="207264"/>
                </a:moveTo>
                <a:lnTo>
                  <a:pt x="1274064" y="207264"/>
                </a:lnTo>
                <a:lnTo>
                  <a:pt x="1274064" y="411480"/>
                </a:lnTo>
                <a:lnTo>
                  <a:pt x="2331720" y="411480"/>
                </a:lnTo>
                <a:lnTo>
                  <a:pt x="2331720" y="207264"/>
                </a:lnTo>
                <a:close/>
              </a:path>
              <a:path w="4453255" h="3101340">
                <a:moveTo>
                  <a:pt x="2331720" y="0"/>
                </a:moveTo>
                <a:lnTo>
                  <a:pt x="1274064" y="0"/>
                </a:lnTo>
                <a:lnTo>
                  <a:pt x="1274064" y="204216"/>
                </a:lnTo>
                <a:lnTo>
                  <a:pt x="2331720" y="204216"/>
                </a:lnTo>
                <a:lnTo>
                  <a:pt x="2331720" y="0"/>
                </a:lnTo>
                <a:close/>
              </a:path>
              <a:path w="4453255" h="3101340">
                <a:moveTo>
                  <a:pt x="3392424" y="2689860"/>
                </a:moveTo>
                <a:lnTo>
                  <a:pt x="2334768" y="2689860"/>
                </a:lnTo>
                <a:lnTo>
                  <a:pt x="2334768" y="2894076"/>
                </a:lnTo>
                <a:lnTo>
                  <a:pt x="3392424" y="2894076"/>
                </a:lnTo>
                <a:lnTo>
                  <a:pt x="3392424" y="2689860"/>
                </a:lnTo>
                <a:close/>
              </a:path>
              <a:path w="4453255" h="3101340">
                <a:moveTo>
                  <a:pt x="3392424" y="2484120"/>
                </a:moveTo>
                <a:lnTo>
                  <a:pt x="2334768" y="2484120"/>
                </a:lnTo>
                <a:lnTo>
                  <a:pt x="2334768" y="2686812"/>
                </a:lnTo>
                <a:lnTo>
                  <a:pt x="3392424" y="2686812"/>
                </a:lnTo>
                <a:lnTo>
                  <a:pt x="3392424" y="2484120"/>
                </a:lnTo>
                <a:close/>
              </a:path>
              <a:path w="4453255" h="3101340">
                <a:moveTo>
                  <a:pt x="3392424" y="2276856"/>
                </a:moveTo>
                <a:lnTo>
                  <a:pt x="2334768" y="2276856"/>
                </a:lnTo>
                <a:lnTo>
                  <a:pt x="2334768" y="2481072"/>
                </a:lnTo>
                <a:lnTo>
                  <a:pt x="3392424" y="2481072"/>
                </a:lnTo>
                <a:lnTo>
                  <a:pt x="3392424" y="2276856"/>
                </a:lnTo>
                <a:close/>
              </a:path>
              <a:path w="4453255" h="3101340">
                <a:moveTo>
                  <a:pt x="3392424" y="2069592"/>
                </a:moveTo>
                <a:lnTo>
                  <a:pt x="2334768" y="2069592"/>
                </a:lnTo>
                <a:lnTo>
                  <a:pt x="2334768" y="2273808"/>
                </a:lnTo>
                <a:lnTo>
                  <a:pt x="3392424" y="2273808"/>
                </a:lnTo>
                <a:lnTo>
                  <a:pt x="3392424" y="2069592"/>
                </a:lnTo>
                <a:close/>
              </a:path>
              <a:path w="4453255" h="3101340">
                <a:moveTo>
                  <a:pt x="3392424" y="1862328"/>
                </a:moveTo>
                <a:lnTo>
                  <a:pt x="2334768" y="1862328"/>
                </a:lnTo>
                <a:lnTo>
                  <a:pt x="2334768" y="2066544"/>
                </a:lnTo>
                <a:lnTo>
                  <a:pt x="3392424" y="2066544"/>
                </a:lnTo>
                <a:lnTo>
                  <a:pt x="3392424" y="1862328"/>
                </a:lnTo>
                <a:close/>
              </a:path>
              <a:path w="4453255" h="3101340">
                <a:moveTo>
                  <a:pt x="3392424" y="1656588"/>
                </a:moveTo>
                <a:lnTo>
                  <a:pt x="2334768" y="1656588"/>
                </a:lnTo>
                <a:lnTo>
                  <a:pt x="2334768" y="1859280"/>
                </a:lnTo>
                <a:lnTo>
                  <a:pt x="3392424" y="1859280"/>
                </a:lnTo>
                <a:lnTo>
                  <a:pt x="3392424" y="1656588"/>
                </a:lnTo>
                <a:close/>
              </a:path>
              <a:path w="4453255" h="3101340">
                <a:moveTo>
                  <a:pt x="3392424" y="1449324"/>
                </a:moveTo>
                <a:lnTo>
                  <a:pt x="2334768" y="1449324"/>
                </a:lnTo>
                <a:lnTo>
                  <a:pt x="2334768" y="1653540"/>
                </a:lnTo>
                <a:lnTo>
                  <a:pt x="3392424" y="1653540"/>
                </a:lnTo>
                <a:lnTo>
                  <a:pt x="3392424" y="1449324"/>
                </a:lnTo>
                <a:close/>
              </a:path>
              <a:path w="4453255" h="3101340">
                <a:moveTo>
                  <a:pt x="3392424" y="1242060"/>
                </a:moveTo>
                <a:lnTo>
                  <a:pt x="2334768" y="1242060"/>
                </a:lnTo>
                <a:lnTo>
                  <a:pt x="2334768" y="1446276"/>
                </a:lnTo>
                <a:lnTo>
                  <a:pt x="3392424" y="1446276"/>
                </a:lnTo>
                <a:lnTo>
                  <a:pt x="3392424" y="1242060"/>
                </a:lnTo>
                <a:close/>
              </a:path>
              <a:path w="4453255" h="3101340">
                <a:moveTo>
                  <a:pt x="3392424" y="1034796"/>
                </a:moveTo>
                <a:lnTo>
                  <a:pt x="2334768" y="1034796"/>
                </a:lnTo>
                <a:lnTo>
                  <a:pt x="2334768" y="1239012"/>
                </a:lnTo>
                <a:lnTo>
                  <a:pt x="3392424" y="1239012"/>
                </a:lnTo>
                <a:lnTo>
                  <a:pt x="3392424" y="1034796"/>
                </a:lnTo>
                <a:close/>
              </a:path>
              <a:path w="4453255" h="3101340">
                <a:moveTo>
                  <a:pt x="3392424" y="827532"/>
                </a:moveTo>
                <a:lnTo>
                  <a:pt x="2334768" y="827532"/>
                </a:lnTo>
                <a:lnTo>
                  <a:pt x="2334768" y="1031748"/>
                </a:lnTo>
                <a:lnTo>
                  <a:pt x="3392424" y="1031748"/>
                </a:lnTo>
                <a:lnTo>
                  <a:pt x="3392424" y="827532"/>
                </a:lnTo>
                <a:close/>
              </a:path>
              <a:path w="4453255" h="3101340">
                <a:moveTo>
                  <a:pt x="3392424" y="620268"/>
                </a:moveTo>
                <a:lnTo>
                  <a:pt x="2334768" y="620268"/>
                </a:lnTo>
                <a:lnTo>
                  <a:pt x="2334768" y="824484"/>
                </a:lnTo>
                <a:lnTo>
                  <a:pt x="3392424" y="824484"/>
                </a:lnTo>
                <a:lnTo>
                  <a:pt x="3392424" y="620268"/>
                </a:lnTo>
                <a:close/>
              </a:path>
              <a:path w="4453255" h="3101340">
                <a:moveTo>
                  <a:pt x="3392424" y="414528"/>
                </a:moveTo>
                <a:lnTo>
                  <a:pt x="2334768" y="414528"/>
                </a:lnTo>
                <a:lnTo>
                  <a:pt x="2334768" y="617220"/>
                </a:lnTo>
                <a:lnTo>
                  <a:pt x="3392424" y="617220"/>
                </a:lnTo>
                <a:lnTo>
                  <a:pt x="3392424" y="414528"/>
                </a:lnTo>
                <a:close/>
              </a:path>
              <a:path w="4453255" h="3101340">
                <a:moveTo>
                  <a:pt x="3392424" y="207264"/>
                </a:moveTo>
                <a:lnTo>
                  <a:pt x="2334768" y="207264"/>
                </a:lnTo>
                <a:lnTo>
                  <a:pt x="2334768" y="411480"/>
                </a:lnTo>
                <a:lnTo>
                  <a:pt x="3392424" y="411480"/>
                </a:lnTo>
                <a:lnTo>
                  <a:pt x="3392424" y="207264"/>
                </a:lnTo>
                <a:close/>
              </a:path>
              <a:path w="4453255" h="3101340">
                <a:moveTo>
                  <a:pt x="3392424" y="0"/>
                </a:moveTo>
                <a:lnTo>
                  <a:pt x="2334768" y="0"/>
                </a:lnTo>
                <a:lnTo>
                  <a:pt x="2334768" y="204216"/>
                </a:lnTo>
                <a:lnTo>
                  <a:pt x="3392424" y="204216"/>
                </a:lnTo>
                <a:lnTo>
                  <a:pt x="3392424" y="0"/>
                </a:lnTo>
                <a:close/>
              </a:path>
              <a:path w="4453255" h="3101340">
                <a:moveTo>
                  <a:pt x="4453128" y="2689860"/>
                </a:moveTo>
                <a:lnTo>
                  <a:pt x="3395472" y="2689860"/>
                </a:lnTo>
                <a:lnTo>
                  <a:pt x="3395472" y="2894076"/>
                </a:lnTo>
                <a:lnTo>
                  <a:pt x="4453128" y="2894076"/>
                </a:lnTo>
                <a:lnTo>
                  <a:pt x="4453128" y="2689860"/>
                </a:lnTo>
                <a:close/>
              </a:path>
              <a:path w="4453255" h="3101340">
                <a:moveTo>
                  <a:pt x="4453128" y="2484120"/>
                </a:moveTo>
                <a:lnTo>
                  <a:pt x="3395472" y="2484120"/>
                </a:lnTo>
                <a:lnTo>
                  <a:pt x="3395472" y="2686812"/>
                </a:lnTo>
                <a:lnTo>
                  <a:pt x="4453128" y="2686812"/>
                </a:lnTo>
                <a:lnTo>
                  <a:pt x="4453128" y="2484120"/>
                </a:lnTo>
                <a:close/>
              </a:path>
              <a:path w="4453255" h="3101340">
                <a:moveTo>
                  <a:pt x="4453128" y="2276856"/>
                </a:moveTo>
                <a:lnTo>
                  <a:pt x="3395472" y="2276856"/>
                </a:lnTo>
                <a:lnTo>
                  <a:pt x="3395472" y="2481072"/>
                </a:lnTo>
                <a:lnTo>
                  <a:pt x="4453128" y="2481072"/>
                </a:lnTo>
                <a:lnTo>
                  <a:pt x="4453128" y="2276856"/>
                </a:lnTo>
                <a:close/>
              </a:path>
              <a:path w="4453255" h="3101340">
                <a:moveTo>
                  <a:pt x="4453128" y="2069592"/>
                </a:moveTo>
                <a:lnTo>
                  <a:pt x="3395472" y="2069592"/>
                </a:lnTo>
                <a:lnTo>
                  <a:pt x="3395472" y="2273808"/>
                </a:lnTo>
                <a:lnTo>
                  <a:pt x="4453128" y="2273808"/>
                </a:lnTo>
                <a:lnTo>
                  <a:pt x="4453128" y="2069592"/>
                </a:lnTo>
                <a:close/>
              </a:path>
              <a:path w="4453255" h="3101340">
                <a:moveTo>
                  <a:pt x="4453128" y="1862328"/>
                </a:moveTo>
                <a:lnTo>
                  <a:pt x="3395472" y="1862328"/>
                </a:lnTo>
                <a:lnTo>
                  <a:pt x="3395472" y="2066544"/>
                </a:lnTo>
                <a:lnTo>
                  <a:pt x="4453128" y="2066544"/>
                </a:lnTo>
                <a:lnTo>
                  <a:pt x="4453128" y="1862328"/>
                </a:lnTo>
                <a:close/>
              </a:path>
              <a:path w="4453255" h="3101340">
                <a:moveTo>
                  <a:pt x="4453128" y="1656588"/>
                </a:moveTo>
                <a:lnTo>
                  <a:pt x="3395472" y="1656588"/>
                </a:lnTo>
                <a:lnTo>
                  <a:pt x="3395472" y="1859280"/>
                </a:lnTo>
                <a:lnTo>
                  <a:pt x="4453128" y="1859280"/>
                </a:lnTo>
                <a:lnTo>
                  <a:pt x="4453128" y="1656588"/>
                </a:lnTo>
                <a:close/>
              </a:path>
              <a:path w="4453255" h="3101340">
                <a:moveTo>
                  <a:pt x="4453128" y="1449324"/>
                </a:moveTo>
                <a:lnTo>
                  <a:pt x="3395472" y="1449324"/>
                </a:lnTo>
                <a:lnTo>
                  <a:pt x="3395472" y="1653540"/>
                </a:lnTo>
                <a:lnTo>
                  <a:pt x="4453128" y="1653540"/>
                </a:lnTo>
                <a:lnTo>
                  <a:pt x="4453128" y="1449324"/>
                </a:lnTo>
                <a:close/>
              </a:path>
              <a:path w="4453255" h="3101340">
                <a:moveTo>
                  <a:pt x="4453128" y="1242060"/>
                </a:moveTo>
                <a:lnTo>
                  <a:pt x="3395472" y="1242060"/>
                </a:lnTo>
                <a:lnTo>
                  <a:pt x="3395472" y="1446276"/>
                </a:lnTo>
                <a:lnTo>
                  <a:pt x="4453128" y="1446276"/>
                </a:lnTo>
                <a:lnTo>
                  <a:pt x="4453128" y="1242060"/>
                </a:lnTo>
                <a:close/>
              </a:path>
              <a:path w="4453255" h="3101340">
                <a:moveTo>
                  <a:pt x="4453128" y="1034796"/>
                </a:moveTo>
                <a:lnTo>
                  <a:pt x="3395472" y="1034796"/>
                </a:lnTo>
                <a:lnTo>
                  <a:pt x="3395472" y="1239012"/>
                </a:lnTo>
                <a:lnTo>
                  <a:pt x="4453128" y="1239012"/>
                </a:lnTo>
                <a:lnTo>
                  <a:pt x="4453128" y="1034796"/>
                </a:lnTo>
                <a:close/>
              </a:path>
              <a:path w="4453255" h="3101340">
                <a:moveTo>
                  <a:pt x="4453128" y="827532"/>
                </a:moveTo>
                <a:lnTo>
                  <a:pt x="3395472" y="827532"/>
                </a:lnTo>
                <a:lnTo>
                  <a:pt x="3395472" y="1031748"/>
                </a:lnTo>
                <a:lnTo>
                  <a:pt x="4453128" y="1031748"/>
                </a:lnTo>
                <a:lnTo>
                  <a:pt x="4453128" y="827532"/>
                </a:lnTo>
                <a:close/>
              </a:path>
              <a:path w="4453255" h="3101340">
                <a:moveTo>
                  <a:pt x="4453128" y="620268"/>
                </a:moveTo>
                <a:lnTo>
                  <a:pt x="3395472" y="620268"/>
                </a:lnTo>
                <a:lnTo>
                  <a:pt x="3395472" y="824484"/>
                </a:lnTo>
                <a:lnTo>
                  <a:pt x="4453128" y="824484"/>
                </a:lnTo>
                <a:lnTo>
                  <a:pt x="4453128" y="620268"/>
                </a:lnTo>
                <a:close/>
              </a:path>
              <a:path w="4453255" h="3101340">
                <a:moveTo>
                  <a:pt x="4453128" y="414528"/>
                </a:moveTo>
                <a:lnTo>
                  <a:pt x="3395472" y="414528"/>
                </a:lnTo>
                <a:lnTo>
                  <a:pt x="3395472" y="617220"/>
                </a:lnTo>
                <a:lnTo>
                  <a:pt x="4453128" y="617220"/>
                </a:lnTo>
                <a:lnTo>
                  <a:pt x="4453128" y="414528"/>
                </a:lnTo>
                <a:close/>
              </a:path>
              <a:path w="4453255" h="3101340">
                <a:moveTo>
                  <a:pt x="4453128" y="207264"/>
                </a:moveTo>
                <a:lnTo>
                  <a:pt x="3395472" y="207264"/>
                </a:lnTo>
                <a:lnTo>
                  <a:pt x="3395472" y="411480"/>
                </a:lnTo>
                <a:lnTo>
                  <a:pt x="4453128" y="411480"/>
                </a:lnTo>
                <a:lnTo>
                  <a:pt x="4453128" y="207264"/>
                </a:lnTo>
                <a:close/>
              </a:path>
              <a:path w="4453255" h="3101340">
                <a:moveTo>
                  <a:pt x="4453128" y="0"/>
                </a:moveTo>
                <a:lnTo>
                  <a:pt x="3395472" y="0"/>
                </a:lnTo>
                <a:lnTo>
                  <a:pt x="3395472" y="204216"/>
                </a:lnTo>
                <a:lnTo>
                  <a:pt x="4453128" y="204216"/>
                </a:lnTo>
                <a:lnTo>
                  <a:pt x="445312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D00-000070000000}"/>
              </a:ext>
            </a:extLst>
          </xdr:cNvPr>
          <xdr:cNvSpPr/>
        </xdr:nvSpPr>
        <xdr:spPr>
          <a:xfrm>
            <a:off x="0" y="0"/>
            <a:ext cx="5864860" cy="4136390"/>
          </a:xfrm>
          <a:custGeom>
            <a:avLst/>
            <a:gdLst/>
            <a:ahLst/>
            <a:cxnLst/>
            <a:rect l="0" t="0" r="0" b="0"/>
            <a:pathLst>
              <a:path w="5864860" h="4136390">
                <a:moveTo>
                  <a:pt x="1408176" y="0"/>
                </a:moveTo>
                <a:lnTo>
                  <a:pt x="0" y="0"/>
                </a:lnTo>
                <a:lnTo>
                  <a:pt x="0" y="4136136"/>
                </a:lnTo>
                <a:lnTo>
                  <a:pt x="1408176" y="4136136"/>
                </a:lnTo>
                <a:lnTo>
                  <a:pt x="1408176" y="0"/>
                </a:lnTo>
                <a:close/>
              </a:path>
              <a:path w="5864860" h="4136390">
                <a:moveTo>
                  <a:pt x="1970532" y="3931920"/>
                </a:moveTo>
                <a:lnTo>
                  <a:pt x="1411224" y="3931920"/>
                </a:lnTo>
                <a:lnTo>
                  <a:pt x="1411224" y="4136136"/>
                </a:lnTo>
                <a:lnTo>
                  <a:pt x="1970532" y="4136136"/>
                </a:lnTo>
                <a:lnTo>
                  <a:pt x="1970532" y="3931920"/>
                </a:lnTo>
                <a:close/>
              </a:path>
              <a:path w="5864860" h="4136390">
                <a:moveTo>
                  <a:pt x="1970532" y="3726180"/>
                </a:moveTo>
                <a:lnTo>
                  <a:pt x="1411224" y="3726180"/>
                </a:lnTo>
                <a:lnTo>
                  <a:pt x="1411224" y="3928872"/>
                </a:lnTo>
                <a:lnTo>
                  <a:pt x="1970532" y="3928872"/>
                </a:lnTo>
                <a:lnTo>
                  <a:pt x="1970532" y="3726180"/>
                </a:lnTo>
                <a:close/>
              </a:path>
              <a:path w="5864860" h="4136390">
                <a:moveTo>
                  <a:pt x="1970532" y="3518916"/>
                </a:moveTo>
                <a:lnTo>
                  <a:pt x="1411224" y="3518916"/>
                </a:lnTo>
                <a:lnTo>
                  <a:pt x="1411224" y="3721608"/>
                </a:lnTo>
                <a:lnTo>
                  <a:pt x="1970532" y="3721608"/>
                </a:lnTo>
                <a:lnTo>
                  <a:pt x="1970532" y="3518916"/>
                </a:lnTo>
                <a:close/>
              </a:path>
              <a:path w="5864860" h="4136390">
                <a:moveTo>
                  <a:pt x="1970532" y="3311652"/>
                </a:moveTo>
                <a:lnTo>
                  <a:pt x="1411224" y="3311652"/>
                </a:lnTo>
                <a:lnTo>
                  <a:pt x="1411224" y="3515868"/>
                </a:lnTo>
                <a:lnTo>
                  <a:pt x="1970532" y="3515868"/>
                </a:lnTo>
                <a:lnTo>
                  <a:pt x="1970532" y="3311652"/>
                </a:lnTo>
                <a:close/>
              </a:path>
              <a:path w="5864860" h="4136390">
                <a:moveTo>
                  <a:pt x="1970532" y="3104388"/>
                </a:moveTo>
                <a:lnTo>
                  <a:pt x="1411224" y="3104388"/>
                </a:lnTo>
                <a:lnTo>
                  <a:pt x="1411224" y="3308604"/>
                </a:lnTo>
                <a:lnTo>
                  <a:pt x="1970532" y="3308604"/>
                </a:lnTo>
                <a:lnTo>
                  <a:pt x="1970532" y="3104388"/>
                </a:lnTo>
                <a:close/>
              </a:path>
              <a:path w="5864860" h="4136390">
                <a:moveTo>
                  <a:pt x="1970532" y="2897124"/>
                </a:moveTo>
                <a:lnTo>
                  <a:pt x="1411224" y="2897124"/>
                </a:lnTo>
                <a:lnTo>
                  <a:pt x="1411224" y="3101340"/>
                </a:lnTo>
                <a:lnTo>
                  <a:pt x="1970532" y="3101340"/>
                </a:lnTo>
                <a:lnTo>
                  <a:pt x="1970532" y="2897124"/>
                </a:lnTo>
                <a:close/>
              </a:path>
              <a:path w="5864860" h="4136390">
                <a:moveTo>
                  <a:pt x="2682240" y="3931920"/>
                </a:moveTo>
                <a:lnTo>
                  <a:pt x="1973580" y="3931920"/>
                </a:lnTo>
                <a:lnTo>
                  <a:pt x="1973580" y="4136136"/>
                </a:lnTo>
                <a:lnTo>
                  <a:pt x="2682240" y="4136136"/>
                </a:lnTo>
                <a:lnTo>
                  <a:pt x="2682240" y="3931920"/>
                </a:lnTo>
                <a:close/>
              </a:path>
              <a:path w="5864860" h="4136390">
                <a:moveTo>
                  <a:pt x="2682240" y="3726180"/>
                </a:moveTo>
                <a:lnTo>
                  <a:pt x="1973580" y="3726180"/>
                </a:lnTo>
                <a:lnTo>
                  <a:pt x="1973580" y="3928872"/>
                </a:lnTo>
                <a:lnTo>
                  <a:pt x="2682240" y="3928872"/>
                </a:lnTo>
                <a:lnTo>
                  <a:pt x="2682240" y="3726180"/>
                </a:lnTo>
                <a:close/>
              </a:path>
              <a:path w="5864860" h="4136390">
                <a:moveTo>
                  <a:pt x="2682240" y="3518916"/>
                </a:moveTo>
                <a:lnTo>
                  <a:pt x="1973580" y="3518916"/>
                </a:lnTo>
                <a:lnTo>
                  <a:pt x="1973580" y="3721608"/>
                </a:lnTo>
                <a:lnTo>
                  <a:pt x="2682240" y="3721608"/>
                </a:lnTo>
                <a:lnTo>
                  <a:pt x="2682240" y="3518916"/>
                </a:lnTo>
                <a:close/>
              </a:path>
              <a:path w="5864860" h="4136390">
                <a:moveTo>
                  <a:pt x="2682240" y="3311652"/>
                </a:moveTo>
                <a:lnTo>
                  <a:pt x="1973580" y="3311652"/>
                </a:lnTo>
                <a:lnTo>
                  <a:pt x="1973580" y="3515868"/>
                </a:lnTo>
                <a:lnTo>
                  <a:pt x="2682240" y="3515868"/>
                </a:lnTo>
                <a:lnTo>
                  <a:pt x="2682240" y="3311652"/>
                </a:lnTo>
                <a:close/>
              </a:path>
              <a:path w="5864860" h="4136390">
                <a:moveTo>
                  <a:pt x="2682240" y="3104388"/>
                </a:moveTo>
                <a:lnTo>
                  <a:pt x="1973580" y="3104388"/>
                </a:lnTo>
                <a:lnTo>
                  <a:pt x="1973580" y="3308604"/>
                </a:lnTo>
                <a:lnTo>
                  <a:pt x="2682240" y="3308604"/>
                </a:lnTo>
                <a:lnTo>
                  <a:pt x="2682240" y="3104388"/>
                </a:lnTo>
                <a:close/>
              </a:path>
              <a:path w="5864860" h="4136390">
                <a:moveTo>
                  <a:pt x="2682240" y="2897124"/>
                </a:moveTo>
                <a:lnTo>
                  <a:pt x="1973580" y="2897124"/>
                </a:lnTo>
                <a:lnTo>
                  <a:pt x="1973580" y="3101340"/>
                </a:lnTo>
                <a:lnTo>
                  <a:pt x="2682240" y="3101340"/>
                </a:lnTo>
                <a:lnTo>
                  <a:pt x="2682240" y="2897124"/>
                </a:lnTo>
                <a:close/>
              </a:path>
              <a:path w="5864860" h="4136390">
                <a:moveTo>
                  <a:pt x="3742944" y="3931920"/>
                </a:moveTo>
                <a:lnTo>
                  <a:pt x="2685288" y="3931920"/>
                </a:lnTo>
                <a:lnTo>
                  <a:pt x="2685288" y="4136136"/>
                </a:lnTo>
                <a:lnTo>
                  <a:pt x="3742944" y="4136136"/>
                </a:lnTo>
                <a:lnTo>
                  <a:pt x="3742944" y="3931920"/>
                </a:lnTo>
                <a:close/>
              </a:path>
              <a:path w="5864860" h="4136390">
                <a:moveTo>
                  <a:pt x="3742944" y="3726180"/>
                </a:moveTo>
                <a:lnTo>
                  <a:pt x="2685288" y="3726180"/>
                </a:lnTo>
                <a:lnTo>
                  <a:pt x="2685288" y="3928872"/>
                </a:lnTo>
                <a:lnTo>
                  <a:pt x="3742944" y="3928872"/>
                </a:lnTo>
                <a:lnTo>
                  <a:pt x="3742944" y="3726180"/>
                </a:lnTo>
                <a:close/>
              </a:path>
              <a:path w="5864860" h="4136390">
                <a:moveTo>
                  <a:pt x="3742944" y="3518916"/>
                </a:moveTo>
                <a:lnTo>
                  <a:pt x="2685288" y="3518916"/>
                </a:lnTo>
                <a:lnTo>
                  <a:pt x="2685288" y="3721608"/>
                </a:lnTo>
                <a:lnTo>
                  <a:pt x="3742944" y="3721608"/>
                </a:lnTo>
                <a:lnTo>
                  <a:pt x="3742944" y="3518916"/>
                </a:lnTo>
                <a:close/>
              </a:path>
              <a:path w="5864860" h="4136390">
                <a:moveTo>
                  <a:pt x="3742944" y="3311652"/>
                </a:moveTo>
                <a:lnTo>
                  <a:pt x="2685288" y="3311652"/>
                </a:lnTo>
                <a:lnTo>
                  <a:pt x="2685288" y="3515868"/>
                </a:lnTo>
                <a:lnTo>
                  <a:pt x="3742944" y="3515868"/>
                </a:lnTo>
                <a:lnTo>
                  <a:pt x="3742944" y="3311652"/>
                </a:lnTo>
                <a:close/>
              </a:path>
              <a:path w="5864860" h="4136390">
                <a:moveTo>
                  <a:pt x="3742944" y="3104388"/>
                </a:moveTo>
                <a:lnTo>
                  <a:pt x="2685288" y="3104388"/>
                </a:lnTo>
                <a:lnTo>
                  <a:pt x="2685288" y="3308604"/>
                </a:lnTo>
                <a:lnTo>
                  <a:pt x="3742944" y="3308604"/>
                </a:lnTo>
                <a:lnTo>
                  <a:pt x="3742944" y="3104388"/>
                </a:lnTo>
                <a:close/>
              </a:path>
              <a:path w="5864860" h="4136390">
                <a:moveTo>
                  <a:pt x="3742944" y="2897124"/>
                </a:moveTo>
                <a:lnTo>
                  <a:pt x="2685288" y="2897124"/>
                </a:lnTo>
                <a:lnTo>
                  <a:pt x="2685288" y="3101340"/>
                </a:lnTo>
                <a:lnTo>
                  <a:pt x="3742944" y="3101340"/>
                </a:lnTo>
                <a:lnTo>
                  <a:pt x="3742944" y="2897124"/>
                </a:lnTo>
                <a:close/>
              </a:path>
              <a:path w="5864860" h="4136390">
                <a:moveTo>
                  <a:pt x="4803648" y="3931920"/>
                </a:moveTo>
                <a:lnTo>
                  <a:pt x="3745992" y="3931920"/>
                </a:lnTo>
                <a:lnTo>
                  <a:pt x="3745992" y="4136136"/>
                </a:lnTo>
                <a:lnTo>
                  <a:pt x="4803648" y="4136136"/>
                </a:lnTo>
                <a:lnTo>
                  <a:pt x="4803648" y="3931920"/>
                </a:lnTo>
                <a:close/>
              </a:path>
              <a:path w="5864860" h="4136390">
                <a:moveTo>
                  <a:pt x="4803648" y="3726180"/>
                </a:moveTo>
                <a:lnTo>
                  <a:pt x="3745992" y="3726180"/>
                </a:lnTo>
                <a:lnTo>
                  <a:pt x="3745992" y="3928872"/>
                </a:lnTo>
                <a:lnTo>
                  <a:pt x="4803648" y="3928872"/>
                </a:lnTo>
                <a:lnTo>
                  <a:pt x="4803648" y="3726180"/>
                </a:lnTo>
                <a:close/>
              </a:path>
              <a:path w="5864860" h="4136390">
                <a:moveTo>
                  <a:pt x="4803648" y="3518916"/>
                </a:moveTo>
                <a:lnTo>
                  <a:pt x="3745992" y="3518916"/>
                </a:lnTo>
                <a:lnTo>
                  <a:pt x="3745992" y="3721608"/>
                </a:lnTo>
                <a:lnTo>
                  <a:pt x="4803648" y="3721608"/>
                </a:lnTo>
                <a:lnTo>
                  <a:pt x="4803648" y="3518916"/>
                </a:lnTo>
                <a:close/>
              </a:path>
              <a:path w="5864860" h="4136390">
                <a:moveTo>
                  <a:pt x="4803648" y="3311652"/>
                </a:moveTo>
                <a:lnTo>
                  <a:pt x="3745992" y="3311652"/>
                </a:lnTo>
                <a:lnTo>
                  <a:pt x="3745992" y="3515868"/>
                </a:lnTo>
                <a:lnTo>
                  <a:pt x="4803648" y="3515868"/>
                </a:lnTo>
                <a:lnTo>
                  <a:pt x="4803648" y="3311652"/>
                </a:lnTo>
                <a:close/>
              </a:path>
              <a:path w="5864860" h="4136390">
                <a:moveTo>
                  <a:pt x="4803648" y="3104388"/>
                </a:moveTo>
                <a:lnTo>
                  <a:pt x="3745992" y="3104388"/>
                </a:lnTo>
                <a:lnTo>
                  <a:pt x="3745992" y="3308604"/>
                </a:lnTo>
                <a:lnTo>
                  <a:pt x="4803648" y="3308604"/>
                </a:lnTo>
                <a:lnTo>
                  <a:pt x="4803648" y="3104388"/>
                </a:lnTo>
                <a:close/>
              </a:path>
              <a:path w="5864860" h="4136390">
                <a:moveTo>
                  <a:pt x="4803648" y="2897124"/>
                </a:moveTo>
                <a:lnTo>
                  <a:pt x="3745992" y="2897124"/>
                </a:lnTo>
                <a:lnTo>
                  <a:pt x="3745992" y="3101340"/>
                </a:lnTo>
                <a:lnTo>
                  <a:pt x="4803648" y="3101340"/>
                </a:lnTo>
                <a:lnTo>
                  <a:pt x="4803648" y="2897124"/>
                </a:lnTo>
                <a:close/>
              </a:path>
              <a:path w="5864860" h="4136390">
                <a:moveTo>
                  <a:pt x="5864352" y="3931920"/>
                </a:moveTo>
                <a:lnTo>
                  <a:pt x="4806696" y="3931920"/>
                </a:lnTo>
                <a:lnTo>
                  <a:pt x="4806696" y="4136136"/>
                </a:lnTo>
                <a:lnTo>
                  <a:pt x="5864352" y="4136136"/>
                </a:lnTo>
                <a:lnTo>
                  <a:pt x="5864352" y="3931920"/>
                </a:lnTo>
                <a:close/>
              </a:path>
              <a:path w="5864860" h="4136390">
                <a:moveTo>
                  <a:pt x="5864352" y="3726180"/>
                </a:moveTo>
                <a:lnTo>
                  <a:pt x="4806696" y="3726180"/>
                </a:lnTo>
                <a:lnTo>
                  <a:pt x="4806696" y="3928872"/>
                </a:lnTo>
                <a:lnTo>
                  <a:pt x="5864352" y="3928872"/>
                </a:lnTo>
                <a:lnTo>
                  <a:pt x="5864352" y="3726180"/>
                </a:lnTo>
                <a:close/>
              </a:path>
              <a:path w="5864860" h="4136390">
                <a:moveTo>
                  <a:pt x="5864352" y="3518916"/>
                </a:moveTo>
                <a:lnTo>
                  <a:pt x="4806696" y="3518916"/>
                </a:lnTo>
                <a:lnTo>
                  <a:pt x="4806696" y="3721608"/>
                </a:lnTo>
                <a:lnTo>
                  <a:pt x="5864352" y="3721608"/>
                </a:lnTo>
                <a:lnTo>
                  <a:pt x="5864352" y="3518916"/>
                </a:lnTo>
                <a:close/>
              </a:path>
              <a:path w="5864860" h="4136390">
                <a:moveTo>
                  <a:pt x="5864352" y="3311652"/>
                </a:moveTo>
                <a:lnTo>
                  <a:pt x="4806696" y="3311652"/>
                </a:lnTo>
                <a:lnTo>
                  <a:pt x="4806696" y="3515868"/>
                </a:lnTo>
                <a:lnTo>
                  <a:pt x="5864352" y="3515868"/>
                </a:lnTo>
                <a:lnTo>
                  <a:pt x="5864352" y="3311652"/>
                </a:lnTo>
                <a:close/>
              </a:path>
              <a:path w="5864860" h="4136390">
                <a:moveTo>
                  <a:pt x="5864352" y="3104388"/>
                </a:moveTo>
                <a:lnTo>
                  <a:pt x="4806696" y="3104388"/>
                </a:lnTo>
                <a:lnTo>
                  <a:pt x="4806696" y="3308604"/>
                </a:lnTo>
                <a:lnTo>
                  <a:pt x="5864352" y="3308604"/>
                </a:lnTo>
                <a:lnTo>
                  <a:pt x="5864352" y="3104388"/>
                </a:lnTo>
                <a:close/>
              </a:path>
              <a:path w="5864860" h="4136390">
                <a:moveTo>
                  <a:pt x="5864352" y="2897124"/>
                </a:moveTo>
                <a:lnTo>
                  <a:pt x="4806696" y="2897124"/>
                </a:lnTo>
                <a:lnTo>
                  <a:pt x="4806696" y="3101340"/>
                </a:lnTo>
                <a:lnTo>
                  <a:pt x="5864352" y="3101340"/>
                </a:lnTo>
                <a:lnTo>
                  <a:pt x="5864352" y="289712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535051</xdr:colOff>
      <xdr:row>26</xdr:row>
      <xdr:rowOff>0</xdr:rowOff>
    </xdr:from>
    <xdr:ext cx="708660" cy="4136390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SpPr/>
      </xdr:nvSpPr>
      <xdr:spPr>
        <a:xfrm>
          <a:off x="0" y="0"/>
          <a:ext cx="708660" cy="4136390"/>
        </a:xfrm>
        <a:custGeom>
          <a:avLst/>
          <a:gdLst/>
          <a:ahLst/>
          <a:cxnLst/>
          <a:rect l="0" t="0" r="0" b="0"/>
          <a:pathLst>
            <a:path w="708660" h="4136390">
              <a:moveTo>
                <a:pt x="708660" y="3931920"/>
              </a:moveTo>
              <a:lnTo>
                <a:pt x="0" y="3931920"/>
              </a:lnTo>
              <a:lnTo>
                <a:pt x="0" y="4136136"/>
              </a:lnTo>
              <a:lnTo>
                <a:pt x="708660" y="4136136"/>
              </a:lnTo>
              <a:lnTo>
                <a:pt x="708660" y="3931920"/>
              </a:lnTo>
              <a:close/>
            </a:path>
            <a:path w="708660" h="4136390">
              <a:moveTo>
                <a:pt x="708660" y="3726180"/>
              </a:moveTo>
              <a:lnTo>
                <a:pt x="0" y="3726180"/>
              </a:lnTo>
              <a:lnTo>
                <a:pt x="0" y="3928872"/>
              </a:lnTo>
              <a:lnTo>
                <a:pt x="708660" y="3928872"/>
              </a:lnTo>
              <a:lnTo>
                <a:pt x="708660" y="3726180"/>
              </a:lnTo>
              <a:close/>
            </a:path>
            <a:path w="708660" h="4136390">
              <a:moveTo>
                <a:pt x="708660" y="3518916"/>
              </a:moveTo>
              <a:lnTo>
                <a:pt x="0" y="3518916"/>
              </a:lnTo>
              <a:lnTo>
                <a:pt x="0" y="3721608"/>
              </a:lnTo>
              <a:lnTo>
                <a:pt x="708660" y="3721608"/>
              </a:lnTo>
              <a:lnTo>
                <a:pt x="708660" y="3518916"/>
              </a:lnTo>
              <a:close/>
            </a:path>
            <a:path w="708660" h="4136390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4136390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4136390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413639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413639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413639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413639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413639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413639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413639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413639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413639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413639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413639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413639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413639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413639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22</xdr:row>
      <xdr:rowOff>205739</xdr:rowOff>
    </xdr:from>
    <xdr:ext cx="3179445" cy="37528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E00-000072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115" name="image1.jpeg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116" name="image2.jpeg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117" name="image3.jpeg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24</xdr:row>
      <xdr:rowOff>0</xdr:rowOff>
    </xdr:from>
    <xdr:ext cx="7275830" cy="3929379"/>
    <xdr:grpSp>
      <xdr:nvGrpSpPr>
        <xdr:cNvPr id="118" name="Group 118">
          <a:extLst>
            <a:ext uri="{FF2B5EF4-FFF2-40B4-BE49-F238E27FC236}">
              <a16:creationId xmlns:a16="http://schemas.microsoft.com/office/drawing/2014/main" id="{00000000-0008-0000-0E00-000076000000}"/>
            </a:ext>
          </a:extLst>
        </xdr:cNvPr>
        <xdr:cNvGrpSpPr/>
      </xdr:nvGrpSpPr>
      <xdr:grpSpPr>
        <a:xfrm>
          <a:off x="617854" y="5836920"/>
          <a:ext cx="7275830" cy="3929379"/>
          <a:chOff x="0" y="0"/>
          <a:chExt cx="7275830" cy="3929379"/>
        </a:xfrm>
      </xdr:grpSpPr>
      <xdr:sp macro="" textlink="">
        <xdr:nvSpPr>
          <xdr:cNvPr id="119" name="Shape 119">
            <a:extLst>
              <a:ext uri="{FF2B5EF4-FFF2-40B4-BE49-F238E27FC236}">
                <a16:creationId xmlns:a16="http://schemas.microsoft.com/office/drawing/2014/main" id="{00000000-0008-0000-0E00-000077000000}"/>
              </a:ext>
            </a:extLst>
          </xdr:cNvPr>
          <xdr:cNvSpPr/>
        </xdr:nvSpPr>
        <xdr:spPr>
          <a:xfrm>
            <a:off x="0" y="0"/>
            <a:ext cx="7275830" cy="2894330"/>
          </a:xfrm>
          <a:custGeom>
            <a:avLst/>
            <a:gdLst/>
            <a:ahLst/>
            <a:cxnLst/>
            <a:rect l="0" t="0" r="0" b="0"/>
            <a:pathLst>
              <a:path w="7275830" h="2894330">
                <a:moveTo>
                  <a:pt x="347472" y="0"/>
                </a:moveTo>
                <a:lnTo>
                  <a:pt x="0" y="0"/>
                </a:lnTo>
                <a:lnTo>
                  <a:pt x="0" y="617220"/>
                </a:lnTo>
                <a:lnTo>
                  <a:pt x="347472" y="617220"/>
                </a:lnTo>
                <a:lnTo>
                  <a:pt x="347472" y="0"/>
                </a:lnTo>
                <a:close/>
              </a:path>
              <a:path w="7275830" h="2894330">
                <a:moveTo>
                  <a:pt x="1408176" y="0"/>
                </a:moveTo>
                <a:lnTo>
                  <a:pt x="350520" y="0"/>
                </a:lnTo>
                <a:lnTo>
                  <a:pt x="350520" y="617220"/>
                </a:lnTo>
                <a:lnTo>
                  <a:pt x="1408176" y="617220"/>
                </a:lnTo>
                <a:lnTo>
                  <a:pt x="1408176" y="0"/>
                </a:lnTo>
                <a:close/>
              </a:path>
              <a:path w="7275830" h="2894330">
                <a:moveTo>
                  <a:pt x="2819400" y="620268"/>
                </a:moveTo>
                <a:lnTo>
                  <a:pt x="1411224" y="620268"/>
                </a:lnTo>
                <a:lnTo>
                  <a:pt x="1411224" y="2686812"/>
                </a:lnTo>
                <a:lnTo>
                  <a:pt x="2819400" y="2686812"/>
                </a:lnTo>
                <a:lnTo>
                  <a:pt x="2819400" y="620268"/>
                </a:lnTo>
                <a:close/>
              </a:path>
              <a:path w="7275830" h="2894330">
                <a:moveTo>
                  <a:pt x="2819400" y="0"/>
                </a:moveTo>
                <a:lnTo>
                  <a:pt x="1411224" y="0"/>
                </a:lnTo>
                <a:lnTo>
                  <a:pt x="1411224" y="617220"/>
                </a:lnTo>
                <a:lnTo>
                  <a:pt x="2819400" y="617220"/>
                </a:lnTo>
                <a:lnTo>
                  <a:pt x="2819400" y="0"/>
                </a:lnTo>
                <a:close/>
              </a:path>
              <a:path w="7275830" h="2894330">
                <a:moveTo>
                  <a:pt x="3381756" y="2689860"/>
                </a:moveTo>
                <a:lnTo>
                  <a:pt x="2822448" y="2689860"/>
                </a:lnTo>
                <a:lnTo>
                  <a:pt x="2822448" y="2894076"/>
                </a:lnTo>
                <a:lnTo>
                  <a:pt x="3381756" y="2894076"/>
                </a:lnTo>
                <a:lnTo>
                  <a:pt x="3381756" y="2689860"/>
                </a:lnTo>
                <a:close/>
              </a:path>
              <a:path w="7275830" h="289433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89433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89433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89433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89433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89433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89433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89433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89433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89433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89433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89433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89433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894330">
                <a:moveTo>
                  <a:pt x="4093464" y="2689860"/>
                </a:moveTo>
                <a:lnTo>
                  <a:pt x="3384804" y="2689860"/>
                </a:lnTo>
                <a:lnTo>
                  <a:pt x="3384804" y="2894076"/>
                </a:lnTo>
                <a:lnTo>
                  <a:pt x="4093464" y="2894076"/>
                </a:lnTo>
                <a:lnTo>
                  <a:pt x="4093464" y="2689860"/>
                </a:lnTo>
                <a:close/>
              </a:path>
              <a:path w="7275830" h="2894330">
                <a:moveTo>
                  <a:pt x="4093464" y="2484120"/>
                </a:moveTo>
                <a:lnTo>
                  <a:pt x="3384804" y="2484120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4120"/>
                </a:lnTo>
                <a:close/>
              </a:path>
              <a:path w="7275830" h="289433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89433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89433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89433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89433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89433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89433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89433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89433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89433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89433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89433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894330">
                <a:moveTo>
                  <a:pt x="5154168" y="2484120"/>
                </a:moveTo>
                <a:lnTo>
                  <a:pt x="4096512" y="2484120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4120"/>
                </a:lnTo>
                <a:close/>
              </a:path>
              <a:path w="7275830" h="289433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89433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89433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89433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89433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89433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89433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89433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89433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89433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89433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89433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894330">
                <a:moveTo>
                  <a:pt x="6214872" y="2484120"/>
                </a:moveTo>
                <a:lnTo>
                  <a:pt x="5157216" y="2484120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4120"/>
                </a:lnTo>
                <a:close/>
              </a:path>
              <a:path w="7275830" h="289433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89433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89433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89433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89433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89433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89433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89433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89433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89433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89433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89433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894330">
                <a:moveTo>
                  <a:pt x="7275576" y="2484120"/>
                </a:moveTo>
                <a:lnTo>
                  <a:pt x="6217920" y="2484120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4120"/>
                </a:lnTo>
                <a:close/>
              </a:path>
              <a:path w="7275830" h="289433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89433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89433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89433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89433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89433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89433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89433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89433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89433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89433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89433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E00-000078000000}"/>
              </a:ext>
            </a:extLst>
          </xdr:cNvPr>
          <xdr:cNvSpPr/>
        </xdr:nvSpPr>
        <xdr:spPr>
          <a:xfrm>
            <a:off x="0" y="620267"/>
            <a:ext cx="7275830" cy="3308985"/>
          </a:xfrm>
          <a:custGeom>
            <a:avLst/>
            <a:gdLst/>
            <a:ahLst/>
            <a:cxnLst/>
            <a:rect l="0" t="0" r="0" b="0"/>
            <a:pathLst>
              <a:path w="7275830" h="3308985">
                <a:moveTo>
                  <a:pt x="347472" y="0"/>
                </a:moveTo>
                <a:lnTo>
                  <a:pt x="0" y="0"/>
                </a:lnTo>
                <a:lnTo>
                  <a:pt x="0" y="3308604"/>
                </a:lnTo>
                <a:lnTo>
                  <a:pt x="347472" y="3308604"/>
                </a:lnTo>
                <a:lnTo>
                  <a:pt x="347472" y="0"/>
                </a:lnTo>
                <a:close/>
              </a:path>
              <a:path w="7275830" h="3308985">
                <a:moveTo>
                  <a:pt x="1408176" y="0"/>
                </a:moveTo>
                <a:lnTo>
                  <a:pt x="350520" y="0"/>
                </a:lnTo>
                <a:lnTo>
                  <a:pt x="350520" y="3308604"/>
                </a:lnTo>
                <a:lnTo>
                  <a:pt x="1408176" y="3308604"/>
                </a:lnTo>
                <a:lnTo>
                  <a:pt x="1408176" y="0"/>
                </a:lnTo>
                <a:close/>
              </a:path>
              <a:path w="7275830" h="3308985">
                <a:moveTo>
                  <a:pt x="2819400" y="2069592"/>
                </a:moveTo>
                <a:lnTo>
                  <a:pt x="1411224" y="2069592"/>
                </a:lnTo>
                <a:lnTo>
                  <a:pt x="1411224" y="3308604"/>
                </a:lnTo>
                <a:lnTo>
                  <a:pt x="2819400" y="3308604"/>
                </a:lnTo>
                <a:lnTo>
                  <a:pt x="2819400" y="2069592"/>
                </a:lnTo>
                <a:close/>
              </a:path>
              <a:path w="7275830" h="3308985">
                <a:moveTo>
                  <a:pt x="3381756" y="3105912"/>
                </a:moveTo>
                <a:lnTo>
                  <a:pt x="2822448" y="3105912"/>
                </a:lnTo>
                <a:lnTo>
                  <a:pt x="2822448" y="3308604"/>
                </a:lnTo>
                <a:lnTo>
                  <a:pt x="3381756" y="3308604"/>
                </a:lnTo>
                <a:lnTo>
                  <a:pt x="3381756" y="3105912"/>
                </a:lnTo>
                <a:close/>
              </a:path>
              <a:path w="7275830" h="3308985">
                <a:moveTo>
                  <a:pt x="3381756" y="2898648"/>
                </a:moveTo>
                <a:lnTo>
                  <a:pt x="2822448" y="2898648"/>
                </a:lnTo>
                <a:lnTo>
                  <a:pt x="2822448" y="3101340"/>
                </a:lnTo>
                <a:lnTo>
                  <a:pt x="3381756" y="3101340"/>
                </a:lnTo>
                <a:lnTo>
                  <a:pt x="3381756" y="2898648"/>
                </a:lnTo>
                <a:close/>
              </a:path>
              <a:path w="7275830" h="3308985">
                <a:moveTo>
                  <a:pt x="3381756" y="2691384"/>
                </a:moveTo>
                <a:lnTo>
                  <a:pt x="2822448" y="2691384"/>
                </a:lnTo>
                <a:lnTo>
                  <a:pt x="2822448" y="2895600"/>
                </a:lnTo>
                <a:lnTo>
                  <a:pt x="3381756" y="2895600"/>
                </a:lnTo>
                <a:lnTo>
                  <a:pt x="3381756" y="2691384"/>
                </a:lnTo>
                <a:close/>
              </a:path>
              <a:path w="7275830" h="3308985">
                <a:moveTo>
                  <a:pt x="3381756" y="2484120"/>
                </a:moveTo>
                <a:lnTo>
                  <a:pt x="2822448" y="2484120"/>
                </a:lnTo>
                <a:lnTo>
                  <a:pt x="2822448" y="2688336"/>
                </a:lnTo>
                <a:lnTo>
                  <a:pt x="3381756" y="2688336"/>
                </a:lnTo>
                <a:lnTo>
                  <a:pt x="3381756" y="2484120"/>
                </a:lnTo>
                <a:close/>
              </a:path>
              <a:path w="7275830" h="3308985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3308985">
                <a:moveTo>
                  <a:pt x="4093464" y="3105912"/>
                </a:moveTo>
                <a:lnTo>
                  <a:pt x="3384804" y="3105912"/>
                </a:lnTo>
                <a:lnTo>
                  <a:pt x="3384804" y="3308604"/>
                </a:lnTo>
                <a:lnTo>
                  <a:pt x="4093464" y="3308604"/>
                </a:lnTo>
                <a:lnTo>
                  <a:pt x="4093464" y="3105912"/>
                </a:lnTo>
                <a:close/>
              </a:path>
              <a:path w="7275830" h="3308985">
                <a:moveTo>
                  <a:pt x="4093464" y="2898648"/>
                </a:moveTo>
                <a:lnTo>
                  <a:pt x="3384804" y="2898648"/>
                </a:lnTo>
                <a:lnTo>
                  <a:pt x="3384804" y="3101340"/>
                </a:lnTo>
                <a:lnTo>
                  <a:pt x="4093464" y="3101340"/>
                </a:lnTo>
                <a:lnTo>
                  <a:pt x="4093464" y="2898648"/>
                </a:lnTo>
                <a:close/>
              </a:path>
              <a:path w="7275830" h="3308985">
                <a:moveTo>
                  <a:pt x="4093464" y="2691384"/>
                </a:moveTo>
                <a:lnTo>
                  <a:pt x="3384804" y="2691384"/>
                </a:lnTo>
                <a:lnTo>
                  <a:pt x="3384804" y="2895600"/>
                </a:lnTo>
                <a:lnTo>
                  <a:pt x="4093464" y="2895600"/>
                </a:lnTo>
                <a:lnTo>
                  <a:pt x="4093464" y="2691384"/>
                </a:lnTo>
                <a:close/>
              </a:path>
              <a:path w="7275830" h="3308985">
                <a:moveTo>
                  <a:pt x="4093464" y="2484120"/>
                </a:moveTo>
                <a:lnTo>
                  <a:pt x="3384804" y="2484120"/>
                </a:lnTo>
                <a:lnTo>
                  <a:pt x="3384804" y="2688336"/>
                </a:lnTo>
                <a:lnTo>
                  <a:pt x="4093464" y="2688336"/>
                </a:lnTo>
                <a:lnTo>
                  <a:pt x="4093464" y="2484120"/>
                </a:lnTo>
                <a:close/>
              </a:path>
              <a:path w="7275830" h="3308985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3308985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3308985">
                <a:moveTo>
                  <a:pt x="5154168" y="3105912"/>
                </a:moveTo>
                <a:lnTo>
                  <a:pt x="4096512" y="3105912"/>
                </a:lnTo>
                <a:lnTo>
                  <a:pt x="4096512" y="3308604"/>
                </a:lnTo>
                <a:lnTo>
                  <a:pt x="5154168" y="3308604"/>
                </a:lnTo>
                <a:lnTo>
                  <a:pt x="5154168" y="3105912"/>
                </a:lnTo>
                <a:close/>
              </a:path>
              <a:path w="7275830" h="3308985">
                <a:moveTo>
                  <a:pt x="5154168" y="2898648"/>
                </a:moveTo>
                <a:lnTo>
                  <a:pt x="4096512" y="2898648"/>
                </a:lnTo>
                <a:lnTo>
                  <a:pt x="4096512" y="3101340"/>
                </a:lnTo>
                <a:lnTo>
                  <a:pt x="5154168" y="3101340"/>
                </a:lnTo>
                <a:lnTo>
                  <a:pt x="5154168" y="2898648"/>
                </a:lnTo>
                <a:close/>
              </a:path>
              <a:path w="7275830" h="3308985">
                <a:moveTo>
                  <a:pt x="5154168" y="2691384"/>
                </a:moveTo>
                <a:lnTo>
                  <a:pt x="4096512" y="2691384"/>
                </a:lnTo>
                <a:lnTo>
                  <a:pt x="4096512" y="2895600"/>
                </a:lnTo>
                <a:lnTo>
                  <a:pt x="5154168" y="2895600"/>
                </a:lnTo>
                <a:lnTo>
                  <a:pt x="5154168" y="2691384"/>
                </a:lnTo>
                <a:close/>
              </a:path>
              <a:path w="7275830" h="3308985">
                <a:moveTo>
                  <a:pt x="5154168" y="2484120"/>
                </a:moveTo>
                <a:lnTo>
                  <a:pt x="4096512" y="2484120"/>
                </a:lnTo>
                <a:lnTo>
                  <a:pt x="4096512" y="2688336"/>
                </a:lnTo>
                <a:lnTo>
                  <a:pt x="5154168" y="2688336"/>
                </a:lnTo>
                <a:lnTo>
                  <a:pt x="5154168" y="2484120"/>
                </a:lnTo>
                <a:close/>
              </a:path>
              <a:path w="7275830" h="3308985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3308985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3308985">
                <a:moveTo>
                  <a:pt x="6214872" y="3105912"/>
                </a:moveTo>
                <a:lnTo>
                  <a:pt x="5157216" y="3105912"/>
                </a:lnTo>
                <a:lnTo>
                  <a:pt x="5157216" y="3308604"/>
                </a:lnTo>
                <a:lnTo>
                  <a:pt x="6214872" y="3308604"/>
                </a:lnTo>
                <a:lnTo>
                  <a:pt x="6214872" y="3105912"/>
                </a:lnTo>
                <a:close/>
              </a:path>
              <a:path w="7275830" h="3308985">
                <a:moveTo>
                  <a:pt x="6214872" y="2898648"/>
                </a:moveTo>
                <a:lnTo>
                  <a:pt x="5157216" y="2898648"/>
                </a:lnTo>
                <a:lnTo>
                  <a:pt x="5157216" y="3101340"/>
                </a:lnTo>
                <a:lnTo>
                  <a:pt x="6214872" y="3101340"/>
                </a:lnTo>
                <a:lnTo>
                  <a:pt x="6214872" y="2898648"/>
                </a:lnTo>
                <a:close/>
              </a:path>
              <a:path w="7275830" h="3308985">
                <a:moveTo>
                  <a:pt x="6214872" y="2691384"/>
                </a:moveTo>
                <a:lnTo>
                  <a:pt x="5157216" y="2691384"/>
                </a:lnTo>
                <a:lnTo>
                  <a:pt x="5157216" y="2895600"/>
                </a:lnTo>
                <a:lnTo>
                  <a:pt x="6214872" y="2895600"/>
                </a:lnTo>
                <a:lnTo>
                  <a:pt x="6214872" y="2691384"/>
                </a:lnTo>
                <a:close/>
              </a:path>
              <a:path w="7275830" h="3308985">
                <a:moveTo>
                  <a:pt x="6214872" y="2484120"/>
                </a:moveTo>
                <a:lnTo>
                  <a:pt x="5157216" y="2484120"/>
                </a:lnTo>
                <a:lnTo>
                  <a:pt x="5157216" y="2688336"/>
                </a:lnTo>
                <a:lnTo>
                  <a:pt x="6214872" y="2688336"/>
                </a:lnTo>
                <a:lnTo>
                  <a:pt x="6214872" y="2484120"/>
                </a:lnTo>
                <a:close/>
              </a:path>
              <a:path w="7275830" h="3308985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3308985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3308985">
                <a:moveTo>
                  <a:pt x="7275576" y="3105912"/>
                </a:moveTo>
                <a:lnTo>
                  <a:pt x="6217920" y="3105912"/>
                </a:lnTo>
                <a:lnTo>
                  <a:pt x="6217920" y="3308604"/>
                </a:lnTo>
                <a:lnTo>
                  <a:pt x="7275576" y="3308604"/>
                </a:lnTo>
                <a:lnTo>
                  <a:pt x="7275576" y="3105912"/>
                </a:lnTo>
                <a:close/>
              </a:path>
              <a:path w="7275830" h="3308985">
                <a:moveTo>
                  <a:pt x="7275576" y="2898648"/>
                </a:moveTo>
                <a:lnTo>
                  <a:pt x="6217920" y="2898648"/>
                </a:lnTo>
                <a:lnTo>
                  <a:pt x="6217920" y="3101340"/>
                </a:lnTo>
                <a:lnTo>
                  <a:pt x="7275576" y="3101340"/>
                </a:lnTo>
                <a:lnTo>
                  <a:pt x="7275576" y="2898648"/>
                </a:lnTo>
                <a:close/>
              </a:path>
              <a:path w="7275830" h="3308985">
                <a:moveTo>
                  <a:pt x="7275576" y="2691384"/>
                </a:moveTo>
                <a:lnTo>
                  <a:pt x="6217920" y="2691384"/>
                </a:lnTo>
                <a:lnTo>
                  <a:pt x="6217920" y="2895600"/>
                </a:lnTo>
                <a:lnTo>
                  <a:pt x="7275576" y="2895600"/>
                </a:lnTo>
                <a:lnTo>
                  <a:pt x="7275576" y="2691384"/>
                </a:lnTo>
                <a:close/>
              </a:path>
              <a:path w="7275830" h="3308985">
                <a:moveTo>
                  <a:pt x="7275576" y="2484120"/>
                </a:moveTo>
                <a:lnTo>
                  <a:pt x="6217920" y="2484120"/>
                </a:lnTo>
                <a:lnTo>
                  <a:pt x="6217920" y="2688336"/>
                </a:lnTo>
                <a:lnTo>
                  <a:pt x="7275576" y="2688336"/>
                </a:lnTo>
                <a:lnTo>
                  <a:pt x="7275576" y="2484120"/>
                </a:lnTo>
                <a:close/>
              </a:path>
              <a:path w="7275830" h="3308985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3308985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25</xdr:row>
      <xdr:rowOff>0</xdr:rowOff>
    </xdr:from>
    <xdr:ext cx="708660" cy="3929379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SpPr/>
      </xdr:nvSpPr>
      <xdr:spPr>
        <a:xfrm>
          <a:off x="0" y="0"/>
          <a:ext cx="708660" cy="3929379"/>
        </a:xfrm>
        <a:custGeom>
          <a:avLst/>
          <a:gdLst/>
          <a:ahLst/>
          <a:cxnLst/>
          <a:rect l="0" t="0" r="0" b="0"/>
          <a:pathLst>
            <a:path w="708660" h="3929379">
              <a:moveTo>
                <a:pt x="708660" y="3726180"/>
              </a:moveTo>
              <a:lnTo>
                <a:pt x="0" y="3726180"/>
              </a:lnTo>
              <a:lnTo>
                <a:pt x="0" y="3928872"/>
              </a:lnTo>
              <a:lnTo>
                <a:pt x="708660" y="3928872"/>
              </a:lnTo>
              <a:lnTo>
                <a:pt x="708660" y="3726180"/>
              </a:lnTo>
              <a:close/>
            </a:path>
            <a:path w="708660" h="3929379">
              <a:moveTo>
                <a:pt x="708660" y="3518916"/>
              </a:moveTo>
              <a:lnTo>
                <a:pt x="0" y="3518916"/>
              </a:lnTo>
              <a:lnTo>
                <a:pt x="0" y="3721608"/>
              </a:lnTo>
              <a:lnTo>
                <a:pt x="708660" y="3721608"/>
              </a:lnTo>
              <a:lnTo>
                <a:pt x="708660" y="3518916"/>
              </a:lnTo>
              <a:close/>
            </a:path>
            <a:path w="708660" h="3929379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3929379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3929379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3929379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3929379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3929379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3929379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3929379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3929379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3929379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3929379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3929379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929379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929379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929379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929379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929379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22</xdr:row>
      <xdr:rowOff>205739</xdr:rowOff>
    </xdr:from>
    <xdr:ext cx="3179445" cy="37528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123" name="image1.jpeg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124" name="image2.jpeg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125" name="image3.jpeg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24</xdr:row>
      <xdr:rowOff>0</xdr:rowOff>
    </xdr:from>
    <xdr:ext cx="7275830" cy="3929379"/>
    <xdr:grpSp>
      <xdr:nvGrpSpPr>
        <xdr:cNvPr id="126" name="Group 126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GrpSpPr/>
      </xdr:nvGrpSpPr>
      <xdr:grpSpPr>
        <a:xfrm>
          <a:off x="617854" y="5836920"/>
          <a:ext cx="7275830" cy="3929379"/>
          <a:chOff x="0" y="0"/>
          <a:chExt cx="7275830" cy="3929379"/>
        </a:xfrm>
      </xdr:grpSpPr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F00-00007F000000}"/>
              </a:ext>
            </a:extLst>
          </xdr:cNvPr>
          <xdr:cNvSpPr/>
        </xdr:nvSpPr>
        <xdr:spPr>
          <a:xfrm>
            <a:off x="0" y="0"/>
            <a:ext cx="7275830" cy="2687320"/>
          </a:xfrm>
          <a:custGeom>
            <a:avLst/>
            <a:gdLst/>
            <a:ahLst/>
            <a:cxnLst/>
            <a:rect l="0" t="0" r="0" b="0"/>
            <a:pathLst>
              <a:path w="7275830" h="2687320">
                <a:moveTo>
                  <a:pt x="347472" y="1242060"/>
                </a:moveTo>
                <a:lnTo>
                  <a:pt x="0" y="1242060"/>
                </a:lnTo>
                <a:lnTo>
                  <a:pt x="0" y="2686812"/>
                </a:lnTo>
                <a:lnTo>
                  <a:pt x="347472" y="2686812"/>
                </a:lnTo>
                <a:lnTo>
                  <a:pt x="347472" y="1242060"/>
                </a:lnTo>
                <a:close/>
              </a:path>
              <a:path w="7275830" h="2687320">
                <a:moveTo>
                  <a:pt x="347472" y="0"/>
                </a:moveTo>
                <a:lnTo>
                  <a:pt x="0" y="0"/>
                </a:lnTo>
                <a:lnTo>
                  <a:pt x="0" y="1239012"/>
                </a:lnTo>
                <a:lnTo>
                  <a:pt x="347472" y="1239012"/>
                </a:lnTo>
                <a:lnTo>
                  <a:pt x="347472" y="0"/>
                </a:lnTo>
                <a:close/>
              </a:path>
              <a:path w="7275830" h="2687320">
                <a:moveTo>
                  <a:pt x="1408176" y="1242060"/>
                </a:moveTo>
                <a:lnTo>
                  <a:pt x="350520" y="1242060"/>
                </a:lnTo>
                <a:lnTo>
                  <a:pt x="350520" y="2686812"/>
                </a:lnTo>
                <a:lnTo>
                  <a:pt x="1408176" y="2686812"/>
                </a:lnTo>
                <a:lnTo>
                  <a:pt x="1408176" y="1242060"/>
                </a:lnTo>
                <a:close/>
              </a:path>
              <a:path w="7275830" h="2687320">
                <a:moveTo>
                  <a:pt x="1408176" y="0"/>
                </a:moveTo>
                <a:lnTo>
                  <a:pt x="350520" y="0"/>
                </a:lnTo>
                <a:lnTo>
                  <a:pt x="350520" y="1239012"/>
                </a:lnTo>
                <a:lnTo>
                  <a:pt x="1408176" y="1239012"/>
                </a:lnTo>
                <a:lnTo>
                  <a:pt x="1408176" y="0"/>
                </a:lnTo>
                <a:close/>
              </a:path>
              <a:path w="7275830" h="2687320">
                <a:moveTo>
                  <a:pt x="2819400" y="1242060"/>
                </a:moveTo>
                <a:lnTo>
                  <a:pt x="1411224" y="1242060"/>
                </a:lnTo>
                <a:lnTo>
                  <a:pt x="1411224" y="2686812"/>
                </a:lnTo>
                <a:lnTo>
                  <a:pt x="2819400" y="2686812"/>
                </a:lnTo>
                <a:lnTo>
                  <a:pt x="2819400" y="1242060"/>
                </a:lnTo>
                <a:close/>
              </a:path>
              <a:path w="7275830" h="2687320">
                <a:moveTo>
                  <a:pt x="2819400" y="0"/>
                </a:moveTo>
                <a:lnTo>
                  <a:pt x="1411224" y="0"/>
                </a:lnTo>
                <a:lnTo>
                  <a:pt x="1411224" y="1239012"/>
                </a:lnTo>
                <a:lnTo>
                  <a:pt x="2819400" y="1239012"/>
                </a:lnTo>
                <a:lnTo>
                  <a:pt x="2819400" y="0"/>
                </a:lnTo>
                <a:close/>
              </a:path>
              <a:path w="7275830" h="268732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68732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68732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68732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68732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68732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68732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68732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68732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68732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68732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68732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68732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687320">
                <a:moveTo>
                  <a:pt x="4093464" y="2484120"/>
                </a:moveTo>
                <a:lnTo>
                  <a:pt x="3384804" y="2484120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4120"/>
                </a:lnTo>
                <a:close/>
              </a:path>
              <a:path w="7275830" h="268732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68732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68732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68732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68732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68732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68732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68732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68732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68732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68732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68732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687320">
                <a:moveTo>
                  <a:pt x="5154168" y="2484120"/>
                </a:moveTo>
                <a:lnTo>
                  <a:pt x="4096512" y="2484120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4120"/>
                </a:lnTo>
                <a:close/>
              </a:path>
              <a:path w="7275830" h="268732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68732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68732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68732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68732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68732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68732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68732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68732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68732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68732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68732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687320">
                <a:moveTo>
                  <a:pt x="6214872" y="2484120"/>
                </a:moveTo>
                <a:lnTo>
                  <a:pt x="5157216" y="2484120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4120"/>
                </a:lnTo>
                <a:close/>
              </a:path>
              <a:path w="7275830" h="268732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68732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68732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68732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68732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68732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68732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68732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68732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68732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68732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68732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687320">
                <a:moveTo>
                  <a:pt x="7275576" y="2484120"/>
                </a:moveTo>
                <a:lnTo>
                  <a:pt x="6217920" y="2484120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4120"/>
                </a:lnTo>
                <a:close/>
              </a:path>
              <a:path w="7275830" h="268732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68732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68732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68732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68732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68732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68732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68732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68732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68732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68732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68732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00000000-0008-0000-0F00-000080000000}"/>
              </a:ext>
            </a:extLst>
          </xdr:cNvPr>
          <xdr:cNvSpPr/>
        </xdr:nvSpPr>
        <xdr:spPr>
          <a:xfrm>
            <a:off x="0" y="2484119"/>
            <a:ext cx="7275830" cy="1445260"/>
          </a:xfrm>
          <a:custGeom>
            <a:avLst/>
            <a:gdLst/>
            <a:ahLst/>
            <a:cxnLst/>
            <a:rect l="0" t="0" r="0" b="0"/>
            <a:pathLst>
              <a:path w="7275830" h="1445260">
                <a:moveTo>
                  <a:pt x="347472" y="205740"/>
                </a:moveTo>
                <a:lnTo>
                  <a:pt x="0" y="205740"/>
                </a:lnTo>
                <a:lnTo>
                  <a:pt x="0" y="1444752"/>
                </a:lnTo>
                <a:lnTo>
                  <a:pt x="347472" y="1444752"/>
                </a:lnTo>
                <a:lnTo>
                  <a:pt x="347472" y="205740"/>
                </a:lnTo>
                <a:close/>
              </a:path>
              <a:path w="7275830" h="1445260">
                <a:moveTo>
                  <a:pt x="1408176" y="205740"/>
                </a:moveTo>
                <a:lnTo>
                  <a:pt x="350520" y="205740"/>
                </a:lnTo>
                <a:lnTo>
                  <a:pt x="350520" y="1444752"/>
                </a:lnTo>
                <a:lnTo>
                  <a:pt x="1408176" y="1444752"/>
                </a:lnTo>
                <a:lnTo>
                  <a:pt x="1408176" y="205740"/>
                </a:lnTo>
                <a:close/>
              </a:path>
              <a:path w="7275830" h="1445260">
                <a:moveTo>
                  <a:pt x="2819400" y="205740"/>
                </a:moveTo>
                <a:lnTo>
                  <a:pt x="1411224" y="205740"/>
                </a:lnTo>
                <a:lnTo>
                  <a:pt x="1411224" y="1444752"/>
                </a:lnTo>
                <a:lnTo>
                  <a:pt x="2819400" y="1444752"/>
                </a:lnTo>
                <a:lnTo>
                  <a:pt x="2819400" y="205740"/>
                </a:lnTo>
                <a:close/>
              </a:path>
              <a:path w="7275830" h="1445260">
                <a:moveTo>
                  <a:pt x="3381756" y="1242060"/>
                </a:moveTo>
                <a:lnTo>
                  <a:pt x="2822448" y="1242060"/>
                </a:lnTo>
                <a:lnTo>
                  <a:pt x="2822448" y="1444752"/>
                </a:lnTo>
                <a:lnTo>
                  <a:pt x="3381756" y="1444752"/>
                </a:lnTo>
                <a:lnTo>
                  <a:pt x="3381756" y="1242060"/>
                </a:lnTo>
                <a:close/>
              </a:path>
              <a:path w="7275830" h="1445260">
                <a:moveTo>
                  <a:pt x="3381756" y="1034796"/>
                </a:moveTo>
                <a:lnTo>
                  <a:pt x="2822448" y="1034796"/>
                </a:lnTo>
                <a:lnTo>
                  <a:pt x="2822448" y="1237488"/>
                </a:lnTo>
                <a:lnTo>
                  <a:pt x="3381756" y="1237488"/>
                </a:lnTo>
                <a:lnTo>
                  <a:pt x="3381756" y="1034796"/>
                </a:lnTo>
                <a:close/>
              </a:path>
              <a:path w="7275830" h="144526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144526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1445260">
                <a:moveTo>
                  <a:pt x="3381756" y="413004"/>
                </a:moveTo>
                <a:lnTo>
                  <a:pt x="2822448" y="413004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3004"/>
                </a:lnTo>
                <a:close/>
              </a:path>
              <a:path w="7275830" h="1445260">
                <a:moveTo>
                  <a:pt x="3381756" y="205740"/>
                </a:moveTo>
                <a:lnTo>
                  <a:pt x="2822448" y="205740"/>
                </a:lnTo>
                <a:lnTo>
                  <a:pt x="2822448" y="409956"/>
                </a:lnTo>
                <a:lnTo>
                  <a:pt x="3381756" y="409956"/>
                </a:lnTo>
                <a:lnTo>
                  <a:pt x="3381756" y="205740"/>
                </a:lnTo>
                <a:close/>
              </a:path>
              <a:path w="7275830" h="1445260">
                <a:moveTo>
                  <a:pt x="4093464" y="1242060"/>
                </a:moveTo>
                <a:lnTo>
                  <a:pt x="3384804" y="1242060"/>
                </a:lnTo>
                <a:lnTo>
                  <a:pt x="3384804" y="1444752"/>
                </a:lnTo>
                <a:lnTo>
                  <a:pt x="4093464" y="1444752"/>
                </a:lnTo>
                <a:lnTo>
                  <a:pt x="4093464" y="1242060"/>
                </a:lnTo>
                <a:close/>
              </a:path>
              <a:path w="7275830" h="1445260">
                <a:moveTo>
                  <a:pt x="4093464" y="1034796"/>
                </a:moveTo>
                <a:lnTo>
                  <a:pt x="3384804" y="1034796"/>
                </a:lnTo>
                <a:lnTo>
                  <a:pt x="3384804" y="1237488"/>
                </a:lnTo>
                <a:lnTo>
                  <a:pt x="4093464" y="1237488"/>
                </a:lnTo>
                <a:lnTo>
                  <a:pt x="4093464" y="1034796"/>
                </a:lnTo>
                <a:close/>
              </a:path>
              <a:path w="7275830" h="144526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144526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1445260">
                <a:moveTo>
                  <a:pt x="4093464" y="413004"/>
                </a:moveTo>
                <a:lnTo>
                  <a:pt x="3384804" y="413004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3004"/>
                </a:lnTo>
                <a:close/>
              </a:path>
              <a:path w="7275830" h="1445260">
                <a:moveTo>
                  <a:pt x="4093464" y="205740"/>
                </a:moveTo>
                <a:lnTo>
                  <a:pt x="3384804" y="205740"/>
                </a:lnTo>
                <a:lnTo>
                  <a:pt x="3384804" y="409956"/>
                </a:lnTo>
                <a:lnTo>
                  <a:pt x="4093464" y="409956"/>
                </a:lnTo>
                <a:lnTo>
                  <a:pt x="4093464" y="205740"/>
                </a:lnTo>
                <a:close/>
              </a:path>
              <a:path w="7275830" h="1445260">
                <a:moveTo>
                  <a:pt x="5154168" y="1242060"/>
                </a:moveTo>
                <a:lnTo>
                  <a:pt x="4096512" y="1242060"/>
                </a:lnTo>
                <a:lnTo>
                  <a:pt x="4096512" y="1444752"/>
                </a:lnTo>
                <a:lnTo>
                  <a:pt x="5154168" y="1444752"/>
                </a:lnTo>
                <a:lnTo>
                  <a:pt x="5154168" y="1242060"/>
                </a:lnTo>
                <a:close/>
              </a:path>
              <a:path w="7275830" h="1445260">
                <a:moveTo>
                  <a:pt x="5154168" y="1034796"/>
                </a:moveTo>
                <a:lnTo>
                  <a:pt x="4096512" y="1034796"/>
                </a:lnTo>
                <a:lnTo>
                  <a:pt x="4096512" y="1237488"/>
                </a:lnTo>
                <a:lnTo>
                  <a:pt x="5154168" y="1237488"/>
                </a:lnTo>
                <a:lnTo>
                  <a:pt x="5154168" y="1034796"/>
                </a:lnTo>
                <a:close/>
              </a:path>
              <a:path w="7275830" h="144526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144526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1445260">
                <a:moveTo>
                  <a:pt x="5154168" y="413004"/>
                </a:moveTo>
                <a:lnTo>
                  <a:pt x="4096512" y="413004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3004"/>
                </a:lnTo>
                <a:close/>
              </a:path>
              <a:path w="7275830" h="1445260">
                <a:moveTo>
                  <a:pt x="5154168" y="205740"/>
                </a:moveTo>
                <a:lnTo>
                  <a:pt x="4096512" y="205740"/>
                </a:lnTo>
                <a:lnTo>
                  <a:pt x="4096512" y="409956"/>
                </a:lnTo>
                <a:lnTo>
                  <a:pt x="5154168" y="409956"/>
                </a:lnTo>
                <a:lnTo>
                  <a:pt x="5154168" y="205740"/>
                </a:lnTo>
                <a:close/>
              </a:path>
              <a:path w="7275830" h="1445260">
                <a:moveTo>
                  <a:pt x="6214872" y="1242060"/>
                </a:moveTo>
                <a:lnTo>
                  <a:pt x="5157216" y="1242060"/>
                </a:lnTo>
                <a:lnTo>
                  <a:pt x="5157216" y="1444752"/>
                </a:lnTo>
                <a:lnTo>
                  <a:pt x="6214872" y="1444752"/>
                </a:lnTo>
                <a:lnTo>
                  <a:pt x="6214872" y="1242060"/>
                </a:lnTo>
                <a:close/>
              </a:path>
              <a:path w="7275830" h="1445260">
                <a:moveTo>
                  <a:pt x="6214872" y="1034796"/>
                </a:moveTo>
                <a:lnTo>
                  <a:pt x="5157216" y="1034796"/>
                </a:lnTo>
                <a:lnTo>
                  <a:pt x="5157216" y="1237488"/>
                </a:lnTo>
                <a:lnTo>
                  <a:pt x="6214872" y="1237488"/>
                </a:lnTo>
                <a:lnTo>
                  <a:pt x="6214872" y="1034796"/>
                </a:lnTo>
                <a:close/>
              </a:path>
              <a:path w="7275830" h="144526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144526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1445260">
                <a:moveTo>
                  <a:pt x="6214872" y="413004"/>
                </a:moveTo>
                <a:lnTo>
                  <a:pt x="5157216" y="413004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3004"/>
                </a:lnTo>
                <a:close/>
              </a:path>
              <a:path w="7275830" h="1445260">
                <a:moveTo>
                  <a:pt x="6214872" y="205740"/>
                </a:moveTo>
                <a:lnTo>
                  <a:pt x="5157216" y="205740"/>
                </a:lnTo>
                <a:lnTo>
                  <a:pt x="5157216" y="409956"/>
                </a:lnTo>
                <a:lnTo>
                  <a:pt x="6214872" y="409956"/>
                </a:lnTo>
                <a:lnTo>
                  <a:pt x="6214872" y="205740"/>
                </a:lnTo>
                <a:close/>
              </a:path>
              <a:path w="7275830" h="1445260">
                <a:moveTo>
                  <a:pt x="7275576" y="1242060"/>
                </a:moveTo>
                <a:lnTo>
                  <a:pt x="6217920" y="1242060"/>
                </a:lnTo>
                <a:lnTo>
                  <a:pt x="6217920" y="1444752"/>
                </a:lnTo>
                <a:lnTo>
                  <a:pt x="7275576" y="1444752"/>
                </a:lnTo>
                <a:lnTo>
                  <a:pt x="7275576" y="1242060"/>
                </a:lnTo>
                <a:close/>
              </a:path>
              <a:path w="7275830" h="1445260">
                <a:moveTo>
                  <a:pt x="7275576" y="1034796"/>
                </a:moveTo>
                <a:lnTo>
                  <a:pt x="6217920" y="1034796"/>
                </a:lnTo>
                <a:lnTo>
                  <a:pt x="6217920" y="1237488"/>
                </a:lnTo>
                <a:lnTo>
                  <a:pt x="7275576" y="1237488"/>
                </a:lnTo>
                <a:lnTo>
                  <a:pt x="7275576" y="1034796"/>
                </a:lnTo>
                <a:close/>
              </a:path>
              <a:path w="7275830" h="144526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144526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1445260">
                <a:moveTo>
                  <a:pt x="7275576" y="413004"/>
                </a:moveTo>
                <a:lnTo>
                  <a:pt x="6217920" y="413004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3004"/>
                </a:lnTo>
                <a:close/>
              </a:path>
              <a:path w="7275830" h="1445260">
                <a:moveTo>
                  <a:pt x="7275576" y="205740"/>
                </a:moveTo>
                <a:lnTo>
                  <a:pt x="6217920" y="205740"/>
                </a:lnTo>
                <a:lnTo>
                  <a:pt x="6217920" y="409956"/>
                </a:lnTo>
                <a:lnTo>
                  <a:pt x="7275576" y="409956"/>
                </a:lnTo>
                <a:lnTo>
                  <a:pt x="7275576" y="205740"/>
                </a:lnTo>
                <a:close/>
              </a:path>
              <a:path w="7275830" h="1445260">
                <a:moveTo>
                  <a:pt x="7275576" y="0"/>
                </a:moveTo>
                <a:lnTo>
                  <a:pt x="6217920" y="0"/>
                </a:lnTo>
                <a:lnTo>
                  <a:pt x="6217920" y="202692"/>
                </a:lnTo>
                <a:lnTo>
                  <a:pt x="7275576" y="202692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25</xdr:row>
      <xdr:rowOff>0</xdr:rowOff>
    </xdr:from>
    <xdr:ext cx="708660" cy="3929379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F00-000081000000}"/>
            </a:ext>
          </a:extLst>
        </xdr:cNvPr>
        <xdr:cNvSpPr/>
      </xdr:nvSpPr>
      <xdr:spPr>
        <a:xfrm>
          <a:off x="0" y="0"/>
          <a:ext cx="708660" cy="3929379"/>
        </a:xfrm>
        <a:custGeom>
          <a:avLst/>
          <a:gdLst/>
          <a:ahLst/>
          <a:cxnLst/>
          <a:rect l="0" t="0" r="0" b="0"/>
          <a:pathLst>
            <a:path w="708660" h="3929379">
              <a:moveTo>
                <a:pt x="708660" y="3726180"/>
              </a:moveTo>
              <a:lnTo>
                <a:pt x="0" y="3726180"/>
              </a:lnTo>
              <a:lnTo>
                <a:pt x="0" y="3928872"/>
              </a:lnTo>
              <a:lnTo>
                <a:pt x="708660" y="3928872"/>
              </a:lnTo>
              <a:lnTo>
                <a:pt x="708660" y="3726180"/>
              </a:lnTo>
              <a:close/>
            </a:path>
            <a:path w="708660" h="3929379">
              <a:moveTo>
                <a:pt x="708660" y="3518916"/>
              </a:moveTo>
              <a:lnTo>
                <a:pt x="0" y="3518916"/>
              </a:lnTo>
              <a:lnTo>
                <a:pt x="0" y="3721608"/>
              </a:lnTo>
              <a:lnTo>
                <a:pt x="708660" y="3721608"/>
              </a:lnTo>
              <a:lnTo>
                <a:pt x="708660" y="3518916"/>
              </a:lnTo>
              <a:close/>
            </a:path>
            <a:path w="708660" h="3929379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3929379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3929379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3929379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3929379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3929379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3929379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3929379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3929379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3929379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3929379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3929379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929379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929379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929379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929379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929379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24</xdr:row>
      <xdr:rowOff>206501</xdr:rowOff>
    </xdr:from>
    <xdr:ext cx="3179445" cy="37528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1000-000082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131" name="image1.jpeg">
          <a:extLst>
            <a:ext uri="{FF2B5EF4-FFF2-40B4-BE49-F238E27FC236}">
              <a16:creationId xmlns:a16="http://schemas.microsoft.com/office/drawing/2014/main" id="{00000000-0008-0000-1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132" name="image2.jpeg">
          <a:extLst>
            <a:ext uri="{FF2B5EF4-FFF2-40B4-BE49-F238E27FC236}">
              <a16:creationId xmlns:a16="http://schemas.microsoft.com/office/drawing/2014/main" id="{00000000-0008-0000-1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133" name="image3.jpeg">
          <a:extLst>
            <a:ext uri="{FF2B5EF4-FFF2-40B4-BE49-F238E27FC236}">
              <a16:creationId xmlns:a16="http://schemas.microsoft.com/office/drawing/2014/main" id="{00000000-0008-0000-1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26</xdr:row>
      <xdr:rowOff>0</xdr:rowOff>
    </xdr:from>
    <xdr:ext cx="7275830" cy="4343400"/>
    <xdr:grpSp>
      <xdr:nvGrpSpPr>
        <xdr:cNvPr id="134" name="Group 134">
          <a:extLst>
            <a:ext uri="{FF2B5EF4-FFF2-40B4-BE49-F238E27FC236}">
              <a16:creationId xmlns:a16="http://schemas.microsoft.com/office/drawing/2014/main" id="{00000000-0008-0000-1000-000086000000}"/>
            </a:ext>
          </a:extLst>
        </xdr:cNvPr>
        <xdr:cNvGrpSpPr/>
      </xdr:nvGrpSpPr>
      <xdr:grpSpPr>
        <a:xfrm>
          <a:off x="617854" y="6263640"/>
          <a:ext cx="7275830" cy="4343400"/>
          <a:chOff x="0" y="0"/>
          <a:chExt cx="7275830" cy="4343400"/>
        </a:xfrm>
      </xdr:grpSpPr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1000-000087000000}"/>
              </a:ext>
            </a:extLst>
          </xdr:cNvPr>
          <xdr:cNvSpPr/>
        </xdr:nvSpPr>
        <xdr:spPr>
          <a:xfrm>
            <a:off x="0" y="0"/>
            <a:ext cx="7275830" cy="2894330"/>
          </a:xfrm>
          <a:custGeom>
            <a:avLst/>
            <a:gdLst/>
            <a:ahLst/>
            <a:cxnLst/>
            <a:rect l="0" t="0" r="0" b="0"/>
            <a:pathLst>
              <a:path w="7275830" h="2894330">
                <a:moveTo>
                  <a:pt x="347472" y="0"/>
                </a:moveTo>
                <a:lnTo>
                  <a:pt x="0" y="0"/>
                </a:lnTo>
                <a:lnTo>
                  <a:pt x="0" y="1239012"/>
                </a:lnTo>
                <a:lnTo>
                  <a:pt x="347472" y="1239012"/>
                </a:lnTo>
                <a:lnTo>
                  <a:pt x="347472" y="0"/>
                </a:lnTo>
                <a:close/>
              </a:path>
              <a:path w="7275830" h="2894330">
                <a:moveTo>
                  <a:pt x="1408176" y="0"/>
                </a:moveTo>
                <a:lnTo>
                  <a:pt x="350520" y="0"/>
                </a:lnTo>
                <a:lnTo>
                  <a:pt x="350520" y="1239012"/>
                </a:lnTo>
                <a:lnTo>
                  <a:pt x="1408176" y="1239012"/>
                </a:lnTo>
                <a:lnTo>
                  <a:pt x="1408176" y="0"/>
                </a:lnTo>
                <a:close/>
              </a:path>
              <a:path w="7275830" h="2894330">
                <a:moveTo>
                  <a:pt x="2819400" y="0"/>
                </a:moveTo>
                <a:lnTo>
                  <a:pt x="1411224" y="0"/>
                </a:lnTo>
                <a:lnTo>
                  <a:pt x="1411224" y="1239012"/>
                </a:lnTo>
                <a:lnTo>
                  <a:pt x="2819400" y="1239012"/>
                </a:lnTo>
                <a:lnTo>
                  <a:pt x="2819400" y="0"/>
                </a:lnTo>
                <a:close/>
              </a:path>
              <a:path w="7275830" h="2894330">
                <a:moveTo>
                  <a:pt x="3381756" y="2689860"/>
                </a:moveTo>
                <a:lnTo>
                  <a:pt x="2822448" y="2689860"/>
                </a:lnTo>
                <a:lnTo>
                  <a:pt x="2822448" y="2894076"/>
                </a:lnTo>
                <a:lnTo>
                  <a:pt x="3381756" y="2894076"/>
                </a:lnTo>
                <a:lnTo>
                  <a:pt x="3381756" y="2689860"/>
                </a:lnTo>
                <a:close/>
              </a:path>
              <a:path w="7275830" h="2894330">
                <a:moveTo>
                  <a:pt x="3381756" y="2484120"/>
                </a:moveTo>
                <a:lnTo>
                  <a:pt x="2822448" y="2484120"/>
                </a:lnTo>
                <a:lnTo>
                  <a:pt x="2822448" y="2686812"/>
                </a:lnTo>
                <a:lnTo>
                  <a:pt x="3381756" y="2686812"/>
                </a:lnTo>
                <a:lnTo>
                  <a:pt x="3381756" y="2484120"/>
                </a:lnTo>
                <a:close/>
              </a:path>
              <a:path w="7275830" h="2894330">
                <a:moveTo>
                  <a:pt x="3381756" y="2276856"/>
                </a:moveTo>
                <a:lnTo>
                  <a:pt x="2822448" y="2276856"/>
                </a:lnTo>
                <a:lnTo>
                  <a:pt x="2822448" y="2481072"/>
                </a:lnTo>
                <a:lnTo>
                  <a:pt x="3381756" y="2481072"/>
                </a:lnTo>
                <a:lnTo>
                  <a:pt x="3381756" y="2276856"/>
                </a:lnTo>
                <a:close/>
              </a:path>
              <a:path w="7275830" h="2894330">
                <a:moveTo>
                  <a:pt x="3381756" y="2069592"/>
                </a:moveTo>
                <a:lnTo>
                  <a:pt x="2822448" y="2069592"/>
                </a:lnTo>
                <a:lnTo>
                  <a:pt x="2822448" y="2273808"/>
                </a:lnTo>
                <a:lnTo>
                  <a:pt x="3381756" y="2273808"/>
                </a:lnTo>
                <a:lnTo>
                  <a:pt x="3381756" y="2069592"/>
                </a:lnTo>
                <a:close/>
              </a:path>
              <a:path w="7275830" h="2894330">
                <a:moveTo>
                  <a:pt x="3381756" y="1862328"/>
                </a:moveTo>
                <a:lnTo>
                  <a:pt x="2822448" y="1862328"/>
                </a:lnTo>
                <a:lnTo>
                  <a:pt x="2822448" y="2066544"/>
                </a:lnTo>
                <a:lnTo>
                  <a:pt x="3381756" y="2066544"/>
                </a:lnTo>
                <a:lnTo>
                  <a:pt x="3381756" y="1862328"/>
                </a:lnTo>
                <a:close/>
              </a:path>
              <a:path w="7275830" h="2894330">
                <a:moveTo>
                  <a:pt x="3381756" y="1656588"/>
                </a:moveTo>
                <a:lnTo>
                  <a:pt x="2822448" y="1656588"/>
                </a:lnTo>
                <a:lnTo>
                  <a:pt x="2822448" y="1859280"/>
                </a:lnTo>
                <a:lnTo>
                  <a:pt x="3381756" y="1859280"/>
                </a:lnTo>
                <a:lnTo>
                  <a:pt x="3381756" y="1656588"/>
                </a:lnTo>
                <a:close/>
              </a:path>
              <a:path w="7275830" h="2894330">
                <a:moveTo>
                  <a:pt x="3381756" y="1449324"/>
                </a:moveTo>
                <a:lnTo>
                  <a:pt x="2822448" y="1449324"/>
                </a:lnTo>
                <a:lnTo>
                  <a:pt x="2822448" y="1653540"/>
                </a:lnTo>
                <a:lnTo>
                  <a:pt x="3381756" y="1653540"/>
                </a:lnTo>
                <a:lnTo>
                  <a:pt x="3381756" y="1449324"/>
                </a:lnTo>
                <a:close/>
              </a:path>
              <a:path w="7275830" h="2894330">
                <a:moveTo>
                  <a:pt x="3381756" y="1242060"/>
                </a:moveTo>
                <a:lnTo>
                  <a:pt x="2822448" y="1242060"/>
                </a:lnTo>
                <a:lnTo>
                  <a:pt x="2822448" y="1446276"/>
                </a:lnTo>
                <a:lnTo>
                  <a:pt x="3381756" y="1446276"/>
                </a:lnTo>
                <a:lnTo>
                  <a:pt x="3381756" y="1242060"/>
                </a:lnTo>
                <a:close/>
              </a:path>
              <a:path w="7275830" h="2894330">
                <a:moveTo>
                  <a:pt x="3381756" y="1034796"/>
                </a:moveTo>
                <a:lnTo>
                  <a:pt x="2822448" y="1034796"/>
                </a:lnTo>
                <a:lnTo>
                  <a:pt x="2822448" y="1239012"/>
                </a:lnTo>
                <a:lnTo>
                  <a:pt x="3381756" y="1239012"/>
                </a:lnTo>
                <a:lnTo>
                  <a:pt x="3381756" y="1034796"/>
                </a:lnTo>
                <a:close/>
              </a:path>
              <a:path w="7275830" h="2894330">
                <a:moveTo>
                  <a:pt x="3381756" y="827532"/>
                </a:moveTo>
                <a:lnTo>
                  <a:pt x="2822448" y="827532"/>
                </a:lnTo>
                <a:lnTo>
                  <a:pt x="2822448" y="1031748"/>
                </a:lnTo>
                <a:lnTo>
                  <a:pt x="3381756" y="1031748"/>
                </a:lnTo>
                <a:lnTo>
                  <a:pt x="3381756" y="827532"/>
                </a:lnTo>
                <a:close/>
              </a:path>
              <a:path w="7275830" h="2894330">
                <a:moveTo>
                  <a:pt x="3381756" y="620268"/>
                </a:moveTo>
                <a:lnTo>
                  <a:pt x="2822448" y="620268"/>
                </a:lnTo>
                <a:lnTo>
                  <a:pt x="2822448" y="824484"/>
                </a:lnTo>
                <a:lnTo>
                  <a:pt x="3381756" y="824484"/>
                </a:lnTo>
                <a:lnTo>
                  <a:pt x="3381756" y="620268"/>
                </a:lnTo>
                <a:close/>
              </a:path>
              <a:path w="7275830" h="2894330">
                <a:moveTo>
                  <a:pt x="3381756" y="414528"/>
                </a:moveTo>
                <a:lnTo>
                  <a:pt x="2822448" y="414528"/>
                </a:lnTo>
                <a:lnTo>
                  <a:pt x="2822448" y="617220"/>
                </a:lnTo>
                <a:lnTo>
                  <a:pt x="3381756" y="617220"/>
                </a:lnTo>
                <a:lnTo>
                  <a:pt x="3381756" y="414528"/>
                </a:lnTo>
                <a:close/>
              </a:path>
              <a:path w="7275830" h="2894330">
                <a:moveTo>
                  <a:pt x="3381756" y="207264"/>
                </a:moveTo>
                <a:lnTo>
                  <a:pt x="2822448" y="207264"/>
                </a:lnTo>
                <a:lnTo>
                  <a:pt x="2822448" y="411480"/>
                </a:lnTo>
                <a:lnTo>
                  <a:pt x="3381756" y="411480"/>
                </a:lnTo>
                <a:lnTo>
                  <a:pt x="3381756" y="207264"/>
                </a:lnTo>
                <a:close/>
              </a:path>
              <a:path w="7275830" h="2894330">
                <a:moveTo>
                  <a:pt x="3381756" y="0"/>
                </a:moveTo>
                <a:lnTo>
                  <a:pt x="2822448" y="0"/>
                </a:lnTo>
                <a:lnTo>
                  <a:pt x="2822448" y="204216"/>
                </a:lnTo>
                <a:lnTo>
                  <a:pt x="3381756" y="204216"/>
                </a:lnTo>
                <a:lnTo>
                  <a:pt x="3381756" y="0"/>
                </a:lnTo>
                <a:close/>
              </a:path>
              <a:path w="7275830" h="2894330">
                <a:moveTo>
                  <a:pt x="4093464" y="2689860"/>
                </a:moveTo>
                <a:lnTo>
                  <a:pt x="3384804" y="2689860"/>
                </a:lnTo>
                <a:lnTo>
                  <a:pt x="3384804" y="2894076"/>
                </a:lnTo>
                <a:lnTo>
                  <a:pt x="4093464" y="2894076"/>
                </a:lnTo>
                <a:lnTo>
                  <a:pt x="4093464" y="2689860"/>
                </a:lnTo>
                <a:close/>
              </a:path>
              <a:path w="7275830" h="2894330">
                <a:moveTo>
                  <a:pt x="4093464" y="2484120"/>
                </a:moveTo>
                <a:lnTo>
                  <a:pt x="3384804" y="2484120"/>
                </a:lnTo>
                <a:lnTo>
                  <a:pt x="3384804" y="2686812"/>
                </a:lnTo>
                <a:lnTo>
                  <a:pt x="4093464" y="2686812"/>
                </a:lnTo>
                <a:lnTo>
                  <a:pt x="4093464" y="2484120"/>
                </a:lnTo>
                <a:close/>
              </a:path>
              <a:path w="7275830" h="2894330">
                <a:moveTo>
                  <a:pt x="4093464" y="2276856"/>
                </a:moveTo>
                <a:lnTo>
                  <a:pt x="3384804" y="2276856"/>
                </a:lnTo>
                <a:lnTo>
                  <a:pt x="3384804" y="2481072"/>
                </a:lnTo>
                <a:lnTo>
                  <a:pt x="4093464" y="2481072"/>
                </a:lnTo>
                <a:lnTo>
                  <a:pt x="4093464" y="2276856"/>
                </a:lnTo>
                <a:close/>
              </a:path>
              <a:path w="7275830" h="2894330">
                <a:moveTo>
                  <a:pt x="4093464" y="2069592"/>
                </a:moveTo>
                <a:lnTo>
                  <a:pt x="3384804" y="2069592"/>
                </a:lnTo>
                <a:lnTo>
                  <a:pt x="3384804" y="2273808"/>
                </a:lnTo>
                <a:lnTo>
                  <a:pt x="4093464" y="2273808"/>
                </a:lnTo>
                <a:lnTo>
                  <a:pt x="4093464" y="2069592"/>
                </a:lnTo>
                <a:close/>
              </a:path>
              <a:path w="7275830" h="2894330">
                <a:moveTo>
                  <a:pt x="4093464" y="1862328"/>
                </a:moveTo>
                <a:lnTo>
                  <a:pt x="3384804" y="1862328"/>
                </a:lnTo>
                <a:lnTo>
                  <a:pt x="3384804" y="2066544"/>
                </a:lnTo>
                <a:lnTo>
                  <a:pt x="4093464" y="2066544"/>
                </a:lnTo>
                <a:lnTo>
                  <a:pt x="4093464" y="1862328"/>
                </a:lnTo>
                <a:close/>
              </a:path>
              <a:path w="7275830" h="2894330">
                <a:moveTo>
                  <a:pt x="4093464" y="1656588"/>
                </a:moveTo>
                <a:lnTo>
                  <a:pt x="3384804" y="1656588"/>
                </a:lnTo>
                <a:lnTo>
                  <a:pt x="3384804" y="1859280"/>
                </a:lnTo>
                <a:lnTo>
                  <a:pt x="4093464" y="1859280"/>
                </a:lnTo>
                <a:lnTo>
                  <a:pt x="4093464" y="1656588"/>
                </a:lnTo>
                <a:close/>
              </a:path>
              <a:path w="7275830" h="2894330">
                <a:moveTo>
                  <a:pt x="4093464" y="1449324"/>
                </a:moveTo>
                <a:lnTo>
                  <a:pt x="3384804" y="1449324"/>
                </a:lnTo>
                <a:lnTo>
                  <a:pt x="3384804" y="1653540"/>
                </a:lnTo>
                <a:lnTo>
                  <a:pt x="4093464" y="1653540"/>
                </a:lnTo>
                <a:lnTo>
                  <a:pt x="4093464" y="1449324"/>
                </a:lnTo>
                <a:close/>
              </a:path>
              <a:path w="7275830" h="2894330">
                <a:moveTo>
                  <a:pt x="4093464" y="1242060"/>
                </a:moveTo>
                <a:lnTo>
                  <a:pt x="3384804" y="1242060"/>
                </a:lnTo>
                <a:lnTo>
                  <a:pt x="3384804" y="1446276"/>
                </a:lnTo>
                <a:lnTo>
                  <a:pt x="4093464" y="1446276"/>
                </a:lnTo>
                <a:lnTo>
                  <a:pt x="4093464" y="1242060"/>
                </a:lnTo>
                <a:close/>
              </a:path>
              <a:path w="7275830" h="2894330">
                <a:moveTo>
                  <a:pt x="4093464" y="1034796"/>
                </a:moveTo>
                <a:lnTo>
                  <a:pt x="3384804" y="1034796"/>
                </a:lnTo>
                <a:lnTo>
                  <a:pt x="3384804" y="1239012"/>
                </a:lnTo>
                <a:lnTo>
                  <a:pt x="4093464" y="1239012"/>
                </a:lnTo>
                <a:lnTo>
                  <a:pt x="4093464" y="1034796"/>
                </a:lnTo>
                <a:close/>
              </a:path>
              <a:path w="7275830" h="2894330">
                <a:moveTo>
                  <a:pt x="4093464" y="827532"/>
                </a:moveTo>
                <a:lnTo>
                  <a:pt x="3384804" y="827532"/>
                </a:lnTo>
                <a:lnTo>
                  <a:pt x="3384804" y="1031748"/>
                </a:lnTo>
                <a:lnTo>
                  <a:pt x="4093464" y="1031748"/>
                </a:lnTo>
                <a:lnTo>
                  <a:pt x="4093464" y="827532"/>
                </a:lnTo>
                <a:close/>
              </a:path>
              <a:path w="7275830" h="2894330">
                <a:moveTo>
                  <a:pt x="4093464" y="620268"/>
                </a:moveTo>
                <a:lnTo>
                  <a:pt x="3384804" y="620268"/>
                </a:lnTo>
                <a:lnTo>
                  <a:pt x="3384804" y="824484"/>
                </a:lnTo>
                <a:lnTo>
                  <a:pt x="4093464" y="824484"/>
                </a:lnTo>
                <a:lnTo>
                  <a:pt x="4093464" y="620268"/>
                </a:lnTo>
                <a:close/>
              </a:path>
              <a:path w="7275830" h="2894330">
                <a:moveTo>
                  <a:pt x="4093464" y="414528"/>
                </a:moveTo>
                <a:lnTo>
                  <a:pt x="3384804" y="414528"/>
                </a:lnTo>
                <a:lnTo>
                  <a:pt x="3384804" y="617220"/>
                </a:lnTo>
                <a:lnTo>
                  <a:pt x="4093464" y="617220"/>
                </a:lnTo>
                <a:lnTo>
                  <a:pt x="4093464" y="414528"/>
                </a:lnTo>
                <a:close/>
              </a:path>
              <a:path w="7275830" h="2894330">
                <a:moveTo>
                  <a:pt x="4093464" y="207264"/>
                </a:moveTo>
                <a:lnTo>
                  <a:pt x="3384804" y="207264"/>
                </a:lnTo>
                <a:lnTo>
                  <a:pt x="3384804" y="411480"/>
                </a:lnTo>
                <a:lnTo>
                  <a:pt x="4093464" y="411480"/>
                </a:lnTo>
                <a:lnTo>
                  <a:pt x="4093464" y="207264"/>
                </a:lnTo>
                <a:close/>
              </a:path>
              <a:path w="7275830" h="2894330">
                <a:moveTo>
                  <a:pt x="4093464" y="0"/>
                </a:moveTo>
                <a:lnTo>
                  <a:pt x="3384804" y="0"/>
                </a:lnTo>
                <a:lnTo>
                  <a:pt x="3384804" y="204216"/>
                </a:lnTo>
                <a:lnTo>
                  <a:pt x="4093464" y="204216"/>
                </a:lnTo>
                <a:lnTo>
                  <a:pt x="4093464" y="0"/>
                </a:lnTo>
                <a:close/>
              </a:path>
              <a:path w="7275830" h="2894330">
                <a:moveTo>
                  <a:pt x="5154168" y="2689860"/>
                </a:moveTo>
                <a:lnTo>
                  <a:pt x="4096512" y="2689860"/>
                </a:lnTo>
                <a:lnTo>
                  <a:pt x="4096512" y="2894076"/>
                </a:lnTo>
                <a:lnTo>
                  <a:pt x="5154168" y="2894076"/>
                </a:lnTo>
                <a:lnTo>
                  <a:pt x="5154168" y="2689860"/>
                </a:lnTo>
                <a:close/>
              </a:path>
              <a:path w="7275830" h="2894330">
                <a:moveTo>
                  <a:pt x="5154168" y="2484120"/>
                </a:moveTo>
                <a:lnTo>
                  <a:pt x="4096512" y="2484120"/>
                </a:lnTo>
                <a:lnTo>
                  <a:pt x="4096512" y="2686812"/>
                </a:lnTo>
                <a:lnTo>
                  <a:pt x="5154168" y="2686812"/>
                </a:lnTo>
                <a:lnTo>
                  <a:pt x="5154168" y="2484120"/>
                </a:lnTo>
                <a:close/>
              </a:path>
              <a:path w="7275830" h="2894330">
                <a:moveTo>
                  <a:pt x="5154168" y="2276856"/>
                </a:moveTo>
                <a:lnTo>
                  <a:pt x="4096512" y="2276856"/>
                </a:lnTo>
                <a:lnTo>
                  <a:pt x="4096512" y="2481072"/>
                </a:lnTo>
                <a:lnTo>
                  <a:pt x="5154168" y="2481072"/>
                </a:lnTo>
                <a:lnTo>
                  <a:pt x="5154168" y="2276856"/>
                </a:lnTo>
                <a:close/>
              </a:path>
              <a:path w="7275830" h="2894330">
                <a:moveTo>
                  <a:pt x="5154168" y="2069592"/>
                </a:moveTo>
                <a:lnTo>
                  <a:pt x="4096512" y="2069592"/>
                </a:lnTo>
                <a:lnTo>
                  <a:pt x="4096512" y="2273808"/>
                </a:lnTo>
                <a:lnTo>
                  <a:pt x="5154168" y="2273808"/>
                </a:lnTo>
                <a:lnTo>
                  <a:pt x="5154168" y="2069592"/>
                </a:lnTo>
                <a:close/>
              </a:path>
              <a:path w="7275830" h="2894330">
                <a:moveTo>
                  <a:pt x="5154168" y="1862328"/>
                </a:moveTo>
                <a:lnTo>
                  <a:pt x="4096512" y="1862328"/>
                </a:lnTo>
                <a:lnTo>
                  <a:pt x="4096512" y="2066544"/>
                </a:lnTo>
                <a:lnTo>
                  <a:pt x="5154168" y="2066544"/>
                </a:lnTo>
                <a:lnTo>
                  <a:pt x="5154168" y="1862328"/>
                </a:lnTo>
                <a:close/>
              </a:path>
              <a:path w="7275830" h="2894330">
                <a:moveTo>
                  <a:pt x="5154168" y="1656588"/>
                </a:moveTo>
                <a:lnTo>
                  <a:pt x="4096512" y="1656588"/>
                </a:lnTo>
                <a:lnTo>
                  <a:pt x="4096512" y="1859280"/>
                </a:lnTo>
                <a:lnTo>
                  <a:pt x="5154168" y="1859280"/>
                </a:lnTo>
                <a:lnTo>
                  <a:pt x="5154168" y="1656588"/>
                </a:lnTo>
                <a:close/>
              </a:path>
              <a:path w="7275830" h="2894330">
                <a:moveTo>
                  <a:pt x="5154168" y="1449324"/>
                </a:moveTo>
                <a:lnTo>
                  <a:pt x="4096512" y="1449324"/>
                </a:lnTo>
                <a:lnTo>
                  <a:pt x="4096512" y="1653540"/>
                </a:lnTo>
                <a:lnTo>
                  <a:pt x="5154168" y="1653540"/>
                </a:lnTo>
                <a:lnTo>
                  <a:pt x="5154168" y="1449324"/>
                </a:lnTo>
                <a:close/>
              </a:path>
              <a:path w="7275830" h="2894330">
                <a:moveTo>
                  <a:pt x="5154168" y="1242060"/>
                </a:moveTo>
                <a:lnTo>
                  <a:pt x="4096512" y="1242060"/>
                </a:lnTo>
                <a:lnTo>
                  <a:pt x="4096512" y="1446276"/>
                </a:lnTo>
                <a:lnTo>
                  <a:pt x="5154168" y="1446276"/>
                </a:lnTo>
                <a:lnTo>
                  <a:pt x="5154168" y="1242060"/>
                </a:lnTo>
                <a:close/>
              </a:path>
              <a:path w="7275830" h="2894330">
                <a:moveTo>
                  <a:pt x="5154168" y="1034796"/>
                </a:moveTo>
                <a:lnTo>
                  <a:pt x="4096512" y="1034796"/>
                </a:lnTo>
                <a:lnTo>
                  <a:pt x="4096512" y="1239012"/>
                </a:lnTo>
                <a:lnTo>
                  <a:pt x="5154168" y="1239012"/>
                </a:lnTo>
                <a:lnTo>
                  <a:pt x="5154168" y="1034796"/>
                </a:lnTo>
                <a:close/>
              </a:path>
              <a:path w="7275830" h="2894330">
                <a:moveTo>
                  <a:pt x="5154168" y="827532"/>
                </a:moveTo>
                <a:lnTo>
                  <a:pt x="4096512" y="827532"/>
                </a:lnTo>
                <a:lnTo>
                  <a:pt x="4096512" y="1031748"/>
                </a:lnTo>
                <a:lnTo>
                  <a:pt x="5154168" y="1031748"/>
                </a:lnTo>
                <a:lnTo>
                  <a:pt x="5154168" y="827532"/>
                </a:lnTo>
                <a:close/>
              </a:path>
              <a:path w="7275830" h="2894330">
                <a:moveTo>
                  <a:pt x="5154168" y="620268"/>
                </a:moveTo>
                <a:lnTo>
                  <a:pt x="4096512" y="620268"/>
                </a:lnTo>
                <a:lnTo>
                  <a:pt x="4096512" y="824484"/>
                </a:lnTo>
                <a:lnTo>
                  <a:pt x="5154168" y="824484"/>
                </a:lnTo>
                <a:lnTo>
                  <a:pt x="5154168" y="620268"/>
                </a:lnTo>
                <a:close/>
              </a:path>
              <a:path w="7275830" h="2894330">
                <a:moveTo>
                  <a:pt x="5154168" y="414528"/>
                </a:moveTo>
                <a:lnTo>
                  <a:pt x="4096512" y="414528"/>
                </a:lnTo>
                <a:lnTo>
                  <a:pt x="4096512" y="617220"/>
                </a:lnTo>
                <a:lnTo>
                  <a:pt x="5154168" y="617220"/>
                </a:lnTo>
                <a:lnTo>
                  <a:pt x="5154168" y="414528"/>
                </a:lnTo>
                <a:close/>
              </a:path>
              <a:path w="7275830" h="2894330">
                <a:moveTo>
                  <a:pt x="5154168" y="207264"/>
                </a:moveTo>
                <a:lnTo>
                  <a:pt x="4096512" y="207264"/>
                </a:lnTo>
                <a:lnTo>
                  <a:pt x="4096512" y="411480"/>
                </a:lnTo>
                <a:lnTo>
                  <a:pt x="5154168" y="411480"/>
                </a:lnTo>
                <a:lnTo>
                  <a:pt x="5154168" y="207264"/>
                </a:lnTo>
                <a:close/>
              </a:path>
              <a:path w="7275830" h="2894330">
                <a:moveTo>
                  <a:pt x="5154168" y="0"/>
                </a:moveTo>
                <a:lnTo>
                  <a:pt x="4096512" y="0"/>
                </a:lnTo>
                <a:lnTo>
                  <a:pt x="4096512" y="204216"/>
                </a:lnTo>
                <a:lnTo>
                  <a:pt x="5154168" y="204216"/>
                </a:lnTo>
                <a:lnTo>
                  <a:pt x="5154168" y="0"/>
                </a:lnTo>
                <a:close/>
              </a:path>
              <a:path w="7275830" h="2894330">
                <a:moveTo>
                  <a:pt x="6214872" y="2484120"/>
                </a:moveTo>
                <a:lnTo>
                  <a:pt x="5157216" y="2484120"/>
                </a:lnTo>
                <a:lnTo>
                  <a:pt x="5157216" y="2686812"/>
                </a:lnTo>
                <a:lnTo>
                  <a:pt x="6214872" y="2686812"/>
                </a:lnTo>
                <a:lnTo>
                  <a:pt x="6214872" y="2484120"/>
                </a:lnTo>
                <a:close/>
              </a:path>
              <a:path w="7275830" h="2894330">
                <a:moveTo>
                  <a:pt x="6214872" y="2276856"/>
                </a:moveTo>
                <a:lnTo>
                  <a:pt x="5157216" y="2276856"/>
                </a:lnTo>
                <a:lnTo>
                  <a:pt x="5157216" y="2481072"/>
                </a:lnTo>
                <a:lnTo>
                  <a:pt x="6214872" y="2481072"/>
                </a:lnTo>
                <a:lnTo>
                  <a:pt x="6214872" y="2276856"/>
                </a:lnTo>
                <a:close/>
              </a:path>
              <a:path w="7275830" h="2894330">
                <a:moveTo>
                  <a:pt x="6214872" y="2069592"/>
                </a:moveTo>
                <a:lnTo>
                  <a:pt x="5157216" y="2069592"/>
                </a:lnTo>
                <a:lnTo>
                  <a:pt x="5157216" y="2273808"/>
                </a:lnTo>
                <a:lnTo>
                  <a:pt x="6214872" y="2273808"/>
                </a:lnTo>
                <a:lnTo>
                  <a:pt x="6214872" y="2069592"/>
                </a:lnTo>
                <a:close/>
              </a:path>
              <a:path w="7275830" h="2894330">
                <a:moveTo>
                  <a:pt x="6214872" y="1862328"/>
                </a:moveTo>
                <a:lnTo>
                  <a:pt x="5157216" y="1862328"/>
                </a:lnTo>
                <a:lnTo>
                  <a:pt x="5157216" y="2066544"/>
                </a:lnTo>
                <a:lnTo>
                  <a:pt x="6214872" y="2066544"/>
                </a:lnTo>
                <a:lnTo>
                  <a:pt x="6214872" y="1862328"/>
                </a:lnTo>
                <a:close/>
              </a:path>
              <a:path w="7275830" h="2894330">
                <a:moveTo>
                  <a:pt x="6214872" y="1656588"/>
                </a:moveTo>
                <a:lnTo>
                  <a:pt x="5157216" y="1656588"/>
                </a:lnTo>
                <a:lnTo>
                  <a:pt x="5157216" y="1859280"/>
                </a:lnTo>
                <a:lnTo>
                  <a:pt x="6214872" y="1859280"/>
                </a:lnTo>
                <a:lnTo>
                  <a:pt x="6214872" y="1656588"/>
                </a:lnTo>
                <a:close/>
              </a:path>
              <a:path w="7275830" h="2894330">
                <a:moveTo>
                  <a:pt x="6214872" y="1449324"/>
                </a:moveTo>
                <a:lnTo>
                  <a:pt x="5157216" y="1449324"/>
                </a:lnTo>
                <a:lnTo>
                  <a:pt x="5157216" y="1653540"/>
                </a:lnTo>
                <a:lnTo>
                  <a:pt x="6214872" y="1653540"/>
                </a:lnTo>
                <a:lnTo>
                  <a:pt x="6214872" y="1449324"/>
                </a:lnTo>
                <a:close/>
              </a:path>
              <a:path w="7275830" h="2894330">
                <a:moveTo>
                  <a:pt x="6214872" y="1242060"/>
                </a:moveTo>
                <a:lnTo>
                  <a:pt x="5157216" y="1242060"/>
                </a:lnTo>
                <a:lnTo>
                  <a:pt x="5157216" y="1446276"/>
                </a:lnTo>
                <a:lnTo>
                  <a:pt x="6214872" y="1446276"/>
                </a:lnTo>
                <a:lnTo>
                  <a:pt x="6214872" y="1242060"/>
                </a:lnTo>
                <a:close/>
              </a:path>
              <a:path w="7275830" h="2894330">
                <a:moveTo>
                  <a:pt x="6214872" y="1034796"/>
                </a:moveTo>
                <a:lnTo>
                  <a:pt x="5157216" y="1034796"/>
                </a:lnTo>
                <a:lnTo>
                  <a:pt x="5157216" y="1239012"/>
                </a:lnTo>
                <a:lnTo>
                  <a:pt x="6214872" y="1239012"/>
                </a:lnTo>
                <a:lnTo>
                  <a:pt x="6214872" y="1034796"/>
                </a:lnTo>
                <a:close/>
              </a:path>
              <a:path w="7275830" h="2894330">
                <a:moveTo>
                  <a:pt x="6214872" y="827532"/>
                </a:moveTo>
                <a:lnTo>
                  <a:pt x="5157216" y="827532"/>
                </a:lnTo>
                <a:lnTo>
                  <a:pt x="5157216" y="1031748"/>
                </a:lnTo>
                <a:lnTo>
                  <a:pt x="6214872" y="1031748"/>
                </a:lnTo>
                <a:lnTo>
                  <a:pt x="6214872" y="827532"/>
                </a:lnTo>
                <a:close/>
              </a:path>
              <a:path w="7275830" h="2894330">
                <a:moveTo>
                  <a:pt x="6214872" y="620268"/>
                </a:moveTo>
                <a:lnTo>
                  <a:pt x="5157216" y="620268"/>
                </a:lnTo>
                <a:lnTo>
                  <a:pt x="5157216" y="824484"/>
                </a:lnTo>
                <a:lnTo>
                  <a:pt x="6214872" y="824484"/>
                </a:lnTo>
                <a:lnTo>
                  <a:pt x="6214872" y="620268"/>
                </a:lnTo>
                <a:close/>
              </a:path>
              <a:path w="7275830" h="2894330">
                <a:moveTo>
                  <a:pt x="6214872" y="414528"/>
                </a:moveTo>
                <a:lnTo>
                  <a:pt x="5157216" y="414528"/>
                </a:lnTo>
                <a:lnTo>
                  <a:pt x="5157216" y="617220"/>
                </a:lnTo>
                <a:lnTo>
                  <a:pt x="6214872" y="617220"/>
                </a:lnTo>
                <a:lnTo>
                  <a:pt x="6214872" y="414528"/>
                </a:lnTo>
                <a:close/>
              </a:path>
              <a:path w="7275830" h="2894330">
                <a:moveTo>
                  <a:pt x="6214872" y="207264"/>
                </a:moveTo>
                <a:lnTo>
                  <a:pt x="5157216" y="207264"/>
                </a:lnTo>
                <a:lnTo>
                  <a:pt x="5157216" y="411480"/>
                </a:lnTo>
                <a:lnTo>
                  <a:pt x="6214872" y="411480"/>
                </a:lnTo>
                <a:lnTo>
                  <a:pt x="6214872" y="207264"/>
                </a:lnTo>
                <a:close/>
              </a:path>
              <a:path w="7275830" h="2894330">
                <a:moveTo>
                  <a:pt x="6214872" y="0"/>
                </a:moveTo>
                <a:lnTo>
                  <a:pt x="5157216" y="0"/>
                </a:lnTo>
                <a:lnTo>
                  <a:pt x="5157216" y="204216"/>
                </a:lnTo>
                <a:lnTo>
                  <a:pt x="6214872" y="204216"/>
                </a:lnTo>
                <a:lnTo>
                  <a:pt x="6214872" y="0"/>
                </a:lnTo>
                <a:close/>
              </a:path>
              <a:path w="7275830" h="2894330">
                <a:moveTo>
                  <a:pt x="7275576" y="2484120"/>
                </a:moveTo>
                <a:lnTo>
                  <a:pt x="6217920" y="2484120"/>
                </a:lnTo>
                <a:lnTo>
                  <a:pt x="6217920" y="2686812"/>
                </a:lnTo>
                <a:lnTo>
                  <a:pt x="7275576" y="2686812"/>
                </a:lnTo>
                <a:lnTo>
                  <a:pt x="7275576" y="2484120"/>
                </a:lnTo>
                <a:close/>
              </a:path>
              <a:path w="7275830" h="2894330">
                <a:moveTo>
                  <a:pt x="7275576" y="2276856"/>
                </a:moveTo>
                <a:lnTo>
                  <a:pt x="6217920" y="2276856"/>
                </a:lnTo>
                <a:lnTo>
                  <a:pt x="6217920" y="2481072"/>
                </a:lnTo>
                <a:lnTo>
                  <a:pt x="7275576" y="2481072"/>
                </a:lnTo>
                <a:lnTo>
                  <a:pt x="7275576" y="2276856"/>
                </a:lnTo>
                <a:close/>
              </a:path>
              <a:path w="7275830" h="2894330">
                <a:moveTo>
                  <a:pt x="7275576" y="2069592"/>
                </a:moveTo>
                <a:lnTo>
                  <a:pt x="6217920" y="2069592"/>
                </a:lnTo>
                <a:lnTo>
                  <a:pt x="6217920" y="2273808"/>
                </a:lnTo>
                <a:lnTo>
                  <a:pt x="7275576" y="2273808"/>
                </a:lnTo>
                <a:lnTo>
                  <a:pt x="7275576" y="2069592"/>
                </a:lnTo>
                <a:close/>
              </a:path>
              <a:path w="7275830" h="2894330">
                <a:moveTo>
                  <a:pt x="7275576" y="1862328"/>
                </a:moveTo>
                <a:lnTo>
                  <a:pt x="6217920" y="1862328"/>
                </a:lnTo>
                <a:lnTo>
                  <a:pt x="6217920" y="2066544"/>
                </a:lnTo>
                <a:lnTo>
                  <a:pt x="7275576" y="2066544"/>
                </a:lnTo>
                <a:lnTo>
                  <a:pt x="7275576" y="1862328"/>
                </a:lnTo>
                <a:close/>
              </a:path>
              <a:path w="7275830" h="2894330">
                <a:moveTo>
                  <a:pt x="7275576" y="1656588"/>
                </a:moveTo>
                <a:lnTo>
                  <a:pt x="6217920" y="1656588"/>
                </a:lnTo>
                <a:lnTo>
                  <a:pt x="6217920" y="1859280"/>
                </a:lnTo>
                <a:lnTo>
                  <a:pt x="7275576" y="1859280"/>
                </a:lnTo>
                <a:lnTo>
                  <a:pt x="7275576" y="1656588"/>
                </a:lnTo>
                <a:close/>
              </a:path>
              <a:path w="7275830" h="2894330">
                <a:moveTo>
                  <a:pt x="7275576" y="1449324"/>
                </a:moveTo>
                <a:lnTo>
                  <a:pt x="6217920" y="1449324"/>
                </a:lnTo>
                <a:lnTo>
                  <a:pt x="6217920" y="1653540"/>
                </a:lnTo>
                <a:lnTo>
                  <a:pt x="7275576" y="1653540"/>
                </a:lnTo>
                <a:lnTo>
                  <a:pt x="7275576" y="1449324"/>
                </a:lnTo>
                <a:close/>
              </a:path>
              <a:path w="7275830" h="2894330">
                <a:moveTo>
                  <a:pt x="7275576" y="1242060"/>
                </a:moveTo>
                <a:lnTo>
                  <a:pt x="6217920" y="1242060"/>
                </a:lnTo>
                <a:lnTo>
                  <a:pt x="6217920" y="1446276"/>
                </a:lnTo>
                <a:lnTo>
                  <a:pt x="7275576" y="1446276"/>
                </a:lnTo>
                <a:lnTo>
                  <a:pt x="7275576" y="1242060"/>
                </a:lnTo>
                <a:close/>
              </a:path>
              <a:path w="7275830" h="2894330">
                <a:moveTo>
                  <a:pt x="7275576" y="1034796"/>
                </a:moveTo>
                <a:lnTo>
                  <a:pt x="6217920" y="1034796"/>
                </a:lnTo>
                <a:lnTo>
                  <a:pt x="6217920" y="1239012"/>
                </a:lnTo>
                <a:lnTo>
                  <a:pt x="7275576" y="1239012"/>
                </a:lnTo>
                <a:lnTo>
                  <a:pt x="7275576" y="1034796"/>
                </a:lnTo>
                <a:close/>
              </a:path>
              <a:path w="7275830" h="2894330">
                <a:moveTo>
                  <a:pt x="7275576" y="827532"/>
                </a:moveTo>
                <a:lnTo>
                  <a:pt x="6217920" y="827532"/>
                </a:lnTo>
                <a:lnTo>
                  <a:pt x="6217920" y="1031748"/>
                </a:lnTo>
                <a:lnTo>
                  <a:pt x="7275576" y="1031748"/>
                </a:lnTo>
                <a:lnTo>
                  <a:pt x="7275576" y="827532"/>
                </a:lnTo>
                <a:close/>
              </a:path>
              <a:path w="7275830" h="2894330">
                <a:moveTo>
                  <a:pt x="7275576" y="620268"/>
                </a:moveTo>
                <a:lnTo>
                  <a:pt x="6217920" y="620268"/>
                </a:lnTo>
                <a:lnTo>
                  <a:pt x="6217920" y="824484"/>
                </a:lnTo>
                <a:lnTo>
                  <a:pt x="7275576" y="824484"/>
                </a:lnTo>
                <a:lnTo>
                  <a:pt x="7275576" y="620268"/>
                </a:lnTo>
                <a:close/>
              </a:path>
              <a:path w="7275830" h="2894330">
                <a:moveTo>
                  <a:pt x="7275576" y="414528"/>
                </a:moveTo>
                <a:lnTo>
                  <a:pt x="6217920" y="414528"/>
                </a:lnTo>
                <a:lnTo>
                  <a:pt x="6217920" y="617220"/>
                </a:lnTo>
                <a:lnTo>
                  <a:pt x="7275576" y="617220"/>
                </a:lnTo>
                <a:lnTo>
                  <a:pt x="7275576" y="414528"/>
                </a:lnTo>
                <a:close/>
              </a:path>
              <a:path w="7275830" h="2894330">
                <a:moveTo>
                  <a:pt x="7275576" y="207264"/>
                </a:moveTo>
                <a:lnTo>
                  <a:pt x="6217920" y="207264"/>
                </a:lnTo>
                <a:lnTo>
                  <a:pt x="6217920" y="411480"/>
                </a:lnTo>
                <a:lnTo>
                  <a:pt x="7275576" y="411480"/>
                </a:lnTo>
                <a:lnTo>
                  <a:pt x="7275576" y="207264"/>
                </a:lnTo>
                <a:close/>
              </a:path>
              <a:path w="7275830" h="2894330">
                <a:moveTo>
                  <a:pt x="7275576" y="0"/>
                </a:moveTo>
                <a:lnTo>
                  <a:pt x="6217920" y="0"/>
                </a:lnTo>
                <a:lnTo>
                  <a:pt x="6217920" y="204216"/>
                </a:lnTo>
                <a:lnTo>
                  <a:pt x="7275576" y="204216"/>
                </a:lnTo>
                <a:lnTo>
                  <a:pt x="7275576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1000-000088000000}"/>
              </a:ext>
            </a:extLst>
          </xdr:cNvPr>
          <xdr:cNvSpPr/>
        </xdr:nvSpPr>
        <xdr:spPr>
          <a:xfrm>
            <a:off x="2822448" y="2689859"/>
            <a:ext cx="4453255" cy="1653539"/>
          </a:xfrm>
          <a:custGeom>
            <a:avLst/>
            <a:gdLst/>
            <a:ahLst/>
            <a:cxnLst/>
            <a:rect l="0" t="0" r="0" b="0"/>
            <a:pathLst>
              <a:path w="4453255" h="1653539">
                <a:moveTo>
                  <a:pt x="559308" y="1449324"/>
                </a:moveTo>
                <a:lnTo>
                  <a:pt x="0" y="1449324"/>
                </a:lnTo>
                <a:lnTo>
                  <a:pt x="0" y="1653540"/>
                </a:lnTo>
                <a:lnTo>
                  <a:pt x="559308" y="1653540"/>
                </a:lnTo>
                <a:lnTo>
                  <a:pt x="559308" y="1449324"/>
                </a:lnTo>
                <a:close/>
              </a:path>
              <a:path w="4453255" h="1653539">
                <a:moveTo>
                  <a:pt x="559308" y="1242060"/>
                </a:moveTo>
                <a:lnTo>
                  <a:pt x="0" y="1242060"/>
                </a:lnTo>
                <a:lnTo>
                  <a:pt x="0" y="1446276"/>
                </a:lnTo>
                <a:lnTo>
                  <a:pt x="559308" y="1446276"/>
                </a:lnTo>
                <a:lnTo>
                  <a:pt x="559308" y="1242060"/>
                </a:lnTo>
                <a:close/>
              </a:path>
              <a:path w="4453255" h="1653539">
                <a:moveTo>
                  <a:pt x="559308" y="1036320"/>
                </a:moveTo>
                <a:lnTo>
                  <a:pt x="0" y="1036320"/>
                </a:lnTo>
                <a:lnTo>
                  <a:pt x="0" y="1239012"/>
                </a:lnTo>
                <a:lnTo>
                  <a:pt x="559308" y="1239012"/>
                </a:lnTo>
                <a:lnTo>
                  <a:pt x="559308" y="1036320"/>
                </a:lnTo>
                <a:close/>
              </a:path>
              <a:path w="4453255" h="1653539">
                <a:moveTo>
                  <a:pt x="559308" y="829056"/>
                </a:moveTo>
                <a:lnTo>
                  <a:pt x="0" y="829056"/>
                </a:lnTo>
                <a:lnTo>
                  <a:pt x="0" y="1031748"/>
                </a:lnTo>
                <a:lnTo>
                  <a:pt x="559308" y="1031748"/>
                </a:lnTo>
                <a:lnTo>
                  <a:pt x="559308" y="829056"/>
                </a:lnTo>
                <a:close/>
              </a:path>
              <a:path w="4453255" h="1653539">
                <a:moveTo>
                  <a:pt x="559308" y="621792"/>
                </a:moveTo>
                <a:lnTo>
                  <a:pt x="0" y="621792"/>
                </a:lnTo>
                <a:lnTo>
                  <a:pt x="0" y="826008"/>
                </a:lnTo>
                <a:lnTo>
                  <a:pt x="559308" y="826008"/>
                </a:lnTo>
                <a:lnTo>
                  <a:pt x="559308" y="621792"/>
                </a:lnTo>
                <a:close/>
              </a:path>
              <a:path w="4453255" h="1653539">
                <a:moveTo>
                  <a:pt x="559308" y="414528"/>
                </a:moveTo>
                <a:lnTo>
                  <a:pt x="0" y="414528"/>
                </a:lnTo>
                <a:lnTo>
                  <a:pt x="0" y="618744"/>
                </a:lnTo>
                <a:lnTo>
                  <a:pt x="559308" y="618744"/>
                </a:lnTo>
                <a:lnTo>
                  <a:pt x="559308" y="414528"/>
                </a:lnTo>
                <a:close/>
              </a:path>
              <a:path w="4453255" h="1653539">
                <a:moveTo>
                  <a:pt x="559308" y="207264"/>
                </a:moveTo>
                <a:lnTo>
                  <a:pt x="0" y="207264"/>
                </a:lnTo>
                <a:lnTo>
                  <a:pt x="0" y="411480"/>
                </a:lnTo>
                <a:lnTo>
                  <a:pt x="559308" y="411480"/>
                </a:lnTo>
                <a:lnTo>
                  <a:pt x="559308" y="207264"/>
                </a:lnTo>
                <a:close/>
              </a:path>
              <a:path w="4453255" h="1653539">
                <a:moveTo>
                  <a:pt x="1271016" y="1449324"/>
                </a:moveTo>
                <a:lnTo>
                  <a:pt x="562356" y="1449324"/>
                </a:lnTo>
                <a:lnTo>
                  <a:pt x="562356" y="1653540"/>
                </a:lnTo>
                <a:lnTo>
                  <a:pt x="1271016" y="1653540"/>
                </a:lnTo>
                <a:lnTo>
                  <a:pt x="1271016" y="1449324"/>
                </a:lnTo>
                <a:close/>
              </a:path>
              <a:path w="4453255" h="1653539">
                <a:moveTo>
                  <a:pt x="1271016" y="1242060"/>
                </a:moveTo>
                <a:lnTo>
                  <a:pt x="562356" y="1242060"/>
                </a:lnTo>
                <a:lnTo>
                  <a:pt x="562356" y="1446276"/>
                </a:lnTo>
                <a:lnTo>
                  <a:pt x="1271016" y="1446276"/>
                </a:lnTo>
                <a:lnTo>
                  <a:pt x="1271016" y="1242060"/>
                </a:lnTo>
                <a:close/>
              </a:path>
              <a:path w="4453255" h="1653539">
                <a:moveTo>
                  <a:pt x="1271016" y="1036320"/>
                </a:moveTo>
                <a:lnTo>
                  <a:pt x="562356" y="1036320"/>
                </a:lnTo>
                <a:lnTo>
                  <a:pt x="562356" y="1239012"/>
                </a:lnTo>
                <a:lnTo>
                  <a:pt x="1271016" y="1239012"/>
                </a:lnTo>
                <a:lnTo>
                  <a:pt x="1271016" y="1036320"/>
                </a:lnTo>
                <a:close/>
              </a:path>
              <a:path w="4453255" h="1653539">
                <a:moveTo>
                  <a:pt x="1271016" y="829056"/>
                </a:moveTo>
                <a:lnTo>
                  <a:pt x="562356" y="829056"/>
                </a:lnTo>
                <a:lnTo>
                  <a:pt x="562356" y="1031748"/>
                </a:lnTo>
                <a:lnTo>
                  <a:pt x="1271016" y="1031748"/>
                </a:lnTo>
                <a:lnTo>
                  <a:pt x="1271016" y="829056"/>
                </a:lnTo>
                <a:close/>
              </a:path>
              <a:path w="4453255" h="1653539">
                <a:moveTo>
                  <a:pt x="1271016" y="621792"/>
                </a:moveTo>
                <a:lnTo>
                  <a:pt x="562356" y="621792"/>
                </a:lnTo>
                <a:lnTo>
                  <a:pt x="562356" y="826008"/>
                </a:lnTo>
                <a:lnTo>
                  <a:pt x="1271016" y="826008"/>
                </a:lnTo>
                <a:lnTo>
                  <a:pt x="1271016" y="621792"/>
                </a:lnTo>
                <a:close/>
              </a:path>
              <a:path w="4453255" h="1653539">
                <a:moveTo>
                  <a:pt x="1271016" y="414528"/>
                </a:moveTo>
                <a:lnTo>
                  <a:pt x="562356" y="414528"/>
                </a:lnTo>
                <a:lnTo>
                  <a:pt x="562356" y="618744"/>
                </a:lnTo>
                <a:lnTo>
                  <a:pt x="1271016" y="618744"/>
                </a:lnTo>
                <a:lnTo>
                  <a:pt x="1271016" y="414528"/>
                </a:lnTo>
                <a:close/>
              </a:path>
              <a:path w="4453255" h="1653539">
                <a:moveTo>
                  <a:pt x="1271016" y="207264"/>
                </a:moveTo>
                <a:lnTo>
                  <a:pt x="562356" y="207264"/>
                </a:lnTo>
                <a:lnTo>
                  <a:pt x="562356" y="411480"/>
                </a:lnTo>
                <a:lnTo>
                  <a:pt x="1271016" y="411480"/>
                </a:lnTo>
                <a:lnTo>
                  <a:pt x="1271016" y="207264"/>
                </a:lnTo>
                <a:close/>
              </a:path>
              <a:path w="4453255" h="1653539">
                <a:moveTo>
                  <a:pt x="2331720" y="1449324"/>
                </a:moveTo>
                <a:lnTo>
                  <a:pt x="1274064" y="1449324"/>
                </a:lnTo>
                <a:lnTo>
                  <a:pt x="1274064" y="1653540"/>
                </a:lnTo>
                <a:lnTo>
                  <a:pt x="2331720" y="1653540"/>
                </a:lnTo>
                <a:lnTo>
                  <a:pt x="2331720" y="1449324"/>
                </a:lnTo>
                <a:close/>
              </a:path>
              <a:path w="4453255" h="1653539">
                <a:moveTo>
                  <a:pt x="2331720" y="1242060"/>
                </a:moveTo>
                <a:lnTo>
                  <a:pt x="1274064" y="1242060"/>
                </a:lnTo>
                <a:lnTo>
                  <a:pt x="1274064" y="1446276"/>
                </a:lnTo>
                <a:lnTo>
                  <a:pt x="2331720" y="1446276"/>
                </a:lnTo>
                <a:lnTo>
                  <a:pt x="2331720" y="1242060"/>
                </a:lnTo>
                <a:close/>
              </a:path>
              <a:path w="4453255" h="1653539">
                <a:moveTo>
                  <a:pt x="2331720" y="1036320"/>
                </a:moveTo>
                <a:lnTo>
                  <a:pt x="1274064" y="1036320"/>
                </a:lnTo>
                <a:lnTo>
                  <a:pt x="1274064" y="1239012"/>
                </a:lnTo>
                <a:lnTo>
                  <a:pt x="2331720" y="1239012"/>
                </a:lnTo>
                <a:lnTo>
                  <a:pt x="2331720" y="1036320"/>
                </a:lnTo>
                <a:close/>
              </a:path>
              <a:path w="4453255" h="1653539">
                <a:moveTo>
                  <a:pt x="2331720" y="829056"/>
                </a:moveTo>
                <a:lnTo>
                  <a:pt x="1274064" y="829056"/>
                </a:lnTo>
                <a:lnTo>
                  <a:pt x="1274064" y="1031748"/>
                </a:lnTo>
                <a:lnTo>
                  <a:pt x="2331720" y="1031748"/>
                </a:lnTo>
                <a:lnTo>
                  <a:pt x="2331720" y="829056"/>
                </a:lnTo>
                <a:close/>
              </a:path>
              <a:path w="4453255" h="1653539">
                <a:moveTo>
                  <a:pt x="2331720" y="621792"/>
                </a:moveTo>
                <a:lnTo>
                  <a:pt x="1274064" y="621792"/>
                </a:lnTo>
                <a:lnTo>
                  <a:pt x="1274064" y="826008"/>
                </a:lnTo>
                <a:lnTo>
                  <a:pt x="2331720" y="826008"/>
                </a:lnTo>
                <a:lnTo>
                  <a:pt x="2331720" y="621792"/>
                </a:lnTo>
                <a:close/>
              </a:path>
              <a:path w="4453255" h="1653539">
                <a:moveTo>
                  <a:pt x="2331720" y="414528"/>
                </a:moveTo>
                <a:lnTo>
                  <a:pt x="1274064" y="414528"/>
                </a:lnTo>
                <a:lnTo>
                  <a:pt x="1274064" y="618744"/>
                </a:lnTo>
                <a:lnTo>
                  <a:pt x="2331720" y="618744"/>
                </a:lnTo>
                <a:lnTo>
                  <a:pt x="2331720" y="414528"/>
                </a:lnTo>
                <a:close/>
              </a:path>
              <a:path w="4453255" h="1653539">
                <a:moveTo>
                  <a:pt x="2331720" y="207264"/>
                </a:moveTo>
                <a:lnTo>
                  <a:pt x="1274064" y="207264"/>
                </a:lnTo>
                <a:lnTo>
                  <a:pt x="1274064" y="411480"/>
                </a:lnTo>
                <a:lnTo>
                  <a:pt x="2331720" y="411480"/>
                </a:lnTo>
                <a:lnTo>
                  <a:pt x="2331720" y="207264"/>
                </a:lnTo>
                <a:close/>
              </a:path>
              <a:path w="4453255" h="1653539">
                <a:moveTo>
                  <a:pt x="2331720" y="0"/>
                </a:moveTo>
                <a:lnTo>
                  <a:pt x="1274064" y="0"/>
                </a:lnTo>
                <a:lnTo>
                  <a:pt x="1274064" y="204216"/>
                </a:lnTo>
                <a:lnTo>
                  <a:pt x="2331720" y="204216"/>
                </a:lnTo>
                <a:lnTo>
                  <a:pt x="2331720" y="0"/>
                </a:lnTo>
                <a:close/>
              </a:path>
              <a:path w="4453255" h="1653539">
                <a:moveTo>
                  <a:pt x="3392424" y="1449324"/>
                </a:moveTo>
                <a:lnTo>
                  <a:pt x="2334768" y="1449324"/>
                </a:lnTo>
                <a:lnTo>
                  <a:pt x="2334768" y="1653540"/>
                </a:lnTo>
                <a:lnTo>
                  <a:pt x="3392424" y="1653540"/>
                </a:lnTo>
                <a:lnTo>
                  <a:pt x="3392424" y="1449324"/>
                </a:lnTo>
                <a:close/>
              </a:path>
              <a:path w="4453255" h="1653539">
                <a:moveTo>
                  <a:pt x="3392424" y="1242060"/>
                </a:moveTo>
                <a:lnTo>
                  <a:pt x="2334768" y="1242060"/>
                </a:lnTo>
                <a:lnTo>
                  <a:pt x="2334768" y="1446276"/>
                </a:lnTo>
                <a:lnTo>
                  <a:pt x="3392424" y="1446276"/>
                </a:lnTo>
                <a:lnTo>
                  <a:pt x="3392424" y="1242060"/>
                </a:lnTo>
                <a:close/>
              </a:path>
              <a:path w="4453255" h="1653539">
                <a:moveTo>
                  <a:pt x="3392424" y="1036320"/>
                </a:moveTo>
                <a:lnTo>
                  <a:pt x="2334768" y="1036320"/>
                </a:lnTo>
                <a:lnTo>
                  <a:pt x="2334768" y="1239012"/>
                </a:lnTo>
                <a:lnTo>
                  <a:pt x="3392424" y="1239012"/>
                </a:lnTo>
                <a:lnTo>
                  <a:pt x="3392424" y="1036320"/>
                </a:lnTo>
                <a:close/>
              </a:path>
              <a:path w="4453255" h="1653539">
                <a:moveTo>
                  <a:pt x="3392424" y="829056"/>
                </a:moveTo>
                <a:lnTo>
                  <a:pt x="2334768" y="829056"/>
                </a:lnTo>
                <a:lnTo>
                  <a:pt x="2334768" y="1031748"/>
                </a:lnTo>
                <a:lnTo>
                  <a:pt x="3392424" y="1031748"/>
                </a:lnTo>
                <a:lnTo>
                  <a:pt x="3392424" y="829056"/>
                </a:lnTo>
                <a:close/>
              </a:path>
              <a:path w="4453255" h="1653539">
                <a:moveTo>
                  <a:pt x="3392424" y="621792"/>
                </a:moveTo>
                <a:lnTo>
                  <a:pt x="2334768" y="621792"/>
                </a:lnTo>
                <a:lnTo>
                  <a:pt x="2334768" y="826008"/>
                </a:lnTo>
                <a:lnTo>
                  <a:pt x="3392424" y="826008"/>
                </a:lnTo>
                <a:lnTo>
                  <a:pt x="3392424" y="621792"/>
                </a:lnTo>
                <a:close/>
              </a:path>
              <a:path w="4453255" h="1653539">
                <a:moveTo>
                  <a:pt x="3392424" y="414528"/>
                </a:moveTo>
                <a:lnTo>
                  <a:pt x="2334768" y="414528"/>
                </a:lnTo>
                <a:lnTo>
                  <a:pt x="2334768" y="618744"/>
                </a:lnTo>
                <a:lnTo>
                  <a:pt x="3392424" y="618744"/>
                </a:lnTo>
                <a:lnTo>
                  <a:pt x="3392424" y="414528"/>
                </a:lnTo>
                <a:close/>
              </a:path>
              <a:path w="4453255" h="1653539">
                <a:moveTo>
                  <a:pt x="3392424" y="207264"/>
                </a:moveTo>
                <a:lnTo>
                  <a:pt x="2334768" y="207264"/>
                </a:lnTo>
                <a:lnTo>
                  <a:pt x="2334768" y="411480"/>
                </a:lnTo>
                <a:lnTo>
                  <a:pt x="3392424" y="411480"/>
                </a:lnTo>
                <a:lnTo>
                  <a:pt x="3392424" y="207264"/>
                </a:lnTo>
                <a:close/>
              </a:path>
              <a:path w="4453255" h="1653539">
                <a:moveTo>
                  <a:pt x="3392424" y="0"/>
                </a:moveTo>
                <a:lnTo>
                  <a:pt x="2334768" y="0"/>
                </a:lnTo>
                <a:lnTo>
                  <a:pt x="2334768" y="204216"/>
                </a:lnTo>
                <a:lnTo>
                  <a:pt x="3392424" y="204216"/>
                </a:lnTo>
                <a:lnTo>
                  <a:pt x="3392424" y="0"/>
                </a:lnTo>
                <a:close/>
              </a:path>
              <a:path w="4453255" h="1653539">
                <a:moveTo>
                  <a:pt x="4453128" y="1449324"/>
                </a:moveTo>
                <a:lnTo>
                  <a:pt x="3395472" y="1449324"/>
                </a:lnTo>
                <a:lnTo>
                  <a:pt x="3395472" y="1653540"/>
                </a:lnTo>
                <a:lnTo>
                  <a:pt x="4453128" y="1653540"/>
                </a:lnTo>
                <a:lnTo>
                  <a:pt x="4453128" y="1449324"/>
                </a:lnTo>
                <a:close/>
              </a:path>
              <a:path w="4453255" h="1653539">
                <a:moveTo>
                  <a:pt x="4453128" y="1242060"/>
                </a:moveTo>
                <a:lnTo>
                  <a:pt x="3395472" y="1242060"/>
                </a:lnTo>
                <a:lnTo>
                  <a:pt x="3395472" y="1446276"/>
                </a:lnTo>
                <a:lnTo>
                  <a:pt x="4453128" y="1446276"/>
                </a:lnTo>
                <a:lnTo>
                  <a:pt x="4453128" y="1242060"/>
                </a:lnTo>
                <a:close/>
              </a:path>
              <a:path w="4453255" h="1653539">
                <a:moveTo>
                  <a:pt x="4453128" y="1036320"/>
                </a:moveTo>
                <a:lnTo>
                  <a:pt x="3395472" y="1036320"/>
                </a:lnTo>
                <a:lnTo>
                  <a:pt x="3395472" y="1239012"/>
                </a:lnTo>
                <a:lnTo>
                  <a:pt x="4453128" y="1239012"/>
                </a:lnTo>
                <a:lnTo>
                  <a:pt x="4453128" y="1036320"/>
                </a:lnTo>
                <a:close/>
              </a:path>
              <a:path w="4453255" h="1653539">
                <a:moveTo>
                  <a:pt x="4453128" y="829056"/>
                </a:moveTo>
                <a:lnTo>
                  <a:pt x="3395472" y="829056"/>
                </a:lnTo>
                <a:lnTo>
                  <a:pt x="3395472" y="1031748"/>
                </a:lnTo>
                <a:lnTo>
                  <a:pt x="4453128" y="1031748"/>
                </a:lnTo>
                <a:lnTo>
                  <a:pt x="4453128" y="829056"/>
                </a:lnTo>
                <a:close/>
              </a:path>
              <a:path w="4453255" h="1653539">
                <a:moveTo>
                  <a:pt x="4453128" y="621792"/>
                </a:moveTo>
                <a:lnTo>
                  <a:pt x="3395472" y="621792"/>
                </a:lnTo>
                <a:lnTo>
                  <a:pt x="3395472" y="826008"/>
                </a:lnTo>
                <a:lnTo>
                  <a:pt x="4453128" y="826008"/>
                </a:lnTo>
                <a:lnTo>
                  <a:pt x="4453128" y="621792"/>
                </a:lnTo>
                <a:close/>
              </a:path>
              <a:path w="4453255" h="1653539">
                <a:moveTo>
                  <a:pt x="4453128" y="414528"/>
                </a:moveTo>
                <a:lnTo>
                  <a:pt x="3395472" y="414528"/>
                </a:lnTo>
                <a:lnTo>
                  <a:pt x="3395472" y="618744"/>
                </a:lnTo>
                <a:lnTo>
                  <a:pt x="4453128" y="618744"/>
                </a:lnTo>
                <a:lnTo>
                  <a:pt x="4453128" y="414528"/>
                </a:lnTo>
                <a:close/>
              </a:path>
              <a:path w="4453255" h="1653539">
                <a:moveTo>
                  <a:pt x="4453128" y="207264"/>
                </a:moveTo>
                <a:lnTo>
                  <a:pt x="3395472" y="207264"/>
                </a:lnTo>
                <a:lnTo>
                  <a:pt x="3395472" y="411480"/>
                </a:lnTo>
                <a:lnTo>
                  <a:pt x="4453128" y="411480"/>
                </a:lnTo>
                <a:lnTo>
                  <a:pt x="4453128" y="207264"/>
                </a:lnTo>
                <a:close/>
              </a:path>
              <a:path w="4453255" h="1653539">
                <a:moveTo>
                  <a:pt x="4453128" y="0"/>
                </a:moveTo>
                <a:lnTo>
                  <a:pt x="3395472" y="0"/>
                </a:lnTo>
                <a:lnTo>
                  <a:pt x="3395472" y="204216"/>
                </a:lnTo>
                <a:lnTo>
                  <a:pt x="4453128" y="204216"/>
                </a:lnTo>
                <a:lnTo>
                  <a:pt x="445312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539496</xdr:colOff>
      <xdr:row>27</xdr:row>
      <xdr:rowOff>0</xdr:rowOff>
    </xdr:from>
    <xdr:ext cx="708660" cy="434340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1000-000089000000}"/>
            </a:ext>
          </a:extLst>
        </xdr:cNvPr>
        <xdr:cNvSpPr/>
      </xdr:nvSpPr>
      <xdr:spPr>
        <a:xfrm>
          <a:off x="0" y="0"/>
          <a:ext cx="708660" cy="4343400"/>
        </a:xfrm>
        <a:custGeom>
          <a:avLst/>
          <a:gdLst/>
          <a:ahLst/>
          <a:cxnLst/>
          <a:rect l="0" t="0" r="0" b="0"/>
          <a:pathLst>
            <a:path w="708660" h="4343400">
              <a:moveTo>
                <a:pt x="708660" y="4139184"/>
              </a:moveTo>
              <a:lnTo>
                <a:pt x="0" y="4139184"/>
              </a:lnTo>
              <a:lnTo>
                <a:pt x="0" y="4343400"/>
              </a:lnTo>
              <a:lnTo>
                <a:pt x="708660" y="4343400"/>
              </a:lnTo>
              <a:lnTo>
                <a:pt x="708660" y="4139184"/>
              </a:lnTo>
              <a:close/>
            </a:path>
            <a:path w="708660" h="4343400">
              <a:moveTo>
                <a:pt x="708660" y="3931920"/>
              </a:moveTo>
              <a:lnTo>
                <a:pt x="0" y="3931920"/>
              </a:lnTo>
              <a:lnTo>
                <a:pt x="0" y="4136136"/>
              </a:lnTo>
              <a:lnTo>
                <a:pt x="708660" y="4136136"/>
              </a:lnTo>
              <a:lnTo>
                <a:pt x="708660" y="3931920"/>
              </a:lnTo>
              <a:close/>
            </a:path>
            <a:path w="708660" h="4343400">
              <a:moveTo>
                <a:pt x="708660" y="3726180"/>
              </a:moveTo>
              <a:lnTo>
                <a:pt x="0" y="3726180"/>
              </a:lnTo>
              <a:lnTo>
                <a:pt x="0" y="3928872"/>
              </a:lnTo>
              <a:lnTo>
                <a:pt x="708660" y="3928872"/>
              </a:lnTo>
              <a:lnTo>
                <a:pt x="708660" y="3726180"/>
              </a:lnTo>
              <a:close/>
            </a:path>
            <a:path w="708660" h="4343400">
              <a:moveTo>
                <a:pt x="708660" y="3518916"/>
              </a:moveTo>
              <a:lnTo>
                <a:pt x="0" y="3518916"/>
              </a:lnTo>
              <a:lnTo>
                <a:pt x="0" y="3721608"/>
              </a:lnTo>
              <a:lnTo>
                <a:pt x="708660" y="3721608"/>
              </a:lnTo>
              <a:lnTo>
                <a:pt x="708660" y="3518916"/>
              </a:lnTo>
              <a:close/>
            </a:path>
            <a:path w="708660" h="4343400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4343400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4343400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4343400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4343400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4343400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4343400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4343400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4343400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4343400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4343400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4343400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4343400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4343400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4343400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4343400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4343400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541147</xdr:colOff>
      <xdr:row>24</xdr:row>
      <xdr:rowOff>0</xdr:rowOff>
    </xdr:from>
    <xdr:ext cx="3179445" cy="37528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1100-00008A000000}"/>
            </a:ext>
          </a:extLst>
        </xdr:cNvPr>
        <xdr:cNvSpPr/>
      </xdr:nvSpPr>
      <xdr:spPr>
        <a:xfrm>
          <a:off x="0" y="0"/>
          <a:ext cx="3179445" cy="375285"/>
        </a:xfrm>
        <a:custGeom>
          <a:avLst/>
          <a:gdLst/>
          <a:ahLst/>
          <a:cxnLst/>
          <a:rect l="0" t="0" r="0" b="0"/>
          <a:pathLst>
            <a:path w="3179445" h="375285">
              <a:moveTo>
                <a:pt x="1057656" y="0"/>
              </a:moveTo>
              <a:lnTo>
                <a:pt x="0" y="0"/>
              </a:lnTo>
              <a:lnTo>
                <a:pt x="0" y="374904"/>
              </a:lnTo>
              <a:lnTo>
                <a:pt x="1057656" y="374904"/>
              </a:lnTo>
              <a:lnTo>
                <a:pt x="1057656" y="0"/>
              </a:lnTo>
              <a:close/>
            </a:path>
            <a:path w="3179445" h="375285">
              <a:moveTo>
                <a:pt x="2118360" y="0"/>
              </a:moveTo>
              <a:lnTo>
                <a:pt x="1060704" y="0"/>
              </a:lnTo>
              <a:lnTo>
                <a:pt x="1060704" y="374904"/>
              </a:lnTo>
              <a:lnTo>
                <a:pt x="2118360" y="374904"/>
              </a:lnTo>
              <a:lnTo>
                <a:pt x="2118360" y="0"/>
              </a:lnTo>
              <a:close/>
            </a:path>
            <a:path w="3179445" h="375285">
              <a:moveTo>
                <a:pt x="3179064" y="0"/>
              </a:moveTo>
              <a:lnTo>
                <a:pt x="2121408" y="0"/>
              </a:lnTo>
              <a:lnTo>
                <a:pt x="2121408" y="374904"/>
              </a:lnTo>
              <a:lnTo>
                <a:pt x="3179064" y="374904"/>
              </a:lnTo>
              <a:lnTo>
                <a:pt x="31790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350519</xdr:colOff>
      <xdr:row>3</xdr:row>
      <xdr:rowOff>49142</xdr:rowOff>
    </xdr:from>
    <xdr:ext cx="381000" cy="290285"/>
    <xdr:pic>
      <xdr:nvPicPr>
        <xdr:cNvPr id="139" name="image1.jpeg">
          <a:extLst>
            <a:ext uri="{FF2B5EF4-FFF2-40B4-BE49-F238E27FC236}">
              <a16:creationId xmlns:a16="http://schemas.microsoft.com/office/drawing/2014/main" id="{00000000-0008-0000-1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351281</xdr:colOff>
      <xdr:row>3</xdr:row>
      <xdr:rowOff>762</xdr:rowOff>
    </xdr:from>
    <xdr:ext cx="381000" cy="381000"/>
    <xdr:pic>
      <xdr:nvPicPr>
        <xdr:cNvPr id="140" name="image2.jpeg">
          <a:extLst>
            <a:ext uri="{FF2B5EF4-FFF2-40B4-BE49-F238E27FC236}">
              <a16:creationId xmlns:a16="http://schemas.microsoft.com/office/drawing/2014/main" id="{00000000-0008-0000-1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351281</xdr:colOff>
      <xdr:row>3</xdr:row>
      <xdr:rowOff>49142</xdr:rowOff>
    </xdr:from>
    <xdr:ext cx="381000" cy="290285"/>
    <xdr:pic>
      <xdr:nvPicPr>
        <xdr:cNvPr id="141" name="image3.jpeg">
          <a:extLst>
            <a:ext uri="{FF2B5EF4-FFF2-40B4-BE49-F238E27FC236}">
              <a16:creationId xmlns:a16="http://schemas.microsoft.com/office/drawing/2014/main" id="{00000000-0008-0000-1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191134</xdr:colOff>
      <xdr:row>25</xdr:row>
      <xdr:rowOff>0</xdr:rowOff>
    </xdr:from>
    <xdr:ext cx="7275830" cy="3929379"/>
    <xdr:grpSp>
      <xdr:nvGrpSpPr>
        <xdr:cNvPr id="142" name="Group 142">
          <a:extLst>
            <a:ext uri="{FF2B5EF4-FFF2-40B4-BE49-F238E27FC236}">
              <a16:creationId xmlns:a16="http://schemas.microsoft.com/office/drawing/2014/main" id="{00000000-0008-0000-1100-00008E000000}"/>
            </a:ext>
          </a:extLst>
        </xdr:cNvPr>
        <xdr:cNvGrpSpPr/>
      </xdr:nvGrpSpPr>
      <xdr:grpSpPr>
        <a:xfrm>
          <a:off x="617854" y="6080760"/>
          <a:ext cx="7275830" cy="3929379"/>
          <a:chOff x="0" y="0"/>
          <a:chExt cx="7275830" cy="3929379"/>
        </a:xfrm>
      </xdr:grpSpPr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1100-00008F000000}"/>
              </a:ext>
            </a:extLst>
          </xdr:cNvPr>
          <xdr:cNvSpPr/>
        </xdr:nvSpPr>
        <xdr:spPr>
          <a:xfrm>
            <a:off x="1411224" y="0"/>
            <a:ext cx="5864860" cy="2894330"/>
          </a:xfrm>
          <a:custGeom>
            <a:avLst/>
            <a:gdLst/>
            <a:ahLst/>
            <a:cxnLst/>
            <a:rect l="0" t="0" r="0" b="0"/>
            <a:pathLst>
              <a:path w="5864860" h="2894330">
                <a:moveTo>
                  <a:pt x="1408176" y="1449324"/>
                </a:moveTo>
                <a:lnTo>
                  <a:pt x="0" y="1449324"/>
                </a:lnTo>
                <a:lnTo>
                  <a:pt x="0" y="2686812"/>
                </a:lnTo>
                <a:lnTo>
                  <a:pt x="1408176" y="2686812"/>
                </a:lnTo>
                <a:lnTo>
                  <a:pt x="1408176" y="1449324"/>
                </a:lnTo>
                <a:close/>
              </a:path>
              <a:path w="5864860" h="2894330">
                <a:moveTo>
                  <a:pt x="1408176" y="0"/>
                </a:moveTo>
                <a:lnTo>
                  <a:pt x="0" y="0"/>
                </a:lnTo>
                <a:lnTo>
                  <a:pt x="0" y="1446276"/>
                </a:lnTo>
                <a:lnTo>
                  <a:pt x="1408176" y="1446276"/>
                </a:lnTo>
                <a:lnTo>
                  <a:pt x="1408176" y="0"/>
                </a:lnTo>
                <a:close/>
              </a:path>
              <a:path w="5864860" h="2894330">
                <a:moveTo>
                  <a:pt x="1970532" y="2689860"/>
                </a:moveTo>
                <a:lnTo>
                  <a:pt x="1411224" y="2689860"/>
                </a:lnTo>
                <a:lnTo>
                  <a:pt x="1411224" y="2894076"/>
                </a:lnTo>
                <a:lnTo>
                  <a:pt x="1970532" y="2894076"/>
                </a:lnTo>
                <a:lnTo>
                  <a:pt x="1970532" y="2689860"/>
                </a:lnTo>
                <a:close/>
              </a:path>
              <a:path w="5864860" h="2894330">
                <a:moveTo>
                  <a:pt x="1970532" y="2484120"/>
                </a:moveTo>
                <a:lnTo>
                  <a:pt x="1411224" y="2484120"/>
                </a:lnTo>
                <a:lnTo>
                  <a:pt x="1411224" y="2686812"/>
                </a:lnTo>
                <a:lnTo>
                  <a:pt x="1970532" y="2686812"/>
                </a:lnTo>
                <a:lnTo>
                  <a:pt x="1970532" y="2484120"/>
                </a:lnTo>
                <a:close/>
              </a:path>
              <a:path w="5864860" h="2894330">
                <a:moveTo>
                  <a:pt x="1970532" y="2276856"/>
                </a:moveTo>
                <a:lnTo>
                  <a:pt x="1411224" y="2276856"/>
                </a:lnTo>
                <a:lnTo>
                  <a:pt x="1411224" y="2481072"/>
                </a:lnTo>
                <a:lnTo>
                  <a:pt x="1970532" y="2481072"/>
                </a:lnTo>
                <a:lnTo>
                  <a:pt x="1970532" y="2276856"/>
                </a:lnTo>
                <a:close/>
              </a:path>
              <a:path w="5864860" h="2894330">
                <a:moveTo>
                  <a:pt x="1970532" y="2069592"/>
                </a:moveTo>
                <a:lnTo>
                  <a:pt x="1411224" y="2069592"/>
                </a:lnTo>
                <a:lnTo>
                  <a:pt x="1411224" y="2273808"/>
                </a:lnTo>
                <a:lnTo>
                  <a:pt x="1970532" y="2273808"/>
                </a:lnTo>
                <a:lnTo>
                  <a:pt x="1970532" y="2069592"/>
                </a:lnTo>
                <a:close/>
              </a:path>
              <a:path w="5864860" h="2894330">
                <a:moveTo>
                  <a:pt x="1970532" y="1862328"/>
                </a:moveTo>
                <a:lnTo>
                  <a:pt x="1411224" y="1862328"/>
                </a:lnTo>
                <a:lnTo>
                  <a:pt x="1411224" y="2066544"/>
                </a:lnTo>
                <a:lnTo>
                  <a:pt x="1970532" y="2066544"/>
                </a:lnTo>
                <a:lnTo>
                  <a:pt x="1970532" y="1862328"/>
                </a:lnTo>
                <a:close/>
              </a:path>
              <a:path w="5864860" h="2894330">
                <a:moveTo>
                  <a:pt x="1970532" y="1656588"/>
                </a:moveTo>
                <a:lnTo>
                  <a:pt x="1411224" y="1656588"/>
                </a:lnTo>
                <a:lnTo>
                  <a:pt x="1411224" y="1859280"/>
                </a:lnTo>
                <a:lnTo>
                  <a:pt x="1970532" y="1859280"/>
                </a:lnTo>
                <a:lnTo>
                  <a:pt x="1970532" y="1656588"/>
                </a:lnTo>
                <a:close/>
              </a:path>
              <a:path w="5864860" h="2894330">
                <a:moveTo>
                  <a:pt x="1970532" y="1449324"/>
                </a:moveTo>
                <a:lnTo>
                  <a:pt x="1411224" y="1449324"/>
                </a:lnTo>
                <a:lnTo>
                  <a:pt x="1411224" y="1653540"/>
                </a:lnTo>
                <a:lnTo>
                  <a:pt x="1970532" y="1653540"/>
                </a:lnTo>
                <a:lnTo>
                  <a:pt x="1970532" y="1449324"/>
                </a:lnTo>
                <a:close/>
              </a:path>
              <a:path w="5864860" h="2894330">
                <a:moveTo>
                  <a:pt x="1970532" y="1242060"/>
                </a:moveTo>
                <a:lnTo>
                  <a:pt x="1411224" y="1242060"/>
                </a:lnTo>
                <a:lnTo>
                  <a:pt x="1411224" y="1446276"/>
                </a:lnTo>
                <a:lnTo>
                  <a:pt x="1970532" y="1446276"/>
                </a:lnTo>
                <a:lnTo>
                  <a:pt x="1970532" y="1242060"/>
                </a:lnTo>
                <a:close/>
              </a:path>
              <a:path w="5864860" h="2894330">
                <a:moveTo>
                  <a:pt x="1970532" y="1034796"/>
                </a:moveTo>
                <a:lnTo>
                  <a:pt x="1411224" y="1034796"/>
                </a:lnTo>
                <a:lnTo>
                  <a:pt x="1411224" y="1239012"/>
                </a:lnTo>
                <a:lnTo>
                  <a:pt x="1970532" y="1239012"/>
                </a:lnTo>
                <a:lnTo>
                  <a:pt x="1970532" y="1034796"/>
                </a:lnTo>
                <a:close/>
              </a:path>
              <a:path w="5864860" h="2894330">
                <a:moveTo>
                  <a:pt x="1970532" y="827532"/>
                </a:moveTo>
                <a:lnTo>
                  <a:pt x="1411224" y="827532"/>
                </a:lnTo>
                <a:lnTo>
                  <a:pt x="1411224" y="1031748"/>
                </a:lnTo>
                <a:lnTo>
                  <a:pt x="1970532" y="1031748"/>
                </a:lnTo>
                <a:lnTo>
                  <a:pt x="1970532" y="827532"/>
                </a:lnTo>
                <a:close/>
              </a:path>
              <a:path w="5864860" h="2894330">
                <a:moveTo>
                  <a:pt x="1970532" y="620268"/>
                </a:moveTo>
                <a:lnTo>
                  <a:pt x="1411224" y="620268"/>
                </a:lnTo>
                <a:lnTo>
                  <a:pt x="1411224" y="824484"/>
                </a:lnTo>
                <a:lnTo>
                  <a:pt x="1970532" y="824484"/>
                </a:lnTo>
                <a:lnTo>
                  <a:pt x="1970532" y="620268"/>
                </a:lnTo>
                <a:close/>
              </a:path>
              <a:path w="5864860" h="2894330">
                <a:moveTo>
                  <a:pt x="1970532" y="414528"/>
                </a:moveTo>
                <a:lnTo>
                  <a:pt x="1411224" y="414528"/>
                </a:lnTo>
                <a:lnTo>
                  <a:pt x="1411224" y="617220"/>
                </a:lnTo>
                <a:lnTo>
                  <a:pt x="1970532" y="617220"/>
                </a:lnTo>
                <a:lnTo>
                  <a:pt x="1970532" y="414528"/>
                </a:lnTo>
                <a:close/>
              </a:path>
              <a:path w="5864860" h="2894330">
                <a:moveTo>
                  <a:pt x="1970532" y="207264"/>
                </a:moveTo>
                <a:lnTo>
                  <a:pt x="1411224" y="207264"/>
                </a:lnTo>
                <a:lnTo>
                  <a:pt x="1411224" y="411480"/>
                </a:lnTo>
                <a:lnTo>
                  <a:pt x="1970532" y="411480"/>
                </a:lnTo>
                <a:lnTo>
                  <a:pt x="1970532" y="207264"/>
                </a:lnTo>
                <a:close/>
              </a:path>
              <a:path w="5864860" h="2894330">
                <a:moveTo>
                  <a:pt x="1970532" y="0"/>
                </a:moveTo>
                <a:lnTo>
                  <a:pt x="1411224" y="0"/>
                </a:lnTo>
                <a:lnTo>
                  <a:pt x="1411224" y="204216"/>
                </a:lnTo>
                <a:lnTo>
                  <a:pt x="1970532" y="204216"/>
                </a:lnTo>
                <a:lnTo>
                  <a:pt x="1970532" y="0"/>
                </a:lnTo>
                <a:close/>
              </a:path>
              <a:path w="5864860" h="2894330">
                <a:moveTo>
                  <a:pt x="2682240" y="2689860"/>
                </a:moveTo>
                <a:lnTo>
                  <a:pt x="1973580" y="2689860"/>
                </a:lnTo>
                <a:lnTo>
                  <a:pt x="1973580" y="2894076"/>
                </a:lnTo>
                <a:lnTo>
                  <a:pt x="2682240" y="2894076"/>
                </a:lnTo>
                <a:lnTo>
                  <a:pt x="2682240" y="2689860"/>
                </a:lnTo>
                <a:close/>
              </a:path>
              <a:path w="5864860" h="2894330">
                <a:moveTo>
                  <a:pt x="2682240" y="2484120"/>
                </a:moveTo>
                <a:lnTo>
                  <a:pt x="1973580" y="2484120"/>
                </a:lnTo>
                <a:lnTo>
                  <a:pt x="1973580" y="2686812"/>
                </a:lnTo>
                <a:lnTo>
                  <a:pt x="2682240" y="2686812"/>
                </a:lnTo>
                <a:lnTo>
                  <a:pt x="2682240" y="2484120"/>
                </a:lnTo>
                <a:close/>
              </a:path>
              <a:path w="5864860" h="2894330">
                <a:moveTo>
                  <a:pt x="2682240" y="2276856"/>
                </a:moveTo>
                <a:lnTo>
                  <a:pt x="1973580" y="2276856"/>
                </a:lnTo>
                <a:lnTo>
                  <a:pt x="1973580" y="2481072"/>
                </a:lnTo>
                <a:lnTo>
                  <a:pt x="2682240" y="2481072"/>
                </a:lnTo>
                <a:lnTo>
                  <a:pt x="2682240" y="2276856"/>
                </a:lnTo>
                <a:close/>
              </a:path>
              <a:path w="5864860" h="2894330">
                <a:moveTo>
                  <a:pt x="2682240" y="2069592"/>
                </a:moveTo>
                <a:lnTo>
                  <a:pt x="1973580" y="2069592"/>
                </a:lnTo>
                <a:lnTo>
                  <a:pt x="1973580" y="2273808"/>
                </a:lnTo>
                <a:lnTo>
                  <a:pt x="2682240" y="2273808"/>
                </a:lnTo>
                <a:lnTo>
                  <a:pt x="2682240" y="2069592"/>
                </a:lnTo>
                <a:close/>
              </a:path>
              <a:path w="5864860" h="2894330">
                <a:moveTo>
                  <a:pt x="2682240" y="1862328"/>
                </a:moveTo>
                <a:lnTo>
                  <a:pt x="1973580" y="1862328"/>
                </a:lnTo>
                <a:lnTo>
                  <a:pt x="1973580" y="2066544"/>
                </a:lnTo>
                <a:lnTo>
                  <a:pt x="2682240" y="2066544"/>
                </a:lnTo>
                <a:lnTo>
                  <a:pt x="2682240" y="1862328"/>
                </a:lnTo>
                <a:close/>
              </a:path>
              <a:path w="5864860" h="2894330">
                <a:moveTo>
                  <a:pt x="2682240" y="1656588"/>
                </a:moveTo>
                <a:lnTo>
                  <a:pt x="1973580" y="1656588"/>
                </a:lnTo>
                <a:lnTo>
                  <a:pt x="1973580" y="1859280"/>
                </a:lnTo>
                <a:lnTo>
                  <a:pt x="2682240" y="1859280"/>
                </a:lnTo>
                <a:lnTo>
                  <a:pt x="2682240" y="1656588"/>
                </a:lnTo>
                <a:close/>
              </a:path>
              <a:path w="5864860" h="2894330">
                <a:moveTo>
                  <a:pt x="2682240" y="1449324"/>
                </a:moveTo>
                <a:lnTo>
                  <a:pt x="1973580" y="1449324"/>
                </a:lnTo>
                <a:lnTo>
                  <a:pt x="1973580" y="1653540"/>
                </a:lnTo>
                <a:lnTo>
                  <a:pt x="2682240" y="1653540"/>
                </a:lnTo>
                <a:lnTo>
                  <a:pt x="2682240" y="1449324"/>
                </a:lnTo>
                <a:close/>
              </a:path>
              <a:path w="5864860" h="2894330">
                <a:moveTo>
                  <a:pt x="2682240" y="1242060"/>
                </a:moveTo>
                <a:lnTo>
                  <a:pt x="1973580" y="1242060"/>
                </a:lnTo>
                <a:lnTo>
                  <a:pt x="1973580" y="1446276"/>
                </a:lnTo>
                <a:lnTo>
                  <a:pt x="2682240" y="1446276"/>
                </a:lnTo>
                <a:lnTo>
                  <a:pt x="2682240" y="1242060"/>
                </a:lnTo>
                <a:close/>
              </a:path>
              <a:path w="5864860" h="2894330">
                <a:moveTo>
                  <a:pt x="2682240" y="1034796"/>
                </a:moveTo>
                <a:lnTo>
                  <a:pt x="1973580" y="1034796"/>
                </a:lnTo>
                <a:lnTo>
                  <a:pt x="1973580" y="1239012"/>
                </a:lnTo>
                <a:lnTo>
                  <a:pt x="2682240" y="1239012"/>
                </a:lnTo>
                <a:lnTo>
                  <a:pt x="2682240" y="1034796"/>
                </a:lnTo>
                <a:close/>
              </a:path>
              <a:path w="5864860" h="2894330">
                <a:moveTo>
                  <a:pt x="2682240" y="827532"/>
                </a:moveTo>
                <a:lnTo>
                  <a:pt x="1973580" y="827532"/>
                </a:lnTo>
                <a:lnTo>
                  <a:pt x="1973580" y="1031748"/>
                </a:lnTo>
                <a:lnTo>
                  <a:pt x="2682240" y="1031748"/>
                </a:lnTo>
                <a:lnTo>
                  <a:pt x="2682240" y="827532"/>
                </a:lnTo>
                <a:close/>
              </a:path>
              <a:path w="5864860" h="2894330">
                <a:moveTo>
                  <a:pt x="2682240" y="620268"/>
                </a:moveTo>
                <a:lnTo>
                  <a:pt x="1973580" y="620268"/>
                </a:lnTo>
                <a:lnTo>
                  <a:pt x="1973580" y="824484"/>
                </a:lnTo>
                <a:lnTo>
                  <a:pt x="2682240" y="824484"/>
                </a:lnTo>
                <a:lnTo>
                  <a:pt x="2682240" y="620268"/>
                </a:lnTo>
                <a:close/>
              </a:path>
              <a:path w="5864860" h="2894330">
                <a:moveTo>
                  <a:pt x="2682240" y="414528"/>
                </a:moveTo>
                <a:lnTo>
                  <a:pt x="1973580" y="414528"/>
                </a:lnTo>
                <a:lnTo>
                  <a:pt x="1973580" y="617220"/>
                </a:lnTo>
                <a:lnTo>
                  <a:pt x="2682240" y="617220"/>
                </a:lnTo>
                <a:lnTo>
                  <a:pt x="2682240" y="414528"/>
                </a:lnTo>
                <a:close/>
              </a:path>
              <a:path w="5864860" h="2894330">
                <a:moveTo>
                  <a:pt x="2682240" y="207264"/>
                </a:moveTo>
                <a:lnTo>
                  <a:pt x="1973580" y="207264"/>
                </a:lnTo>
                <a:lnTo>
                  <a:pt x="1973580" y="411480"/>
                </a:lnTo>
                <a:lnTo>
                  <a:pt x="2682240" y="411480"/>
                </a:lnTo>
                <a:lnTo>
                  <a:pt x="2682240" y="207264"/>
                </a:lnTo>
                <a:close/>
              </a:path>
              <a:path w="5864860" h="2894330">
                <a:moveTo>
                  <a:pt x="2682240" y="0"/>
                </a:moveTo>
                <a:lnTo>
                  <a:pt x="1973580" y="0"/>
                </a:lnTo>
                <a:lnTo>
                  <a:pt x="1973580" y="204216"/>
                </a:lnTo>
                <a:lnTo>
                  <a:pt x="2682240" y="204216"/>
                </a:lnTo>
                <a:lnTo>
                  <a:pt x="2682240" y="0"/>
                </a:lnTo>
                <a:close/>
              </a:path>
              <a:path w="5864860" h="2894330">
                <a:moveTo>
                  <a:pt x="3742944" y="2689860"/>
                </a:moveTo>
                <a:lnTo>
                  <a:pt x="2685288" y="2689860"/>
                </a:lnTo>
                <a:lnTo>
                  <a:pt x="2685288" y="2894076"/>
                </a:lnTo>
                <a:lnTo>
                  <a:pt x="3742944" y="2894076"/>
                </a:lnTo>
                <a:lnTo>
                  <a:pt x="3742944" y="2689860"/>
                </a:lnTo>
                <a:close/>
              </a:path>
              <a:path w="5864860" h="2894330">
                <a:moveTo>
                  <a:pt x="3742944" y="2484120"/>
                </a:moveTo>
                <a:lnTo>
                  <a:pt x="2685288" y="2484120"/>
                </a:lnTo>
                <a:lnTo>
                  <a:pt x="2685288" y="2686812"/>
                </a:lnTo>
                <a:lnTo>
                  <a:pt x="3742944" y="2686812"/>
                </a:lnTo>
                <a:lnTo>
                  <a:pt x="3742944" y="2484120"/>
                </a:lnTo>
                <a:close/>
              </a:path>
              <a:path w="5864860" h="2894330">
                <a:moveTo>
                  <a:pt x="3742944" y="2276856"/>
                </a:moveTo>
                <a:lnTo>
                  <a:pt x="2685288" y="2276856"/>
                </a:lnTo>
                <a:lnTo>
                  <a:pt x="2685288" y="2481072"/>
                </a:lnTo>
                <a:lnTo>
                  <a:pt x="3742944" y="2481072"/>
                </a:lnTo>
                <a:lnTo>
                  <a:pt x="3742944" y="2276856"/>
                </a:lnTo>
                <a:close/>
              </a:path>
              <a:path w="5864860" h="2894330">
                <a:moveTo>
                  <a:pt x="3742944" y="2069592"/>
                </a:moveTo>
                <a:lnTo>
                  <a:pt x="2685288" y="2069592"/>
                </a:lnTo>
                <a:lnTo>
                  <a:pt x="2685288" y="2273808"/>
                </a:lnTo>
                <a:lnTo>
                  <a:pt x="3742944" y="2273808"/>
                </a:lnTo>
                <a:lnTo>
                  <a:pt x="3742944" y="2069592"/>
                </a:lnTo>
                <a:close/>
              </a:path>
              <a:path w="5864860" h="2894330">
                <a:moveTo>
                  <a:pt x="3742944" y="1862328"/>
                </a:moveTo>
                <a:lnTo>
                  <a:pt x="2685288" y="1862328"/>
                </a:lnTo>
                <a:lnTo>
                  <a:pt x="2685288" y="2066544"/>
                </a:lnTo>
                <a:lnTo>
                  <a:pt x="3742944" y="2066544"/>
                </a:lnTo>
                <a:lnTo>
                  <a:pt x="3742944" y="1862328"/>
                </a:lnTo>
                <a:close/>
              </a:path>
              <a:path w="5864860" h="2894330">
                <a:moveTo>
                  <a:pt x="3742944" y="1656588"/>
                </a:moveTo>
                <a:lnTo>
                  <a:pt x="2685288" y="1656588"/>
                </a:lnTo>
                <a:lnTo>
                  <a:pt x="2685288" y="1859280"/>
                </a:lnTo>
                <a:lnTo>
                  <a:pt x="3742944" y="1859280"/>
                </a:lnTo>
                <a:lnTo>
                  <a:pt x="3742944" y="1656588"/>
                </a:lnTo>
                <a:close/>
              </a:path>
              <a:path w="5864860" h="2894330">
                <a:moveTo>
                  <a:pt x="3742944" y="1449324"/>
                </a:moveTo>
                <a:lnTo>
                  <a:pt x="2685288" y="1449324"/>
                </a:lnTo>
                <a:lnTo>
                  <a:pt x="2685288" y="1653540"/>
                </a:lnTo>
                <a:lnTo>
                  <a:pt x="3742944" y="1653540"/>
                </a:lnTo>
                <a:lnTo>
                  <a:pt x="3742944" y="1449324"/>
                </a:lnTo>
                <a:close/>
              </a:path>
              <a:path w="5864860" h="2894330">
                <a:moveTo>
                  <a:pt x="3742944" y="1242060"/>
                </a:moveTo>
                <a:lnTo>
                  <a:pt x="2685288" y="1242060"/>
                </a:lnTo>
                <a:lnTo>
                  <a:pt x="2685288" y="1446276"/>
                </a:lnTo>
                <a:lnTo>
                  <a:pt x="3742944" y="1446276"/>
                </a:lnTo>
                <a:lnTo>
                  <a:pt x="3742944" y="1242060"/>
                </a:lnTo>
                <a:close/>
              </a:path>
              <a:path w="5864860" h="2894330">
                <a:moveTo>
                  <a:pt x="3742944" y="1034796"/>
                </a:moveTo>
                <a:lnTo>
                  <a:pt x="2685288" y="1034796"/>
                </a:lnTo>
                <a:lnTo>
                  <a:pt x="2685288" y="1239012"/>
                </a:lnTo>
                <a:lnTo>
                  <a:pt x="3742944" y="1239012"/>
                </a:lnTo>
                <a:lnTo>
                  <a:pt x="3742944" y="1034796"/>
                </a:lnTo>
                <a:close/>
              </a:path>
              <a:path w="5864860" h="2894330">
                <a:moveTo>
                  <a:pt x="3742944" y="827532"/>
                </a:moveTo>
                <a:lnTo>
                  <a:pt x="2685288" y="827532"/>
                </a:lnTo>
                <a:lnTo>
                  <a:pt x="2685288" y="1031748"/>
                </a:lnTo>
                <a:lnTo>
                  <a:pt x="3742944" y="1031748"/>
                </a:lnTo>
                <a:lnTo>
                  <a:pt x="3742944" y="827532"/>
                </a:lnTo>
                <a:close/>
              </a:path>
              <a:path w="5864860" h="2894330">
                <a:moveTo>
                  <a:pt x="3742944" y="620268"/>
                </a:moveTo>
                <a:lnTo>
                  <a:pt x="2685288" y="620268"/>
                </a:lnTo>
                <a:lnTo>
                  <a:pt x="2685288" y="824484"/>
                </a:lnTo>
                <a:lnTo>
                  <a:pt x="3742944" y="824484"/>
                </a:lnTo>
                <a:lnTo>
                  <a:pt x="3742944" y="620268"/>
                </a:lnTo>
                <a:close/>
              </a:path>
              <a:path w="5864860" h="2894330">
                <a:moveTo>
                  <a:pt x="3742944" y="414528"/>
                </a:moveTo>
                <a:lnTo>
                  <a:pt x="2685288" y="414528"/>
                </a:lnTo>
                <a:lnTo>
                  <a:pt x="2685288" y="617220"/>
                </a:lnTo>
                <a:lnTo>
                  <a:pt x="3742944" y="617220"/>
                </a:lnTo>
                <a:lnTo>
                  <a:pt x="3742944" y="414528"/>
                </a:lnTo>
                <a:close/>
              </a:path>
              <a:path w="5864860" h="2894330">
                <a:moveTo>
                  <a:pt x="3742944" y="207264"/>
                </a:moveTo>
                <a:lnTo>
                  <a:pt x="2685288" y="207264"/>
                </a:lnTo>
                <a:lnTo>
                  <a:pt x="2685288" y="411480"/>
                </a:lnTo>
                <a:lnTo>
                  <a:pt x="3742944" y="411480"/>
                </a:lnTo>
                <a:lnTo>
                  <a:pt x="3742944" y="207264"/>
                </a:lnTo>
                <a:close/>
              </a:path>
              <a:path w="5864860" h="2894330">
                <a:moveTo>
                  <a:pt x="3742944" y="0"/>
                </a:moveTo>
                <a:lnTo>
                  <a:pt x="2685288" y="0"/>
                </a:lnTo>
                <a:lnTo>
                  <a:pt x="2685288" y="204216"/>
                </a:lnTo>
                <a:lnTo>
                  <a:pt x="3742944" y="204216"/>
                </a:lnTo>
                <a:lnTo>
                  <a:pt x="3742944" y="0"/>
                </a:lnTo>
                <a:close/>
              </a:path>
              <a:path w="5864860" h="2894330">
                <a:moveTo>
                  <a:pt x="4803648" y="2689860"/>
                </a:moveTo>
                <a:lnTo>
                  <a:pt x="3745992" y="2689860"/>
                </a:lnTo>
                <a:lnTo>
                  <a:pt x="3745992" y="2894076"/>
                </a:lnTo>
                <a:lnTo>
                  <a:pt x="4803648" y="2894076"/>
                </a:lnTo>
                <a:lnTo>
                  <a:pt x="4803648" y="2689860"/>
                </a:lnTo>
                <a:close/>
              </a:path>
              <a:path w="5864860" h="2894330">
                <a:moveTo>
                  <a:pt x="4803648" y="2484120"/>
                </a:moveTo>
                <a:lnTo>
                  <a:pt x="3745992" y="2484120"/>
                </a:lnTo>
                <a:lnTo>
                  <a:pt x="3745992" y="2686812"/>
                </a:lnTo>
                <a:lnTo>
                  <a:pt x="4803648" y="2686812"/>
                </a:lnTo>
                <a:lnTo>
                  <a:pt x="4803648" y="2484120"/>
                </a:lnTo>
                <a:close/>
              </a:path>
              <a:path w="5864860" h="2894330">
                <a:moveTo>
                  <a:pt x="4803648" y="2276856"/>
                </a:moveTo>
                <a:lnTo>
                  <a:pt x="3745992" y="2276856"/>
                </a:lnTo>
                <a:lnTo>
                  <a:pt x="3745992" y="2481072"/>
                </a:lnTo>
                <a:lnTo>
                  <a:pt x="4803648" y="2481072"/>
                </a:lnTo>
                <a:lnTo>
                  <a:pt x="4803648" y="2276856"/>
                </a:lnTo>
                <a:close/>
              </a:path>
              <a:path w="5864860" h="2894330">
                <a:moveTo>
                  <a:pt x="4803648" y="2069592"/>
                </a:moveTo>
                <a:lnTo>
                  <a:pt x="3745992" y="2069592"/>
                </a:lnTo>
                <a:lnTo>
                  <a:pt x="3745992" y="2273808"/>
                </a:lnTo>
                <a:lnTo>
                  <a:pt x="4803648" y="2273808"/>
                </a:lnTo>
                <a:lnTo>
                  <a:pt x="4803648" y="2069592"/>
                </a:lnTo>
                <a:close/>
              </a:path>
              <a:path w="5864860" h="2894330">
                <a:moveTo>
                  <a:pt x="4803648" y="1862328"/>
                </a:moveTo>
                <a:lnTo>
                  <a:pt x="3745992" y="1862328"/>
                </a:lnTo>
                <a:lnTo>
                  <a:pt x="3745992" y="2066544"/>
                </a:lnTo>
                <a:lnTo>
                  <a:pt x="4803648" y="2066544"/>
                </a:lnTo>
                <a:lnTo>
                  <a:pt x="4803648" y="1862328"/>
                </a:lnTo>
                <a:close/>
              </a:path>
              <a:path w="5864860" h="2894330">
                <a:moveTo>
                  <a:pt x="4803648" y="1656588"/>
                </a:moveTo>
                <a:lnTo>
                  <a:pt x="3745992" y="1656588"/>
                </a:lnTo>
                <a:lnTo>
                  <a:pt x="3745992" y="1859280"/>
                </a:lnTo>
                <a:lnTo>
                  <a:pt x="4803648" y="1859280"/>
                </a:lnTo>
                <a:lnTo>
                  <a:pt x="4803648" y="1656588"/>
                </a:lnTo>
                <a:close/>
              </a:path>
              <a:path w="5864860" h="2894330">
                <a:moveTo>
                  <a:pt x="4803648" y="1449324"/>
                </a:moveTo>
                <a:lnTo>
                  <a:pt x="3745992" y="1449324"/>
                </a:lnTo>
                <a:lnTo>
                  <a:pt x="3745992" y="1653540"/>
                </a:lnTo>
                <a:lnTo>
                  <a:pt x="4803648" y="1653540"/>
                </a:lnTo>
                <a:lnTo>
                  <a:pt x="4803648" y="1449324"/>
                </a:lnTo>
                <a:close/>
              </a:path>
              <a:path w="5864860" h="2894330">
                <a:moveTo>
                  <a:pt x="4803648" y="1242060"/>
                </a:moveTo>
                <a:lnTo>
                  <a:pt x="3745992" y="1242060"/>
                </a:lnTo>
                <a:lnTo>
                  <a:pt x="3745992" y="1446276"/>
                </a:lnTo>
                <a:lnTo>
                  <a:pt x="4803648" y="1446276"/>
                </a:lnTo>
                <a:lnTo>
                  <a:pt x="4803648" y="1242060"/>
                </a:lnTo>
                <a:close/>
              </a:path>
              <a:path w="5864860" h="2894330">
                <a:moveTo>
                  <a:pt x="4803648" y="1034796"/>
                </a:moveTo>
                <a:lnTo>
                  <a:pt x="3745992" y="1034796"/>
                </a:lnTo>
                <a:lnTo>
                  <a:pt x="3745992" y="1239012"/>
                </a:lnTo>
                <a:lnTo>
                  <a:pt x="4803648" y="1239012"/>
                </a:lnTo>
                <a:lnTo>
                  <a:pt x="4803648" y="1034796"/>
                </a:lnTo>
                <a:close/>
              </a:path>
              <a:path w="5864860" h="2894330">
                <a:moveTo>
                  <a:pt x="4803648" y="827532"/>
                </a:moveTo>
                <a:lnTo>
                  <a:pt x="3745992" y="827532"/>
                </a:lnTo>
                <a:lnTo>
                  <a:pt x="3745992" y="1031748"/>
                </a:lnTo>
                <a:lnTo>
                  <a:pt x="4803648" y="1031748"/>
                </a:lnTo>
                <a:lnTo>
                  <a:pt x="4803648" y="827532"/>
                </a:lnTo>
                <a:close/>
              </a:path>
              <a:path w="5864860" h="2894330">
                <a:moveTo>
                  <a:pt x="4803648" y="620268"/>
                </a:moveTo>
                <a:lnTo>
                  <a:pt x="3745992" y="620268"/>
                </a:lnTo>
                <a:lnTo>
                  <a:pt x="3745992" y="824484"/>
                </a:lnTo>
                <a:lnTo>
                  <a:pt x="4803648" y="824484"/>
                </a:lnTo>
                <a:lnTo>
                  <a:pt x="4803648" y="620268"/>
                </a:lnTo>
                <a:close/>
              </a:path>
              <a:path w="5864860" h="2894330">
                <a:moveTo>
                  <a:pt x="4803648" y="414528"/>
                </a:moveTo>
                <a:lnTo>
                  <a:pt x="3745992" y="414528"/>
                </a:lnTo>
                <a:lnTo>
                  <a:pt x="3745992" y="617220"/>
                </a:lnTo>
                <a:lnTo>
                  <a:pt x="4803648" y="617220"/>
                </a:lnTo>
                <a:lnTo>
                  <a:pt x="4803648" y="414528"/>
                </a:lnTo>
                <a:close/>
              </a:path>
              <a:path w="5864860" h="2894330">
                <a:moveTo>
                  <a:pt x="4803648" y="207264"/>
                </a:moveTo>
                <a:lnTo>
                  <a:pt x="3745992" y="207264"/>
                </a:lnTo>
                <a:lnTo>
                  <a:pt x="3745992" y="411480"/>
                </a:lnTo>
                <a:lnTo>
                  <a:pt x="4803648" y="411480"/>
                </a:lnTo>
                <a:lnTo>
                  <a:pt x="4803648" y="207264"/>
                </a:lnTo>
                <a:close/>
              </a:path>
              <a:path w="5864860" h="2894330">
                <a:moveTo>
                  <a:pt x="4803648" y="0"/>
                </a:moveTo>
                <a:lnTo>
                  <a:pt x="3745992" y="0"/>
                </a:lnTo>
                <a:lnTo>
                  <a:pt x="3745992" y="204216"/>
                </a:lnTo>
                <a:lnTo>
                  <a:pt x="4803648" y="204216"/>
                </a:lnTo>
                <a:lnTo>
                  <a:pt x="4803648" y="0"/>
                </a:lnTo>
                <a:close/>
              </a:path>
              <a:path w="5864860" h="2894330">
                <a:moveTo>
                  <a:pt x="5864352" y="2484120"/>
                </a:moveTo>
                <a:lnTo>
                  <a:pt x="4806696" y="2484120"/>
                </a:lnTo>
                <a:lnTo>
                  <a:pt x="4806696" y="2686812"/>
                </a:lnTo>
                <a:lnTo>
                  <a:pt x="5864352" y="2686812"/>
                </a:lnTo>
                <a:lnTo>
                  <a:pt x="5864352" y="2484120"/>
                </a:lnTo>
                <a:close/>
              </a:path>
              <a:path w="5864860" h="2894330">
                <a:moveTo>
                  <a:pt x="5864352" y="2276856"/>
                </a:moveTo>
                <a:lnTo>
                  <a:pt x="4806696" y="2276856"/>
                </a:lnTo>
                <a:lnTo>
                  <a:pt x="4806696" y="2481072"/>
                </a:lnTo>
                <a:lnTo>
                  <a:pt x="5864352" y="2481072"/>
                </a:lnTo>
                <a:lnTo>
                  <a:pt x="5864352" y="2276856"/>
                </a:lnTo>
                <a:close/>
              </a:path>
              <a:path w="5864860" h="2894330">
                <a:moveTo>
                  <a:pt x="5864352" y="2069592"/>
                </a:moveTo>
                <a:lnTo>
                  <a:pt x="4806696" y="2069592"/>
                </a:lnTo>
                <a:lnTo>
                  <a:pt x="4806696" y="2273808"/>
                </a:lnTo>
                <a:lnTo>
                  <a:pt x="5864352" y="2273808"/>
                </a:lnTo>
                <a:lnTo>
                  <a:pt x="5864352" y="2069592"/>
                </a:lnTo>
                <a:close/>
              </a:path>
              <a:path w="5864860" h="2894330">
                <a:moveTo>
                  <a:pt x="5864352" y="1862328"/>
                </a:moveTo>
                <a:lnTo>
                  <a:pt x="4806696" y="1862328"/>
                </a:lnTo>
                <a:lnTo>
                  <a:pt x="4806696" y="2066544"/>
                </a:lnTo>
                <a:lnTo>
                  <a:pt x="5864352" y="2066544"/>
                </a:lnTo>
                <a:lnTo>
                  <a:pt x="5864352" y="1862328"/>
                </a:lnTo>
                <a:close/>
              </a:path>
              <a:path w="5864860" h="2894330">
                <a:moveTo>
                  <a:pt x="5864352" y="1656588"/>
                </a:moveTo>
                <a:lnTo>
                  <a:pt x="4806696" y="1656588"/>
                </a:lnTo>
                <a:lnTo>
                  <a:pt x="4806696" y="1859280"/>
                </a:lnTo>
                <a:lnTo>
                  <a:pt x="5864352" y="1859280"/>
                </a:lnTo>
                <a:lnTo>
                  <a:pt x="5864352" y="1656588"/>
                </a:lnTo>
                <a:close/>
              </a:path>
              <a:path w="5864860" h="2894330">
                <a:moveTo>
                  <a:pt x="5864352" y="1449324"/>
                </a:moveTo>
                <a:lnTo>
                  <a:pt x="4806696" y="1449324"/>
                </a:lnTo>
                <a:lnTo>
                  <a:pt x="4806696" y="1653540"/>
                </a:lnTo>
                <a:lnTo>
                  <a:pt x="5864352" y="1653540"/>
                </a:lnTo>
                <a:lnTo>
                  <a:pt x="5864352" y="1449324"/>
                </a:lnTo>
                <a:close/>
              </a:path>
              <a:path w="5864860" h="2894330">
                <a:moveTo>
                  <a:pt x="5864352" y="1242060"/>
                </a:moveTo>
                <a:lnTo>
                  <a:pt x="4806696" y="1242060"/>
                </a:lnTo>
                <a:lnTo>
                  <a:pt x="4806696" y="1446276"/>
                </a:lnTo>
                <a:lnTo>
                  <a:pt x="5864352" y="1446276"/>
                </a:lnTo>
                <a:lnTo>
                  <a:pt x="5864352" y="1242060"/>
                </a:lnTo>
                <a:close/>
              </a:path>
              <a:path w="5864860" h="2894330">
                <a:moveTo>
                  <a:pt x="5864352" y="1034796"/>
                </a:moveTo>
                <a:lnTo>
                  <a:pt x="4806696" y="1034796"/>
                </a:lnTo>
                <a:lnTo>
                  <a:pt x="4806696" y="1239012"/>
                </a:lnTo>
                <a:lnTo>
                  <a:pt x="5864352" y="1239012"/>
                </a:lnTo>
                <a:lnTo>
                  <a:pt x="5864352" y="1034796"/>
                </a:lnTo>
                <a:close/>
              </a:path>
              <a:path w="5864860" h="2894330">
                <a:moveTo>
                  <a:pt x="5864352" y="827532"/>
                </a:moveTo>
                <a:lnTo>
                  <a:pt x="4806696" y="827532"/>
                </a:lnTo>
                <a:lnTo>
                  <a:pt x="4806696" y="1031748"/>
                </a:lnTo>
                <a:lnTo>
                  <a:pt x="5864352" y="1031748"/>
                </a:lnTo>
                <a:lnTo>
                  <a:pt x="5864352" y="827532"/>
                </a:lnTo>
                <a:close/>
              </a:path>
              <a:path w="5864860" h="2894330">
                <a:moveTo>
                  <a:pt x="5864352" y="620268"/>
                </a:moveTo>
                <a:lnTo>
                  <a:pt x="4806696" y="620268"/>
                </a:lnTo>
                <a:lnTo>
                  <a:pt x="4806696" y="824484"/>
                </a:lnTo>
                <a:lnTo>
                  <a:pt x="5864352" y="824484"/>
                </a:lnTo>
                <a:lnTo>
                  <a:pt x="5864352" y="620268"/>
                </a:lnTo>
                <a:close/>
              </a:path>
              <a:path w="5864860" h="2894330">
                <a:moveTo>
                  <a:pt x="5864352" y="414528"/>
                </a:moveTo>
                <a:lnTo>
                  <a:pt x="4806696" y="414528"/>
                </a:lnTo>
                <a:lnTo>
                  <a:pt x="4806696" y="617220"/>
                </a:lnTo>
                <a:lnTo>
                  <a:pt x="5864352" y="617220"/>
                </a:lnTo>
                <a:lnTo>
                  <a:pt x="5864352" y="414528"/>
                </a:lnTo>
                <a:close/>
              </a:path>
              <a:path w="5864860" h="2894330">
                <a:moveTo>
                  <a:pt x="5864352" y="207264"/>
                </a:moveTo>
                <a:lnTo>
                  <a:pt x="4806696" y="207264"/>
                </a:lnTo>
                <a:lnTo>
                  <a:pt x="4806696" y="411480"/>
                </a:lnTo>
                <a:lnTo>
                  <a:pt x="5864352" y="411480"/>
                </a:lnTo>
                <a:lnTo>
                  <a:pt x="5864352" y="207264"/>
                </a:lnTo>
                <a:close/>
              </a:path>
              <a:path w="5864860" h="2894330">
                <a:moveTo>
                  <a:pt x="5864352" y="0"/>
                </a:moveTo>
                <a:lnTo>
                  <a:pt x="4806696" y="0"/>
                </a:lnTo>
                <a:lnTo>
                  <a:pt x="4806696" y="204216"/>
                </a:lnTo>
                <a:lnTo>
                  <a:pt x="5864352" y="204216"/>
                </a:lnTo>
                <a:lnTo>
                  <a:pt x="5864352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44" name="Shape 144">
            <a:extLst>
              <a:ext uri="{FF2B5EF4-FFF2-40B4-BE49-F238E27FC236}">
                <a16:creationId xmlns:a16="http://schemas.microsoft.com/office/drawing/2014/main" id="{00000000-0008-0000-1100-000090000000}"/>
              </a:ext>
            </a:extLst>
          </xdr:cNvPr>
          <xdr:cNvSpPr/>
        </xdr:nvSpPr>
        <xdr:spPr>
          <a:xfrm>
            <a:off x="0" y="0"/>
            <a:ext cx="7275830" cy="3929379"/>
          </a:xfrm>
          <a:custGeom>
            <a:avLst/>
            <a:gdLst/>
            <a:ahLst/>
            <a:cxnLst/>
            <a:rect l="0" t="0" r="0" b="0"/>
            <a:pathLst>
              <a:path w="7275830" h="3929379">
                <a:moveTo>
                  <a:pt x="347472" y="0"/>
                </a:moveTo>
                <a:lnTo>
                  <a:pt x="0" y="0"/>
                </a:lnTo>
                <a:lnTo>
                  <a:pt x="0" y="3928872"/>
                </a:lnTo>
                <a:lnTo>
                  <a:pt x="347472" y="3928872"/>
                </a:lnTo>
                <a:lnTo>
                  <a:pt x="347472" y="0"/>
                </a:lnTo>
                <a:close/>
              </a:path>
              <a:path w="7275830" h="3929379">
                <a:moveTo>
                  <a:pt x="1408176" y="0"/>
                </a:moveTo>
                <a:lnTo>
                  <a:pt x="350520" y="0"/>
                </a:lnTo>
                <a:lnTo>
                  <a:pt x="350520" y="3928872"/>
                </a:lnTo>
                <a:lnTo>
                  <a:pt x="1408176" y="3928872"/>
                </a:lnTo>
                <a:lnTo>
                  <a:pt x="1408176" y="0"/>
                </a:lnTo>
                <a:close/>
              </a:path>
              <a:path w="7275830" h="3929379">
                <a:moveTo>
                  <a:pt x="2819400" y="2689860"/>
                </a:moveTo>
                <a:lnTo>
                  <a:pt x="1411224" y="2689860"/>
                </a:lnTo>
                <a:lnTo>
                  <a:pt x="1411224" y="3928872"/>
                </a:lnTo>
                <a:lnTo>
                  <a:pt x="2819400" y="3928872"/>
                </a:lnTo>
                <a:lnTo>
                  <a:pt x="2819400" y="2689860"/>
                </a:lnTo>
                <a:close/>
              </a:path>
              <a:path w="7275830" h="3929379">
                <a:moveTo>
                  <a:pt x="3381756" y="3726180"/>
                </a:moveTo>
                <a:lnTo>
                  <a:pt x="2822448" y="3726180"/>
                </a:lnTo>
                <a:lnTo>
                  <a:pt x="2822448" y="3928872"/>
                </a:lnTo>
                <a:lnTo>
                  <a:pt x="3381756" y="3928872"/>
                </a:lnTo>
                <a:lnTo>
                  <a:pt x="3381756" y="3726180"/>
                </a:lnTo>
                <a:close/>
              </a:path>
              <a:path w="7275830" h="3929379">
                <a:moveTo>
                  <a:pt x="3381756" y="3518916"/>
                </a:moveTo>
                <a:lnTo>
                  <a:pt x="2822448" y="3518916"/>
                </a:lnTo>
                <a:lnTo>
                  <a:pt x="2822448" y="3721608"/>
                </a:lnTo>
                <a:lnTo>
                  <a:pt x="3381756" y="3721608"/>
                </a:lnTo>
                <a:lnTo>
                  <a:pt x="3381756" y="3518916"/>
                </a:lnTo>
                <a:close/>
              </a:path>
              <a:path w="7275830" h="3929379">
                <a:moveTo>
                  <a:pt x="3381756" y="3311652"/>
                </a:moveTo>
                <a:lnTo>
                  <a:pt x="2822448" y="3311652"/>
                </a:lnTo>
                <a:lnTo>
                  <a:pt x="2822448" y="3515868"/>
                </a:lnTo>
                <a:lnTo>
                  <a:pt x="3381756" y="3515868"/>
                </a:lnTo>
                <a:lnTo>
                  <a:pt x="3381756" y="3311652"/>
                </a:lnTo>
                <a:close/>
              </a:path>
              <a:path w="7275830" h="3929379">
                <a:moveTo>
                  <a:pt x="3381756" y="3104388"/>
                </a:moveTo>
                <a:lnTo>
                  <a:pt x="2822448" y="3104388"/>
                </a:lnTo>
                <a:lnTo>
                  <a:pt x="2822448" y="3308604"/>
                </a:lnTo>
                <a:lnTo>
                  <a:pt x="3381756" y="3308604"/>
                </a:lnTo>
                <a:lnTo>
                  <a:pt x="3381756" y="3104388"/>
                </a:lnTo>
                <a:close/>
              </a:path>
              <a:path w="7275830" h="3929379">
                <a:moveTo>
                  <a:pt x="3381756" y="2897124"/>
                </a:moveTo>
                <a:lnTo>
                  <a:pt x="2822448" y="2897124"/>
                </a:lnTo>
                <a:lnTo>
                  <a:pt x="2822448" y="3101340"/>
                </a:lnTo>
                <a:lnTo>
                  <a:pt x="3381756" y="3101340"/>
                </a:lnTo>
                <a:lnTo>
                  <a:pt x="3381756" y="2897124"/>
                </a:lnTo>
                <a:close/>
              </a:path>
              <a:path w="7275830" h="3929379">
                <a:moveTo>
                  <a:pt x="4093464" y="3726180"/>
                </a:moveTo>
                <a:lnTo>
                  <a:pt x="3384804" y="3726180"/>
                </a:lnTo>
                <a:lnTo>
                  <a:pt x="3384804" y="3928872"/>
                </a:lnTo>
                <a:lnTo>
                  <a:pt x="4093464" y="3928872"/>
                </a:lnTo>
                <a:lnTo>
                  <a:pt x="4093464" y="3726180"/>
                </a:lnTo>
                <a:close/>
              </a:path>
              <a:path w="7275830" h="3929379">
                <a:moveTo>
                  <a:pt x="4093464" y="3518916"/>
                </a:moveTo>
                <a:lnTo>
                  <a:pt x="3384804" y="3518916"/>
                </a:lnTo>
                <a:lnTo>
                  <a:pt x="3384804" y="3721608"/>
                </a:lnTo>
                <a:lnTo>
                  <a:pt x="4093464" y="3721608"/>
                </a:lnTo>
                <a:lnTo>
                  <a:pt x="4093464" y="3518916"/>
                </a:lnTo>
                <a:close/>
              </a:path>
              <a:path w="7275830" h="3929379">
                <a:moveTo>
                  <a:pt x="4093464" y="3311652"/>
                </a:moveTo>
                <a:lnTo>
                  <a:pt x="3384804" y="3311652"/>
                </a:lnTo>
                <a:lnTo>
                  <a:pt x="3384804" y="3515868"/>
                </a:lnTo>
                <a:lnTo>
                  <a:pt x="4093464" y="3515868"/>
                </a:lnTo>
                <a:lnTo>
                  <a:pt x="4093464" y="3311652"/>
                </a:lnTo>
                <a:close/>
              </a:path>
              <a:path w="7275830" h="3929379">
                <a:moveTo>
                  <a:pt x="4093464" y="3104388"/>
                </a:moveTo>
                <a:lnTo>
                  <a:pt x="3384804" y="3104388"/>
                </a:lnTo>
                <a:lnTo>
                  <a:pt x="3384804" y="3308604"/>
                </a:lnTo>
                <a:lnTo>
                  <a:pt x="4093464" y="3308604"/>
                </a:lnTo>
                <a:lnTo>
                  <a:pt x="4093464" y="3104388"/>
                </a:lnTo>
                <a:close/>
              </a:path>
              <a:path w="7275830" h="3929379">
                <a:moveTo>
                  <a:pt x="4093464" y="2897124"/>
                </a:moveTo>
                <a:lnTo>
                  <a:pt x="3384804" y="2897124"/>
                </a:lnTo>
                <a:lnTo>
                  <a:pt x="3384804" y="3101340"/>
                </a:lnTo>
                <a:lnTo>
                  <a:pt x="4093464" y="3101340"/>
                </a:lnTo>
                <a:lnTo>
                  <a:pt x="4093464" y="2897124"/>
                </a:lnTo>
                <a:close/>
              </a:path>
              <a:path w="7275830" h="3929379">
                <a:moveTo>
                  <a:pt x="5154168" y="3726180"/>
                </a:moveTo>
                <a:lnTo>
                  <a:pt x="4096512" y="3726180"/>
                </a:lnTo>
                <a:lnTo>
                  <a:pt x="4096512" y="3928872"/>
                </a:lnTo>
                <a:lnTo>
                  <a:pt x="5154168" y="3928872"/>
                </a:lnTo>
                <a:lnTo>
                  <a:pt x="5154168" y="3726180"/>
                </a:lnTo>
                <a:close/>
              </a:path>
              <a:path w="7275830" h="3929379">
                <a:moveTo>
                  <a:pt x="5154168" y="3518916"/>
                </a:moveTo>
                <a:lnTo>
                  <a:pt x="4096512" y="3518916"/>
                </a:lnTo>
                <a:lnTo>
                  <a:pt x="4096512" y="3721608"/>
                </a:lnTo>
                <a:lnTo>
                  <a:pt x="5154168" y="3721608"/>
                </a:lnTo>
                <a:lnTo>
                  <a:pt x="5154168" y="3518916"/>
                </a:lnTo>
                <a:close/>
              </a:path>
              <a:path w="7275830" h="3929379">
                <a:moveTo>
                  <a:pt x="5154168" y="3311652"/>
                </a:moveTo>
                <a:lnTo>
                  <a:pt x="4096512" y="3311652"/>
                </a:lnTo>
                <a:lnTo>
                  <a:pt x="4096512" y="3515868"/>
                </a:lnTo>
                <a:lnTo>
                  <a:pt x="5154168" y="3515868"/>
                </a:lnTo>
                <a:lnTo>
                  <a:pt x="5154168" y="3311652"/>
                </a:lnTo>
                <a:close/>
              </a:path>
              <a:path w="7275830" h="3929379">
                <a:moveTo>
                  <a:pt x="5154168" y="3104388"/>
                </a:moveTo>
                <a:lnTo>
                  <a:pt x="4096512" y="3104388"/>
                </a:lnTo>
                <a:lnTo>
                  <a:pt x="4096512" y="3308604"/>
                </a:lnTo>
                <a:lnTo>
                  <a:pt x="5154168" y="3308604"/>
                </a:lnTo>
                <a:lnTo>
                  <a:pt x="5154168" y="3104388"/>
                </a:lnTo>
                <a:close/>
              </a:path>
              <a:path w="7275830" h="3929379">
                <a:moveTo>
                  <a:pt x="5154168" y="2897124"/>
                </a:moveTo>
                <a:lnTo>
                  <a:pt x="4096512" y="2897124"/>
                </a:lnTo>
                <a:lnTo>
                  <a:pt x="4096512" y="3101340"/>
                </a:lnTo>
                <a:lnTo>
                  <a:pt x="5154168" y="3101340"/>
                </a:lnTo>
                <a:lnTo>
                  <a:pt x="5154168" y="2897124"/>
                </a:lnTo>
                <a:close/>
              </a:path>
              <a:path w="7275830" h="3929379">
                <a:moveTo>
                  <a:pt x="6214872" y="3726180"/>
                </a:moveTo>
                <a:lnTo>
                  <a:pt x="5157216" y="3726180"/>
                </a:lnTo>
                <a:lnTo>
                  <a:pt x="5157216" y="3928872"/>
                </a:lnTo>
                <a:lnTo>
                  <a:pt x="6214872" y="3928872"/>
                </a:lnTo>
                <a:lnTo>
                  <a:pt x="6214872" y="3726180"/>
                </a:lnTo>
                <a:close/>
              </a:path>
              <a:path w="7275830" h="3929379">
                <a:moveTo>
                  <a:pt x="6214872" y="3518916"/>
                </a:moveTo>
                <a:lnTo>
                  <a:pt x="5157216" y="3518916"/>
                </a:lnTo>
                <a:lnTo>
                  <a:pt x="5157216" y="3721608"/>
                </a:lnTo>
                <a:lnTo>
                  <a:pt x="6214872" y="3721608"/>
                </a:lnTo>
                <a:lnTo>
                  <a:pt x="6214872" y="3518916"/>
                </a:lnTo>
                <a:close/>
              </a:path>
              <a:path w="7275830" h="3929379">
                <a:moveTo>
                  <a:pt x="6214872" y="3311652"/>
                </a:moveTo>
                <a:lnTo>
                  <a:pt x="5157216" y="3311652"/>
                </a:lnTo>
                <a:lnTo>
                  <a:pt x="5157216" y="3515868"/>
                </a:lnTo>
                <a:lnTo>
                  <a:pt x="6214872" y="3515868"/>
                </a:lnTo>
                <a:lnTo>
                  <a:pt x="6214872" y="3311652"/>
                </a:lnTo>
                <a:close/>
              </a:path>
              <a:path w="7275830" h="3929379">
                <a:moveTo>
                  <a:pt x="6214872" y="3104388"/>
                </a:moveTo>
                <a:lnTo>
                  <a:pt x="5157216" y="3104388"/>
                </a:lnTo>
                <a:lnTo>
                  <a:pt x="5157216" y="3308604"/>
                </a:lnTo>
                <a:lnTo>
                  <a:pt x="6214872" y="3308604"/>
                </a:lnTo>
                <a:lnTo>
                  <a:pt x="6214872" y="3104388"/>
                </a:lnTo>
                <a:close/>
              </a:path>
              <a:path w="7275830" h="3929379">
                <a:moveTo>
                  <a:pt x="6214872" y="2897124"/>
                </a:moveTo>
                <a:lnTo>
                  <a:pt x="5157216" y="2897124"/>
                </a:lnTo>
                <a:lnTo>
                  <a:pt x="5157216" y="3101340"/>
                </a:lnTo>
                <a:lnTo>
                  <a:pt x="6214872" y="3101340"/>
                </a:lnTo>
                <a:lnTo>
                  <a:pt x="6214872" y="2897124"/>
                </a:lnTo>
                <a:close/>
              </a:path>
              <a:path w="7275830" h="3929379">
                <a:moveTo>
                  <a:pt x="6214872" y="2689860"/>
                </a:moveTo>
                <a:lnTo>
                  <a:pt x="5157216" y="2689860"/>
                </a:lnTo>
                <a:lnTo>
                  <a:pt x="5157216" y="2894076"/>
                </a:lnTo>
                <a:lnTo>
                  <a:pt x="6214872" y="2894076"/>
                </a:lnTo>
                <a:lnTo>
                  <a:pt x="6214872" y="2689860"/>
                </a:lnTo>
                <a:close/>
              </a:path>
              <a:path w="7275830" h="3929379">
                <a:moveTo>
                  <a:pt x="7275576" y="3726180"/>
                </a:moveTo>
                <a:lnTo>
                  <a:pt x="6217920" y="3726180"/>
                </a:lnTo>
                <a:lnTo>
                  <a:pt x="6217920" y="3928872"/>
                </a:lnTo>
                <a:lnTo>
                  <a:pt x="7275576" y="3928872"/>
                </a:lnTo>
                <a:lnTo>
                  <a:pt x="7275576" y="3726180"/>
                </a:lnTo>
                <a:close/>
              </a:path>
              <a:path w="7275830" h="3929379">
                <a:moveTo>
                  <a:pt x="7275576" y="3518916"/>
                </a:moveTo>
                <a:lnTo>
                  <a:pt x="6217920" y="3518916"/>
                </a:lnTo>
                <a:lnTo>
                  <a:pt x="6217920" y="3721608"/>
                </a:lnTo>
                <a:lnTo>
                  <a:pt x="7275576" y="3721608"/>
                </a:lnTo>
                <a:lnTo>
                  <a:pt x="7275576" y="3518916"/>
                </a:lnTo>
                <a:close/>
              </a:path>
              <a:path w="7275830" h="3929379">
                <a:moveTo>
                  <a:pt x="7275576" y="3311652"/>
                </a:moveTo>
                <a:lnTo>
                  <a:pt x="6217920" y="3311652"/>
                </a:lnTo>
                <a:lnTo>
                  <a:pt x="6217920" y="3515868"/>
                </a:lnTo>
                <a:lnTo>
                  <a:pt x="7275576" y="3515868"/>
                </a:lnTo>
                <a:lnTo>
                  <a:pt x="7275576" y="3311652"/>
                </a:lnTo>
                <a:close/>
              </a:path>
              <a:path w="7275830" h="3929379">
                <a:moveTo>
                  <a:pt x="7275576" y="3104388"/>
                </a:moveTo>
                <a:lnTo>
                  <a:pt x="6217920" y="3104388"/>
                </a:lnTo>
                <a:lnTo>
                  <a:pt x="6217920" y="3308604"/>
                </a:lnTo>
                <a:lnTo>
                  <a:pt x="7275576" y="3308604"/>
                </a:lnTo>
                <a:lnTo>
                  <a:pt x="7275576" y="3104388"/>
                </a:lnTo>
                <a:close/>
              </a:path>
              <a:path w="7275830" h="3929379">
                <a:moveTo>
                  <a:pt x="7275576" y="2897124"/>
                </a:moveTo>
                <a:lnTo>
                  <a:pt x="6217920" y="2897124"/>
                </a:lnTo>
                <a:lnTo>
                  <a:pt x="6217920" y="3101340"/>
                </a:lnTo>
                <a:lnTo>
                  <a:pt x="7275576" y="3101340"/>
                </a:lnTo>
                <a:lnTo>
                  <a:pt x="7275576" y="2897124"/>
                </a:lnTo>
                <a:close/>
              </a:path>
              <a:path w="7275830" h="3929379">
                <a:moveTo>
                  <a:pt x="7275576" y="2689860"/>
                </a:moveTo>
                <a:lnTo>
                  <a:pt x="6217920" y="2689860"/>
                </a:lnTo>
                <a:lnTo>
                  <a:pt x="6217920" y="2894076"/>
                </a:lnTo>
                <a:lnTo>
                  <a:pt x="7275576" y="2894076"/>
                </a:lnTo>
                <a:lnTo>
                  <a:pt x="7275576" y="268986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9</xdr:col>
      <xdr:colOff>538861</xdr:colOff>
      <xdr:row>26</xdr:row>
      <xdr:rowOff>0</xdr:rowOff>
    </xdr:from>
    <xdr:ext cx="708660" cy="3929379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1100-000091000000}"/>
            </a:ext>
          </a:extLst>
        </xdr:cNvPr>
        <xdr:cNvSpPr/>
      </xdr:nvSpPr>
      <xdr:spPr>
        <a:xfrm>
          <a:off x="0" y="0"/>
          <a:ext cx="708660" cy="3929379"/>
        </a:xfrm>
        <a:custGeom>
          <a:avLst/>
          <a:gdLst/>
          <a:ahLst/>
          <a:cxnLst/>
          <a:rect l="0" t="0" r="0" b="0"/>
          <a:pathLst>
            <a:path w="708660" h="3929379">
              <a:moveTo>
                <a:pt x="708660" y="3726180"/>
              </a:moveTo>
              <a:lnTo>
                <a:pt x="0" y="3726180"/>
              </a:lnTo>
              <a:lnTo>
                <a:pt x="0" y="3928872"/>
              </a:lnTo>
              <a:lnTo>
                <a:pt x="708660" y="3928872"/>
              </a:lnTo>
              <a:lnTo>
                <a:pt x="708660" y="3726180"/>
              </a:lnTo>
              <a:close/>
            </a:path>
            <a:path w="708660" h="3929379">
              <a:moveTo>
                <a:pt x="708660" y="3518916"/>
              </a:moveTo>
              <a:lnTo>
                <a:pt x="0" y="3518916"/>
              </a:lnTo>
              <a:lnTo>
                <a:pt x="0" y="3721608"/>
              </a:lnTo>
              <a:lnTo>
                <a:pt x="708660" y="3721608"/>
              </a:lnTo>
              <a:lnTo>
                <a:pt x="708660" y="3518916"/>
              </a:lnTo>
              <a:close/>
            </a:path>
            <a:path w="708660" h="3929379">
              <a:moveTo>
                <a:pt x="708660" y="3311652"/>
              </a:moveTo>
              <a:lnTo>
                <a:pt x="0" y="3311652"/>
              </a:lnTo>
              <a:lnTo>
                <a:pt x="0" y="3515868"/>
              </a:lnTo>
              <a:lnTo>
                <a:pt x="708660" y="3515868"/>
              </a:lnTo>
              <a:lnTo>
                <a:pt x="708660" y="3311652"/>
              </a:lnTo>
              <a:close/>
            </a:path>
            <a:path w="708660" h="3929379">
              <a:moveTo>
                <a:pt x="708660" y="3104388"/>
              </a:moveTo>
              <a:lnTo>
                <a:pt x="0" y="3104388"/>
              </a:lnTo>
              <a:lnTo>
                <a:pt x="0" y="3308604"/>
              </a:lnTo>
              <a:lnTo>
                <a:pt x="708660" y="3308604"/>
              </a:lnTo>
              <a:lnTo>
                <a:pt x="708660" y="3104388"/>
              </a:lnTo>
              <a:close/>
            </a:path>
            <a:path w="708660" h="3929379">
              <a:moveTo>
                <a:pt x="708660" y="2897124"/>
              </a:moveTo>
              <a:lnTo>
                <a:pt x="0" y="2897124"/>
              </a:lnTo>
              <a:lnTo>
                <a:pt x="0" y="3101340"/>
              </a:lnTo>
              <a:lnTo>
                <a:pt x="708660" y="3101340"/>
              </a:lnTo>
              <a:lnTo>
                <a:pt x="708660" y="2897124"/>
              </a:lnTo>
              <a:close/>
            </a:path>
            <a:path w="708660" h="3929379">
              <a:moveTo>
                <a:pt x="708660" y="2689860"/>
              </a:moveTo>
              <a:lnTo>
                <a:pt x="0" y="2689860"/>
              </a:lnTo>
              <a:lnTo>
                <a:pt x="0" y="2894076"/>
              </a:lnTo>
              <a:lnTo>
                <a:pt x="708660" y="2894076"/>
              </a:lnTo>
              <a:lnTo>
                <a:pt x="708660" y="2689860"/>
              </a:lnTo>
              <a:close/>
            </a:path>
            <a:path w="708660" h="3929379">
              <a:moveTo>
                <a:pt x="708660" y="2484120"/>
              </a:moveTo>
              <a:lnTo>
                <a:pt x="0" y="2484120"/>
              </a:lnTo>
              <a:lnTo>
                <a:pt x="0" y="2686812"/>
              </a:lnTo>
              <a:lnTo>
                <a:pt x="708660" y="2686812"/>
              </a:lnTo>
              <a:lnTo>
                <a:pt x="708660" y="2484120"/>
              </a:lnTo>
              <a:close/>
            </a:path>
            <a:path w="708660" h="3929379">
              <a:moveTo>
                <a:pt x="708660" y="2276856"/>
              </a:moveTo>
              <a:lnTo>
                <a:pt x="0" y="2276856"/>
              </a:lnTo>
              <a:lnTo>
                <a:pt x="0" y="2481072"/>
              </a:lnTo>
              <a:lnTo>
                <a:pt x="708660" y="2481072"/>
              </a:lnTo>
              <a:lnTo>
                <a:pt x="708660" y="2276856"/>
              </a:lnTo>
              <a:close/>
            </a:path>
            <a:path w="708660" h="3929379">
              <a:moveTo>
                <a:pt x="708660" y="2069592"/>
              </a:moveTo>
              <a:lnTo>
                <a:pt x="0" y="2069592"/>
              </a:lnTo>
              <a:lnTo>
                <a:pt x="0" y="2273808"/>
              </a:lnTo>
              <a:lnTo>
                <a:pt x="708660" y="2273808"/>
              </a:lnTo>
              <a:lnTo>
                <a:pt x="708660" y="2069592"/>
              </a:lnTo>
              <a:close/>
            </a:path>
            <a:path w="708660" h="3929379">
              <a:moveTo>
                <a:pt x="708660" y="1862328"/>
              </a:moveTo>
              <a:lnTo>
                <a:pt x="0" y="1862328"/>
              </a:lnTo>
              <a:lnTo>
                <a:pt x="0" y="2066544"/>
              </a:lnTo>
              <a:lnTo>
                <a:pt x="708660" y="2066544"/>
              </a:lnTo>
              <a:lnTo>
                <a:pt x="708660" y="1862328"/>
              </a:lnTo>
              <a:close/>
            </a:path>
            <a:path w="708660" h="3929379">
              <a:moveTo>
                <a:pt x="708660" y="1656588"/>
              </a:moveTo>
              <a:lnTo>
                <a:pt x="0" y="1656588"/>
              </a:lnTo>
              <a:lnTo>
                <a:pt x="0" y="1859280"/>
              </a:lnTo>
              <a:lnTo>
                <a:pt x="708660" y="1859280"/>
              </a:lnTo>
              <a:lnTo>
                <a:pt x="708660" y="1656588"/>
              </a:lnTo>
              <a:close/>
            </a:path>
            <a:path w="708660" h="3929379">
              <a:moveTo>
                <a:pt x="708660" y="1449324"/>
              </a:moveTo>
              <a:lnTo>
                <a:pt x="0" y="1449324"/>
              </a:lnTo>
              <a:lnTo>
                <a:pt x="0" y="1653540"/>
              </a:lnTo>
              <a:lnTo>
                <a:pt x="708660" y="1653540"/>
              </a:lnTo>
              <a:lnTo>
                <a:pt x="708660" y="1449324"/>
              </a:lnTo>
              <a:close/>
            </a:path>
            <a:path w="708660" h="3929379">
              <a:moveTo>
                <a:pt x="708660" y="1242060"/>
              </a:moveTo>
              <a:lnTo>
                <a:pt x="0" y="1242060"/>
              </a:lnTo>
              <a:lnTo>
                <a:pt x="0" y="1446276"/>
              </a:lnTo>
              <a:lnTo>
                <a:pt x="708660" y="1446276"/>
              </a:lnTo>
              <a:lnTo>
                <a:pt x="708660" y="1242060"/>
              </a:lnTo>
              <a:close/>
            </a:path>
            <a:path w="708660" h="3929379">
              <a:moveTo>
                <a:pt x="708660" y="1034796"/>
              </a:moveTo>
              <a:lnTo>
                <a:pt x="0" y="1034796"/>
              </a:lnTo>
              <a:lnTo>
                <a:pt x="0" y="1239012"/>
              </a:lnTo>
              <a:lnTo>
                <a:pt x="708660" y="1239012"/>
              </a:lnTo>
              <a:lnTo>
                <a:pt x="708660" y="1034796"/>
              </a:lnTo>
              <a:close/>
            </a:path>
            <a:path w="708660" h="3929379">
              <a:moveTo>
                <a:pt x="708660" y="827532"/>
              </a:moveTo>
              <a:lnTo>
                <a:pt x="0" y="827532"/>
              </a:lnTo>
              <a:lnTo>
                <a:pt x="0" y="1031748"/>
              </a:lnTo>
              <a:lnTo>
                <a:pt x="708660" y="1031748"/>
              </a:lnTo>
              <a:lnTo>
                <a:pt x="708660" y="827532"/>
              </a:lnTo>
              <a:close/>
            </a:path>
            <a:path w="708660" h="3929379">
              <a:moveTo>
                <a:pt x="708660" y="620268"/>
              </a:moveTo>
              <a:lnTo>
                <a:pt x="0" y="620268"/>
              </a:lnTo>
              <a:lnTo>
                <a:pt x="0" y="824484"/>
              </a:lnTo>
              <a:lnTo>
                <a:pt x="708660" y="824484"/>
              </a:lnTo>
              <a:lnTo>
                <a:pt x="708660" y="620268"/>
              </a:lnTo>
              <a:close/>
            </a:path>
            <a:path w="708660" h="3929379">
              <a:moveTo>
                <a:pt x="708660" y="414528"/>
              </a:moveTo>
              <a:lnTo>
                <a:pt x="0" y="414528"/>
              </a:lnTo>
              <a:lnTo>
                <a:pt x="0" y="617220"/>
              </a:lnTo>
              <a:lnTo>
                <a:pt x="708660" y="617220"/>
              </a:lnTo>
              <a:lnTo>
                <a:pt x="708660" y="414528"/>
              </a:lnTo>
              <a:close/>
            </a:path>
            <a:path w="708660" h="3929379">
              <a:moveTo>
                <a:pt x="708660" y="207264"/>
              </a:moveTo>
              <a:lnTo>
                <a:pt x="0" y="207264"/>
              </a:lnTo>
              <a:lnTo>
                <a:pt x="0" y="411480"/>
              </a:lnTo>
              <a:lnTo>
                <a:pt x="708660" y="411480"/>
              </a:lnTo>
              <a:lnTo>
                <a:pt x="708660" y="207264"/>
              </a:lnTo>
              <a:close/>
            </a:path>
            <a:path w="708660" h="3929379">
              <a:moveTo>
                <a:pt x="708660" y="0"/>
              </a:moveTo>
              <a:lnTo>
                <a:pt x="0" y="0"/>
              </a:lnTo>
              <a:lnTo>
                <a:pt x="0" y="204216"/>
              </a:lnTo>
              <a:lnTo>
                <a:pt x="708660" y="204216"/>
              </a:lnTo>
              <a:lnTo>
                <a:pt x="70866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DAA4-06FE-47CD-B6D0-35B2B4CBC67F}">
  <dimension ref="A1:AO308"/>
  <sheetViews>
    <sheetView topLeftCell="T1" workbookViewId="0">
      <selection activeCell="W48" sqref="W48"/>
    </sheetView>
  </sheetViews>
  <sheetFormatPr defaultRowHeight="13.2" x14ac:dyDescent="0.25"/>
  <cols>
    <col min="1" max="3" width="6" bestFit="1" customWidth="1"/>
    <col min="4" max="8" width="4" bestFit="1" customWidth="1"/>
    <col min="9" max="12" width="6" bestFit="1" customWidth="1"/>
    <col min="13" max="13" width="7.33203125" bestFit="1" customWidth="1"/>
  </cols>
  <sheetData>
    <row r="1" spans="1:41" x14ac:dyDescent="0.25">
      <c r="A1" s="18" t="s">
        <v>246</v>
      </c>
      <c r="B1" s="18" t="s">
        <v>247</v>
      </c>
      <c r="C1" s="18" t="s">
        <v>248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</row>
    <row r="2" spans="1:41" x14ac:dyDescent="0.25">
      <c r="A2" s="19">
        <v>0.11743772241992882</v>
      </c>
      <c r="B2" s="19">
        <v>0.28825622775800713</v>
      </c>
      <c r="C2" s="19">
        <v>0.58718861209964412</v>
      </c>
      <c r="D2" s="20">
        <v>336</v>
      </c>
      <c r="E2" s="20">
        <v>1</v>
      </c>
      <c r="F2" s="20">
        <v>12</v>
      </c>
      <c r="G2" s="20">
        <v>1</v>
      </c>
      <c r="H2" s="20">
        <v>350</v>
      </c>
      <c r="I2" s="23">
        <v>0.96</v>
      </c>
      <c r="J2" s="23">
        <v>2.8571428571428571E-3</v>
      </c>
      <c r="K2" s="23">
        <v>3.4285714285714287E-2</v>
      </c>
      <c r="L2" s="23">
        <v>2.8571428571428571E-3</v>
      </c>
      <c r="M2" s="21">
        <v>61.782857142857139</v>
      </c>
      <c r="O2" s="25" t="s">
        <v>135</v>
      </c>
    </row>
    <row r="3" spans="1:41" x14ac:dyDescent="0.25">
      <c r="A3" s="19">
        <v>0.13010204081632654</v>
      </c>
      <c r="B3" s="19">
        <v>0.50255102040816324</v>
      </c>
      <c r="C3" s="19">
        <v>0.35459183673469385</v>
      </c>
      <c r="D3" s="20">
        <v>332</v>
      </c>
      <c r="E3" s="20">
        <v>2</v>
      </c>
      <c r="F3" s="20">
        <v>28</v>
      </c>
      <c r="G3" s="20">
        <v>1</v>
      </c>
      <c r="H3" s="20">
        <v>363</v>
      </c>
      <c r="I3" s="23">
        <v>0.91460055096418735</v>
      </c>
      <c r="J3" s="23">
        <v>5.5096418732782371E-3</v>
      </c>
      <c r="K3" s="23">
        <v>7.7134986225895319E-2</v>
      </c>
      <c r="L3" s="23">
        <v>2.7548209366391185E-3</v>
      </c>
      <c r="M3" s="21">
        <v>41.319559228650135</v>
      </c>
    </row>
    <row r="4" spans="1:41" x14ac:dyDescent="0.25">
      <c r="A4" s="19">
        <v>0.17349397590361446</v>
      </c>
      <c r="B4" s="19">
        <v>0.52771084337349394</v>
      </c>
      <c r="C4" s="19">
        <v>0.29879518072289157</v>
      </c>
      <c r="D4" s="20">
        <v>355</v>
      </c>
      <c r="E4" s="20">
        <v>0</v>
      </c>
      <c r="F4" s="20">
        <v>8</v>
      </c>
      <c r="G4" s="20">
        <v>0</v>
      </c>
      <c r="H4" s="20">
        <v>363</v>
      </c>
      <c r="I4" s="23">
        <v>0.97796143250688705</v>
      </c>
      <c r="J4" s="23">
        <v>0</v>
      </c>
      <c r="K4" s="23">
        <v>2.2038567493112948E-2</v>
      </c>
      <c r="L4" s="23">
        <v>0</v>
      </c>
      <c r="M4" s="21">
        <v>24.674931129476583</v>
      </c>
    </row>
    <row r="5" spans="1:41" x14ac:dyDescent="0.25">
      <c r="A5" s="19">
        <v>0.55434782608695654</v>
      </c>
      <c r="B5" s="19">
        <v>0.19202898550724637</v>
      </c>
      <c r="C5" s="19">
        <v>0.22463768115942029</v>
      </c>
      <c r="D5" s="20">
        <v>343</v>
      </c>
      <c r="E5" s="20">
        <v>1</v>
      </c>
      <c r="F5" s="20">
        <v>3</v>
      </c>
      <c r="G5" s="20">
        <v>3</v>
      </c>
      <c r="H5" s="20">
        <v>350</v>
      </c>
      <c r="I5" s="23">
        <v>0.98</v>
      </c>
      <c r="J5" s="23">
        <v>2.8571428571428571E-3</v>
      </c>
      <c r="K5" s="23">
        <v>8.5714285714285719E-3</v>
      </c>
      <c r="L5" s="23">
        <v>8.5714285714285719E-3</v>
      </c>
      <c r="M5" s="21">
        <v>59.191428571428574</v>
      </c>
    </row>
    <row r="6" spans="1:41" x14ac:dyDescent="0.25">
      <c r="A6" s="19">
        <v>0.46964856230031948</v>
      </c>
      <c r="B6" s="19">
        <v>0.33865814696485624</v>
      </c>
      <c r="C6" s="19">
        <v>0.18849840255591055</v>
      </c>
      <c r="D6" s="20">
        <v>478</v>
      </c>
      <c r="E6" s="20">
        <v>0</v>
      </c>
      <c r="F6" s="20">
        <v>6</v>
      </c>
      <c r="G6" s="20">
        <v>2</v>
      </c>
      <c r="H6" s="20">
        <v>486</v>
      </c>
      <c r="I6" s="23">
        <v>0.98353909465020573</v>
      </c>
      <c r="J6" s="23">
        <v>0</v>
      </c>
      <c r="K6" s="23">
        <v>1.2345679012345678E-2</v>
      </c>
      <c r="L6" s="23">
        <v>4.11522633744856E-3</v>
      </c>
      <c r="M6" s="21">
        <v>38.794238683127574</v>
      </c>
      <c r="W6" s="25" t="s">
        <v>348</v>
      </c>
      <c r="AF6" s="25" t="s">
        <v>351</v>
      </c>
      <c r="AO6" s="25" t="s">
        <v>352</v>
      </c>
    </row>
    <row r="7" spans="1:41" x14ac:dyDescent="0.25">
      <c r="A7" s="19">
        <v>0.53020134228187921</v>
      </c>
      <c r="B7" s="19">
        <v>0.32214765100671139</v>
      </c>
      <c r="C7" s="19">
        <v>0.1476510067114094</v>
      </c>
      <c r="D7" s="20">
        <v>483</v>
      </c>
      <c r="E7" s="20">
        <v>0</v>
      </c>
      <c r="F7" s="20">
        <v>3</v>
      </c>
      <c r="G7" s="20">
        <v>0</v>
      </c>
      <c r="H7" s="20">
        <v>486</v>
      </c>
      <c r="I7" s="23">
        <v>0.99382716049382713</v>
      </c>
      <c r="J7" s="23">
        <v>0</v>
      </c>
      <c r="K7" s="23">
        <v>6.1728395061728392E-3</v>
      </c>
      <c r="L7" s="23">
        <v>0</v>
      </c>
      <c r="M7" s="21">
        <v>23.358024691358025</v>
      </c>
    </row>
    <row r="8" spans="1:41" x14ac:dyDescent="0.25">
      <c r="A8" s="19">
        <v>0.61032028469750887</v>
      </c>
      <c r="B8" s="19">
        <v>0.27580071174377224</v>
      </c>
      <c r="C8" s="19">
        <v>0.10676156583629894</v>
      </c>
      <c r="D8" s="20">
        <v>142</v>
      </c>
      <c r="E8" s="20">
        <v>55</v>
      </c>
      <c r="F8" s="20">
        <v>167</v>
      </c>
      <c r="G8" s="20">
        <v>6</v>
      </c>
      <c r="H8" s="20">
        <v>370</v>
      </c>
      <c r="I8" s="23">
        <v>0.38378378378378381</v>
      </c>
      <c r="J8" s="23">
        <v>0.14864864864864866</v>
      </c>
      <c r="K8" s="23">
        <v>0.45135135135135135</v>
      </c>
      <c r="L8" s="23">
        <v>1.6216216216216217E-2</v>
      </c>
      <c r="M8" s="21">
        <v>59.354054054054053</v>
      </c>
      <c r="W8" s="28">
        <f>-0.6421+0.904</f>
        <v>0.26190000000000002</v>
      </c>
      <c r="AF8" s="27">
        <f>0.6253+0.4188</f>
        <v>1.0441</v>
      </c>
      <c r="AO8" s="28">
        <f>0.3245+0.622</f>
        <v>0.94650000000000001</v>
      </c>
    </row>
    <row r="9" spans="1:41" x14ac:dyDescent="0.25">
      <c r="A9" s="19">
        <v>0.56981132075471697</v>
      </c>
      <c r="B9" s="19">
        <v>0.32641509433962262</v>
      </c>
      <c r="C9" s="19">
        <v>0.1</v>
      </c>
      <c r="D9" s="20">
        <v>211</v>
      </c>
      <c r="E9" s="20">
        <v>37</v>
      </c>
      <c r="F9" s="20">
        <v>115</v>
      </c>
      <c r="G9" s="20">
        <v>7</v>
      </c>
      <c r="H9" s="20">
        <v>370</v>
      </c>
      <c r="I9" s="23">
        <v>0.57027027027027022</v>
      </c>
      <c r="J9" s="23">
        <v>0.1</v>
      </c>
      <c r="K9" s="23">
        <v>0.3108108108108108</v>
      </c>
      <c r="L9" s="23">
        <v>1.891891891891892E-2</v>
      </c>
      <c r="M9" s="21">
        <v>53.243243243243242</v>
      </c>
    </row>
    <row r="10" spans="1:41" x14ac:dyDescent="0.25">
      <c r="A10" s="19">
        <v>0.5</v>
      </c>
      <c r="B10" s="19">
        <v>0.39554794520547948</v>
      </c>
      <c r="C10" s="19">
        <v>0.10273972602739725</v>
      </c>
      <c r="D10" s="20">
        <v>208</v>
      </c>
      <c r="E10" s="20">
        <v>29</v>
      </c>
      <c r="F10" s="20">
        <v>129</v>
      </c>
      <c r="G10" s="20">
        <v>4</v>
      </c>
      <c r="H10" s="20">
        <v>370</v>
      </c>
      <c r="I10" s="23">
        <v>0.56216216216216219</v>
      </c>
      <c r="J10" s="23">
        <v>7.8378378378378383E-2</v>
      </c>
      <c r="K10" s="23">
        <v>0.34864864864864864</v>
      </c>
      <c r="L10" s="23">
        <v>1.0810810810810811E-2</v>
      </c>
      <c r="M10" s="21">
        <v>46.729729729729726</v>
      </c>
    </row>
    <row r="11" spans="1:41" x14ac:dyDescent="0.25">
      <c r="A11" s="19">
        <v>0.44186046511627908</v>
      </c>
      <c r="B11" s="19">
        <v>0.46345514950166111</v>
      </c>
      <c r="C11" s="19">
        <v>9.1362126245847178E-2</v>
      </c>
      <c r="D11" s="20">
        <v>332</v>
      </c>
      <c r="E11" s="20">
        <v>45</v>
      </c>
      <c r="F11" s="20">
        <v>347</v>
      </c>
      <c r="G11" s="20">
        <v>6</v>
      </c>
      <c r="H11" s="20">
        <v>730</v>
      </c>
      <c r="I11" s="23">
        <v>0.45479452054794522</v>
      </c>
      <c r="J11" s="23">
        <v>6.1643835616438353E-2</v>
      </c>
      <c r="K11" s="23">
        <v>0.47534246575342465</v>
      </c>
      <c r="L11" s="23">
        <v>8.21917808219178E-3</v>
      </c>
      <c r="M11" s="21">
        <v>39.232876712328768</v>
      </c>
    </row>
    <row r="12" spans="1:41" x14ac:dyDescent="0.25">
      <c r="A12" s="19">
        <v>0.16603773584905659</v>
      </c>
      <c r="B12" s="19">
        <v>0.20377358490566039</v>
      </c>
      <c r="C12" s="19">
        <v>0.5962264150943396</v>
      </c>
      <c r="D12" s="20">
        <v>408</v>
      </c>
      <c r="E12" s="20">
        <v>53</v>
      </c>
      <c r="F12" s="20">
        <v>257</v>
      </c>
      <c r="G12" s="20">
        <v>13</v>
      </c>
      <c r="H12" s="20">
        <v>731</v>
      </c>
      <c r="I12" s="23">
        <v>0.55813953488372092</v>
      </c>
      <c r="J12" s="23">
        <v>7.2503419972640218E-2</v>
      </c>
      <c r="K12" s="23">
        <v>0.35157318741450067</v>
      </c>
      <c r="L12" s="23">
        <v>1.7783857729138167E-2</v>
      </c>
      <c r="M12" s="21">
        <v>30.172366621067031</v>
      </c>
    </row>
    <row r="13" spans="1:41" x14ac:dyDescent="0.25">
      <c r="A13" s="19">
        <v>0.18545454545454546</v>
      </c>
      <c r="B13" s="19">
        <v>0.34545454545454546</v>
      </c>
      <c r="C13" s="19">
        <v>0.45454545454545453</v>
      </c>
      <c r="D13" s="20">
        <v>492</v>
      </c>
      <c r="E13" s="20">
        <v>50</v>
      </c>
      <c r="F13" s="20">
        <v>185</v>
      </c>
      <c r="G13" s="20">
        <v>4</v>
      </c>
      <c r="H13" s="20">
        <v>731</v>
      </c>
      <c r="I13" s="23">
        <v>0.67305061559507529</v>
      </c>
      <c r="J13" s="23">
        <v>6.8399452804377564E-2</v>
      </c>
      <c r="K13" s="23">
        <v>0.25307797537619697</v>
      </c>
      <c r="L13" s="23">
        <v>5.4719562243502051E-3</v>
      </c>
      <c r="M13" s="21">
        <v>24.101231190150479</v>
      </c>
    </row>
    <row r="14" spans="1:41" x14ac:dyDescent="0.25">
      <c r="A14" s="19">
        <v>0.19155844155844157</v>
      </c>
      <c r="B14" s="19">
        <v>0.42532467532467533</v>
      </c>
      <c r="C14" s="19">
        <v>0.37987012987012986</v>
      </c>
      <c r="D14" s="20">
        <v>506</v>
      </c>
      <c r="E14" s="20">
        <v>42</v>
      </c>
      <c r="F14" s="20">
        <v>182</v>
      </c>
      <c r="G14" s="20">
        <v>1</v>
      </c>
      <c r="H14" s="20">
        <v>731</v>
      </c>
      <c r="I14" s="23">
        <v>0.69220246238030092</v>
      </c>
      <c r="J14" s="23">
        <v>5.7455540355677154E-2</v>
      </c>
      <c r="K14" s="23">
        <v>0.24897400820793433</v>
      </c>
      <c r="L14" s="23">
        <v>1.3679890560875513E-3</v>
      </c>
      <c r="M14" s="21">
        <v>19.783857729138166</v>
      </c>
    </row>
    <row r="15" spans="1:41" x14ac:dyDescent="0.25">
      <c r="A15" s="19">
        <v>0.32500000000000001</v>
      </c>
      <c r="B15" s="19">
        <v>0.36428571428571427</v>
      </c>
      <c r="C15" s="19">
        <v>0.30357142857142855</v>
      </c>
      <c r="D15" s="20">
        <v>296</v>
      </c>
      <c r="E15" s="20">
        <v>15</v>
      </c>
      <c r="F15" s="20">
        <v>59</v>
      </c>
      <c r="G15" s="20">
        <v>0</v>
      </c>
      <c r="H15" s="20">
        <v>370</v>
      </c>
      <c r="I15" s="23">
        <v>0.8</v>
      </c>
      <c r="J15" s="23">
        <v>4.0540540540540543E-2</v>
      </c>
      <c r="K15" s="23">
        <v>0.15945945945945947</v>
      </c>
      <c r="L15" s="23">
        <v>0</v>
      </c>
      <c r="M15" s="21">
        <v>63.689189189189186</v>
      </c>
    </row>
    <row r="16" spans="1:41" x14ac:dyDescent="0.25">
      <c r="A16" s="19">
        <v>0.27597402597402598</v>
      </c>
      <c r="B16" s="19">
        <v>0.41233766233766234</v>
      </c>
      <c r="C16" s="19">
        <v>0.29870129870129869</v>
      </c>
      <c r="D16" s="20">
        <v>311</v>
      </c>
      <c r="E16" s="20">
        <v>11</v>
      </c>
      <c r="F16" s="20">
        <v>43</v>
      </c>
      <c r="G16" s="20">
        <v>5</v>
      </c>
      <c r="H16" s="20">
        <v>370</v>
      </c>
      <c r="I16" s="23">
        <v>0.8405405405405405</v>
      </c>
      <c r="J16" s="23">
        <v>2.9729729729729731E-2</v>
      </c>
      <c r="K16" s="23">
        <v>0.11621621621621622</v>
      </c>
      <c r="L16" s="23">
        <v>1.3513513513513514E-2</v>
      </c>
      <c r="M16" s="21">
        <v>56.205405405405408</v>
      </c>
    </row>
    <row r="17" spans="1:23" x14ac:dyDescent="0.25">
      <c r="A17" s="19">
        <v>0.24015009380863039</v>
      </c>
      <c r="B17" s="19">
        <v>0.55347091932457781</v>
      </c>
      <c r="C17" s="19">
        <v>0.20262664165103189</v>
      </c>
      <c r="D17" s="20">
        <v>637</v>
      </c>
      <c r="E17" s="20">
        <v>8</v>
      </c>
      <c r="F17" s="20">
        <v>34</v>
      </c>
      <c r="G17" s="20">
        <v>6</v>
      </c>
      <c r="H17" s="20">
        <v>685</v>
      </c>
      <c r="I17" s="23">
        <v>0.92992700729927003</v>
      </c>
      <c r="J17" s="23">
        <v>1.167883211678832E-2</v>
      </c>
      <c r="K17" s="23">
        <v>4.9635036496350364E-2</v>
      </c>
      <c r="L17" s="23">
        <v>8.7591240875912416E-3</v>
      </c>
      <c r="M17" s="21">
        <v>44.319708029197081</v>
      </c>
    </row>
    <row r="18" spans="1:23" x14ac:dyDescent="0.25">
      <c r="A18" s="19">
        <v>0.28764478764478763</v>
      </c>
      <c r="B18" s="19">
        <v>0.50965250965250963</v>
      </c>
      <c r="C18" s="19">
        <v>0.20077220077220076</v>
      </c>
      <c r="D18" s="20">
        <v>643</v>
      </c>
      <c r="E18" s="20">
        <v>14</v>
      </c>
      <c r="F18" s="20">
        <v>25</v>
      </c>
      <c r="G18" s="20">
        <v>4</v>
      </c>
      <c r="H18" s="20">
        <v>686</v>
      </c>
      <c r="I18" s="23">
        <v>0.93731778425655976</v>
      </c>
      <c r="J18" s="23">
        <v>2.0408163265306121E-2</v>
      </c>
      <c r="K18" s="23">
        <v>3.6443148688046649E-2</v>
      </c>
      <c r="L18" s="23">
        <v>5.8309037900874635E-3</v>
      </c>
      <c r="M18" s="21">
        <v>32.599125364431487</v>
      </c>
    </row>
    <row r="19" spans="1:23" x14ac:dyDescent="0.25">
      <c r="A19" s="19">
        <v>0.39219330855018586</v>
      </c>
      <c r="B19" s="19">
        <v>0.42936802973977695</v>
      </c>
      <c r="C19" s="19">
        <v>0.17657992565055763</v>
      </c>
      <c r="D19" s="20">
        <v>666</v>
      </c>
      <c r="E19" s="20">
        <v>7</v>
      </c>
      <c r="F19" s="20">
        <v>12</v>
      </c>
      <c r="G19" s="20">
        <v>1</v>
      </c>
      <c r="H19" s="20">
        <v>686</v>
      </c>
      <c r="I19" s="23">
        <v>0.9708454810495627</v>
      </c>
      <c r="J19" s="23">
        <v>1.020408163265306E-2</v>
      </c>
      <c r="K19" s="23">
        <v>1.7492711370262391E-2</v>
      </c>
      <c r="L19" s="23">
        <v>1.4577259475218659E-3</v>
      </c>
      <c r="M19" s="21">
        <v>25.450437317784257</v>
      </c>
    </row>
    <row r="20" spans="1:23" x14ac:dyDescent="0.25">
      <c r="A20" s="19">
        <v>0.3634782608695652</v>
      </c>
      <c r="B20" s="19">
        <v>0.48173913043478261</v>
      </c>
      <c r="C20" s="19">
        <v>0.15478260869565216</v>
      </c>
      <c r="D20" s="20">
        <v>676</v>
      </c>
      <c r="E20" s="20">
        <v>1</v>
      </c>
      <c r="F20" s="20">
        <v>8</v>
      </c>
      <c r="G20" s="20">
        <v>1</v>
      </c>
      <c r="H20" s="20">
        <v>686</v>
      </c>
      <c r="I20" s="23">
        <v>0.98542274052478129</v>
      </c>
      <c r="J20" s="23">
        <v>1.4577259475218659E-3</v>
      </c>
      <c r="K20" s="23">
        <v>1.1661807580174927E-2</v>
      </c>
      <c r="L20" s="23">
        <v>1.4577259475218659E-3</v>
      </c>
      <c r="M20" s="21">
        <v>20.309037900874635</v>
      </c>
    </row>
    <row r="21" spans="1:23" x14ac:dyDescent="0.25">
      <c r="A21" s="19">
        <v>0.26666666666666666</v>
      </c>
      <c r="B21" s="19">
        <v>0.43809523809523809</v>
      </c>
      <c r="C21" s="19">
        <v>0.28888888888888886</v>
      </c>
      <c r="D21" s="20">
        <v>352</v>
      </c>
      <c r="E21" s="20">
        <v>4</v>
      </c>
      <c r="F21" s="20">
        <v>14</v>
      </c>
      <c r="G21" s="20">
        <v>0</v>
      </c>
      <c r="H21" s="20">
        <v>370</v>
      </c>
      <c r="I21" s="23">
        <v>0.9513513513513514</v>
      </c>
      <c r="J21" s="23">
        <v>1.0810810810810811E-2</v>
      </c>
      <c r="K21" s="23">
        <v>3.783783783783784E-2</v>
      </c>
      <c r="L21" s="23">
        <v>0</v>
      </c>
      <c r="M21" s="21">
        <v>56.956756756756754</v>
      </c>
      <c r="O21" s="25" t="s">
        <v>134</v>
      </c>
    </row>
    <row r="22" spans="1:23" x14ac:dyDescent="0.25">
      <c r="A22" s="19">
        <v>0.26332288401253917</v>
      </c>
      <c r="B22" s="19">
        <v>0.5109717868338558</v>
      </c>
      <c r="C22" s="19">
        <v>0.2225705329153605</v>
      </c>
      <c r="D22" s="20">
        <v>352</v>
      </c>
      <c r="E22" s="20">
        <v>5</v>
      </c>
      <c r="F22" s="20">
        <v>9</v>
      </c>
      <c r="G22" s="20">
        <v>4</v>
      </c>
      <c r="H22" s="20">
        <v>370</v>
      </c>
      <c r="I22" s="23">
        <v>0.9513513513513514</v>
      </c>
      <c r="J22" s="23">
        <v>1.3513513513513514E-2</v>
      </c>
      <c r="K22" s="23">
        <v>2.4324324324324326E-2</v>
      </c>
      <c r="L22" s="23">
        <v>1.0810810810810811E-2</v>
      </c>
      <c r="M22" s="21">
        <v>47.840540540540538</v>
      </c>
    </row>
    <row r="23" spans="1:23" x14ac:dyDescent="0.25">
      <c r="A23" s="19">
        <v>0.32220039292730845</v>
      </c>
      <c r="B23" s="19">
        <v>0.46365422396856582</v>
      </c>
      <c r="C23" s="19">
        <v>0.206286836935167</v>
      </c>
      <c r="D23" s="20">
        <v>596</v>
      </c>
      <c r="E23" s="20">
        <v>6</v>
      </c>
      <c r="F23" s="20">
        <v>17</v>
      </c>
      <c r="G23" s="20">
        <v>4</v>
      </c>
      <c r="H23" s="20">
        <v>623</v>
      </c>
      <c r="I23" s="23">
        <v>0.956661316211878</v>
      </c>
      <c r="J23" s="23">
        <v>9.630818619582664E-3</v>
      </c>
      <c r="K23" s="23">
        <v>2.7287319422150885E-2</v>
      </c>
      <c r="L23" s="23">
        <v>6.420545746388443E-3</v>
      </c>
      <c r="M23" s="21">
        <v>33.361155698234349</v>
      </c>
    </row>
    <row r="24" spans="1:23" x14ac:dyDescent="0.25">
      <c r="A24" s="19">
        <v>0.46730769230769231</v>
      </c>
      <c r="B24" s="19">
        <v>0.41153846153846152</v>
      </c>
      <c r="C24" s="19">
        <v>0.12115384615384615</v>
      </c>
      <c r="D24" s="20">
        <v>613</v>
      </c>
      <c r="E24" s="20">
        <v>1</v>
      </c>
      <c r="F24" s="20">
        <v>9</v>
      </c>
      <c r="G24" s="20">
        <v>0</v>
      </c>
      <c r="H24" s="20">
        <v>623</v>
      </c>
      <c r="I24" s="23">
        <v>0.9839486356340289</v>
      </c>
      <c r="J24" s="23">
        <v>1.6051364365971107E-3</v>
      </c>
      <c r="K24" s="23">
        <v>1.4446227929373997E-2</v>
      </c>
      <c r="L24" s="23">
        <v>0</v>
      </c>
      <c r="M24" s="21">
        <v>25.086677367576243</v>
      </c>
    </row>
    <row r="25" spans="1:23" x14ac:dyDescent="0.25">
      <c r="A25" s="19">
        <v>0.3663551401869159</v>
      </c>
      <c r="B25" s="19">
        <v>0.51214953271028041</v>
      </c>
      <c r="C25" s="19">
        <v>0.11775700934579439</v>
      </c>
      <c r="D25" s="20">
        <v>610</v>
      </c>
      <c r="E25" s="20">
        <v>2</v>
      </c>
      <c r="F25" s="20">
        <v>11</v>
      </c>
      <c r="G25" s="20">
        <v>0</v>
      </c>
      <c r="H25" s="20">
        <v>623</v>
      </c>
      <c r="I25" s="23">
        <v>0.9791332263242376</v>
      </c>
      <c r="J25" s="23">
        <v>3.2102728731942215E-3</v>
      </c>
      <c r="K25" s="23">
        <v>1.7656500802568219E-2</v>
      </c>
      <c r="L25" s="23">
        <v>0</v>
      </c>
      <c r="M25" s="21">
        <v>20.142857142857142</v>
      </c>
      <c r="W25" s="25" t="s">
        <v>349</v>
      </c>
    </row>
    <row r="26" spans="1:23" x14ac:dyDescent="0.25">
      <c r="A26" s="19">
        <v>0.21478873239436619</v>
      </c>
      <c r="B26" s="19">
        <v>0.19014084507042253</v>
      </c>
      <c r="C26" s="19">
        <v>0.55281690140845074</v>
      </c>
      <c r="D26" s="20">
        <v>286</v>
      </c>
      <c r="E26" s="20">
        <v>29</v>
      </c>
      <c r="F26" s="20">
        <v>43</v>
      </c>
      <c r="G26" s="20">
        <v>2</v>
      </c>
      <c r="H26" s="20">
        <v>360</v>
      </c>
      <c r="I26" s="23">
        <v>0.7944444444444444</v>
      </c>
      <c r="J26" s="23">
        <v>8.0555555555555561E-2</v>
      </c>
      <c r="K26" s="23">
        <v>0.11944444444444445</v>
      </c>
      <c r="L26" s="23">
        <v>5.5555555555555558E-3</v>
      </c>
      <c r="M26" s="21">
        <v>68.625</v>
      </c>
    </row>
    <row r="27" spans="1:23" x14ac:dyDescent="0.25">
      <c r="A27" s="19">
        <v>0.30312499999999998</v>
      </c>
      <c r="B27" s="19">
        <v>0.29375000000000001</v>
      </c>
      <c r="C27" s="19">
        <v>0.390625</v>
      </c>
      <c r="D27" s="20">
        <v>296</v>
      </c>
      <c r="E27" s="20">
        <v>12</v>
      </c>
      <c r="F27" s="20">
        <v>47</v>
      </c>
      <c r="G27" s="20">
        <v>5</v>
      </c>
      <c r="H27" s="20">
        <v>360</v>
      </c>
      <c r="I27" s="23">
        <v>0.82222222222222219</v>
      </c>
      <c r="J27" s="23">
        <v>3.3333333333333333E-2</v>
      </c>
      <c r="K27" s="23">
        <v>0.13055555555555556</v>
      </c>
      <c r="L27" s="23">
        <v>1.3888888888888888E-2</v>
      </c>
      <c r="M27" s="21">
        <v>58.177777777777777</v>
      </c>
      <c r="W27" s="28">
        <f>0.3757+0.0155</f>
        <v>0.39119999999999999</v>
      </c>
    </row>
    <row r="28" spans="1:23" x14ac:dyDescent="0.25">
      <c r="A28" s="19">
        <v>0.22081218274111675</v>
      </c>
      <c r="B28" s="19">
        <v>0.38578680203045684</v>
      </c>
      <c r="C28" s="19">
        <v>0.39086294416243655</v>
      </c>
      <c r="D28" s="20">
        <v>443</v>
      </c>
      <c r="E28" s="20">
        <v>14</v>
      </c>
      <c r="F28" s="20">
        <v>39</v>
      </c>
      <c r="G28" s="20">
        <v>5</v>
      </c>
      <c r="H28" s="20">
        <v>501</v>
      </c>
      <c r="I28" s="23">
        <v>0.88423153692614775</v>
      </c>
      <c r="J28" s="23">
        <v>2.7944111776447105E-2</v>
      </c>
      <c r="K28" s="23">
        <v>7.7844311377245512E-2</v>
      </c>
      <c r="L28" s="23">
        <v>9.9800399201596807E-3</v>
      </c>
      <c r="M28" s="21">
        <v>46.0439121756487</v>
      </c>
    </row>
    <row r="29" spans="1:23" x14ac:dyDescent="0.25">
      <c r="A29" s="19">
        <v>0.21105527638190955</v>
      </c>
      <c r="B29" s="19">
        <v>0.43718592964824121</v>
      </c>
      <c r="C29" s="19">
        <v>0.34422110552763818</v>
      </c>
      <c r="D29" s="20">
        <v>452</v>
      </c>
      <c r="E29" s="20">
        <v>18</v>
      </c>
      <c r="F29" s="20">
        <v>25</v>
      </c>
      <c r="G29" s="20">
        <v>6</v>
      </c>
      <c r="H29" s="20">
        <v>501</v>
      </c>
      <c r="I29" s="23">
        <v>0.9021956087824351</v>
      </c>
      <c r="J29" s="23">
        <v>3.5928143712574849E-2</v>
      </c>
      <c r="K29" s="23">
        <v>4.9900199600798403E-2</v>
      </c>
      <c r="L29" s="23">
        <v>1.1976047904191617E-2</v>
      </c>
      <c r="M29" s="21">
        <v>33.674650698602797</v>
      </c>
    </row>
    <row r="30" spans="1:23" x14ac:dyDescent="0.25">
      <c r="A30" s="19">
        <v>0.21728971962616822</v>
      </c>
      <c r="B30" s="19">
        <v>0.43457943925233644</v>
      </c>
      <c r="C30" s="19">
        <v>0.34579439252336447</v>
      </c>
      <c r="D30" s="20">
        <v>477</v>
      </c>
      <c r="E30" s="20">
        <v>9</v>
      </c>
      <c r="F30" s="20">
        <v>15</v>
      </c>
      <c r="G30" s="20">
        <v>0</v>
      </c>
      <c r="H30" s="20">
        <v>501</v>
      </c>
      <c r="I30" s="23">
        <v>0.95209580838323349</v>
      </c>
      <c r="J30" s="23">
        <v>1.7964071856287425E-2</v>
      </c>
      <c r="K30" s="23">
        <v>2.9940119760479042E-2</v>
      </c>
      <c r="L30" s="23">
        <v>0</v>
      </c>
      <c r="M30" s="21">
        <v>23.113772455089819</v>
      </c>
    </row>
    <row r="31" spans="1:23" x14ac:dyDescent="0.25">
      <c r="A31" s="19">
        <v>0.47085201793721976</v>
      </c>
      <c r="B31" s="19">
        <v>7.623318385650224E-2</v>
      </c>
      <c r="C31" s="19">
        <v>0.42600896860986548</v>
      </c>
      <c r="D31" s="20">
        <v>240</v>
      </c>
      <c r="E31" s="20">
        <v>11</v>
      </c>
      <c r="F31" s="20">
        <v>91</v>
      </c>
      <c r="G31" s="20">
        <v>8</v>
      </c>
      <c r="H31" s="20">
        <v>350</v>
      </c>
      <c r="I31" s="23">
        <v>0.68571428571428572</v>
      </c>
      <c r="J31" s="23">
        <v>3.1428571428571431E-2</v>
      </c>
      <c r="K31" s="23">
        <v>0.26</v>
      </c>
      <c r="L31" s="23">
        <v>2.2857142857142857E-2</v>
      </c>
      <c r="M31" s="21">
        <v>37.437142857142859</v>
      </c>
    </row>
    <row r="32" spans="1:23" x14ac:dyDescent="0.25">
      <c r="A32" s="19">
        <v>0.42753623188405798</v>
      </c>
      <c r="B32" s="19">
        <v>9.0579710144927536E-2</v>
      </c>
      <c r="C32" s="19">
        <v>0.42753623188405798</v>
      </c>
      <c r="D32" s="20">
        <v>338</v>
      </c>
      <c r="E32" s="20">
        <v>7</v>
      </c>
      <c r="F32" s="20">
        <v>46</v>
      </c>
      <c r="G32" s="20">
        <v>0</v>
      </c>
      <c r="H32" s="20">
        <v>391</v>
      </c>
      <c r="I32" s="23">
        <v>0.86445012787723785</v>
      </c>
      <c r="J32" s="23">
        <v>1.7902813299232736E-2</v>
      </c>
      <c r="K32" s="23">
        <v>0.11764705882352941</v>
      </c>
      <c r="L32" s="23">
        <v>0</v>
      </c>
      <c r="M32" s="21">
        <v>22.345268542199488</v>
      </c>
    </row>
    <row r="33" spans="1:23" x14ac:dyDescent="0.25">
      <c r="A33" s="19">
        <v>0.40952380952380951</v>
      </c>
      <c r="B33" s="19">
        <v>0.14285714285714285</v>
      </c>
      <c r="C33" s="19">
        <v>0.42539682539682538</v>
      </c>
      <c r="D33" s="20">
        <v>165</v>
      </c>
      <c r="E33" s="20">
        <v>132</v>
      </c>
      <c r="F33" s="20">
        <v>61</v>
      </c>
      <c r="G33" s="20">
        <v>2</v>
      </c>
      <c r="H33" s="20">
        <v>360</v>
      </c>
      <c r="I33" s="23">
        <v>0.45833333333333331</v>
      </c>
      <c r="J33" s="23">
        <v>0.36666666666666664</v>
      </c>
      <c r="K33" s="23">
        <v>0.16944444444444445</v>
      </c>
      <c r="L33" s="23">
        <v>5.5555555555555558E-3</v>
      </c>
      <c r="M33" s="21">
        <v>75.411111111111111</v>
      </c>
    </row>
    <row r="34" spans="1:23" x14ac:dyDescent="0.25">
      <c r="A34" s="19">
        <v>0.51587301587301593</v>
      </c>
      <c r="B34" s="19">
        <v>0.18253968253968253</v>
      </c>
      <c r="C34" s="19">
        <v>0.28769841269841268</v>
      </c>
      <c r="D34" s="20">
        <v>192</v>
      </c>
      <c r="E34" s="20">
        <v>99</v>
      </c>
      <c r="F34" s="20">
        <v>68</v>
      </c>
      <c r="G34" s="20">
        <v>1</v>
      </c>
      <c r="H34" s="20">
        <v>360</v>
      </c>
      <c r="I34" s="23">
        <v>0.53333333333333333</v>
      </c>
      <c r="J34" s="23">
        <v>0.27500000000000002</v>
      </c>
      <c r="K34" s="23">
        <v>0.18888888888888888</v>
      </c>
      <c r="L34" s="23">
        <v>2.7777777777777779E-3</v>
      </c>
      <c r="M34" s="21">
        <v>68.841666666666669</v>
      </c>
    </row>
    <row r="35" spans="1:23" x14ac:dyDescent="0.25">
      <c r="A35" s="19">
        <v>0.48024948024948028</v>
      </c>
      <c r="B35" s="19">
        <v>0.1995841995841996</v>
      </c>
      <c r="C35" s="19">
        <v>0.3180873180873181</v>
      </c>
      <c r="D35" s="20">
        <v>186</v>
      </c>
      <c r="E35" s="20">
        <v>106</v>
      </c>
      <c r="F35" s="20">
        <v>63</v>
      </c>
      <c r="G35" s="20">
        <v>5</v>
      </c>
      <c r="H35" s="20">
        <v>360</v>
      </c>
      <c r="I35" s="23">
        <v>0.51666666666666672</v>
      </c>
      <c r="J35" s="23">
        <v>0.29444444444444445</v>
      </c>
      <c r="K35" s="23">
        <v>0.17499999999999999</v>
      </c>
      <c r="L35" s="23">
        <v>1.3888888888888888E-2</v>
      </c>
      <c r="M35" s="21">
        <v>61.280555555555559</v>
      </c>
    </row>
    <row r="36" spans="1:23" x14ac:dyDescent="0.25">
      <c r="A36" s="19">
        <v>0.5010570824524313</v>
      </c>
      <c r="B36" s="19">
        <v>0.23890063424947147</v>
      </c>
      <c r="C36" s="19">
        <v>0.2536997885835095</v>
      </c>
      <c r="D36" s="20">
        <v>302</v>
      </c>
      <c r="E36" s="20">
        <v>192</v>
      </c>
      <c r="F36" s="20">
        <v>84</v>
      </c>
      <c r="G36" s="20">
        <v>15</v>
      </c>
      <c r="H36" s="20">
        <v>593</v>
      </c>
      <c r="I36" s="23">
        <v>0.50927487352445189</v>
      </c>
      <c r="J36" s="23">
        <v>0.32377740303541314</v>
      </c>
      <c r="K36" s="23">
        <v>0.14165261382799327</v>
      </c>
      <c r="L36" s="23">
        <v>2.5295109612141653E-2</v>
      </c>
      <c r="M36" s="21">
        <v>53.588532883642493</v>
      </c>
    </row>
    <row r="37" spans="1:23" x14ac:dyDescent="0.25">
      <c r="A37" s="19">
        <v>0.50829875518672196</v>
      </c>
      <c r="B37" s="19">
        <v>0.24273858921161826</v>
      </c>
      <c r="C37" s="19">
        <v>0.24481327800829875</v>
      </c>
      <c r="D37" s="20">
        <v>331</v>
      </c>
      <c r="E37" s="20">
        <v>183</v>
      </c>
      <c r="F37" s="20">
        <v>74</v>
      </c>
      <c r="G37" s="20">
        <v>5</v>
      </c>
      <c r="H37" s="20">
        <v>593</v>
      </c>
      <c r="I37" s="23">
        <v>0.55817875210792578</v>
      </c>
      <c r="J37" s="23">
        <v>0.30860033726812819</v>
      </c>
      <c r="K37" s="23">
        <v>0.12478920741989882</v>
      </c>
      <c r="L37" s="23">
        <v>8.4317032040472171E-3</v>
      </c>
      <c r="M37" s="21">
        <v>44.930860033726816</v>
      </c>
    </row>
    <row r="38" spans="1:23" x14ac:dyDescent="0.25">
      <c r="A38" s="19">
        <v>0.39763779527559057</v>
      </c>
      <c r="B38" s="19">
        <v>0.26771653543307089</v>
      </c>
      <c r="C38" s="19">
        <v>0.32283464566929132</v>
      </c>
      <c r="D38" s="20">
        <v>330</v>
      </c>
      <c r="E38" s="20">
        <v>173</v>
      </c>
      <c r="F38" s="20">
        <v>79</v>
      </c>
      <c r="G38" s="20">
        <v>11</v>
      </c>
      <c r="H38" s="20">
        <v>593</v>
      </c>
      <c r="I38" s="23">
        <v>0.55649241146711637</v>
      </c>
      <c r="J38" s="23">
        <v>0.29173693086003372</v>
      </c>
      <c r="K38" s="23">
        <v>0.13322091062394603</v>
      </c>
      <c r="L38" s="23">
        <v>1.8549747048903879E-2</v>
      </c>
      <c r="M38" s="21">
        <v>36.36930860033727</v>
      </c>
    </row>
    <row r="39" spans="1:23" x14ac:dyDescent="0.25">
      <c r="A39" s="19">
        <v>0.2347560975609756</v>
      </c>
      <c r="B39" s="19">
        <v>0.41463414634146339</v>
      </c>
      <c r="C39" s="19">
        <v>0.34756097560975607</v>
      </c>
      <c r="D39" s="20">
        <v>345</v>
      </c>
      <c r="E39" s="20">
        <v>218</v>
      </c>
      <c r="F39" s="20">
        <v>23</v>
      </c>
      <c r="G39" s="20">
        <v>7</v>
      </c>
      <c r="H39" s="20">
        <v>593</v>
      </c>
      <c r="I39" s="23">
        <v>0.58178752107925802</v>
      </c>
      <c r="J39" s="23">
        <v>0.36762225969645868</v>
      </c>
      <c r="K39" s="23">
        <v>3.87858347386172E-2</v>
      </c>
      <c r="L39" s="23">
        <v>1.1804384485666104E-2</v>
      </c>
      <c r="M39" s="21">
        <v>26.470489038785836</v>
      </c>
    </row>
    <row r="40" spans="1:23" x14ac:dyDescent="0.25">
      <c r="A40" s="19">
        <v>0.54201680672268904</v>
      </c>
      <c r="B40" s="19">
        <v>7.1428571428571425E-2</v>
      </c>
      <c r="C40" s="19">
        <v>0.33193277310924368</v>
      </c>
      <c r="D40" s="20">
        <v>304</v>
      </c>
      <c r="E40" s="20">
        <v>5</v>
      </c>
      <c r="F40" s="20">
        <v>8</v>
      </c>
      <c r="G40" s="20">
        <v>53</v>
      </c>
      <c r="H40" s="20">
        <v>370</v>
      </c>
      <c r="I40" s="23">
        <v>0.82162162162162167</v>
      </c>
      <c r="J40" s="23">
        <v>1.3513513513513514E-2</v>
      </c>
      <c r="K40" s="23">
        <v>2.1621621621621623E-2</v>
      </c>
      <c r="L40" s="23">
        <v>0.14324324324324325</v>
      </c>
      <c r="M40" s="21">
        <v>65.235135135135138</v>
      </c>
      <c r="O40" s="25" t="s">
        <v>133</v>
      </c>
    </row>
    <row r="41" spans="1:23" x14ac:dyDescent="0.25">
      <c r="A41" s="19">
        <v>0.53947368421052633</v>
      </c>
      <c r="B41" s="19">
        <v>0.15131578947368421</v>
      </c>
      <c r="C41" s="19">
        <v>0.28947368421052633</v>
      </c>
      <c r="D41" s="20">
        <v>282</v>
      </c>
      <c r="E41" s="20">
        <v>6</v>
      </c>
      <c r="F41" s="20">
        <v>8</v>
      </c>
      <c r="G41" s="20">
        <v>74</v>
      </c>
      <c r="H41" s="20">
        <v>370</v>
      </c>
      <c r="I41" s="23">
        <v>0.76216216216216215</v>
      </c>
      <c r="J41" s="23">
        <v>1.6216216216216217E-2</v>
      </c>
      <c r="K41" s="23">
        <v>2.1621621621621623E-2</v>
      </c>
      <c r="L41" s="23">
        <v>0.2</v>
      </c>
      <c r="M41" s="21">
        <v>50.137837837837836</v>
      </c>
    </row>
    <row r="42" spans="1:23" x14ac:dyDescent="0.25">
      <c r="A42" s="19">
        <v>0.53254437869822491</v>
      </c>
      <c r="B42" s="19">
        <v>0.20414201183431951</v>
      </c>
      <c r="C42" s="19">
        <v>0.25739644970414199</v>
      </c>
      <c r="D42" s="20">
        <v>328</v>
      </c>
      <c r="E42" s="20">
        <v>11</v>
      </c>
      <c r="F42" s="20">
        <v>24</v>
      </c>
      <c r="G42" s="20">
        <v>107</v>
      </c>
      <c r="H42" s="20">
        <v>470</v>
      </c>
      <c r="I42" s="23">
        <v>0.69787234042553192</v>
      </c>
      <c r="J42" s="23">
        <v>2.3404255319148935E-2</v>
      </c>
      <c r="K42" s="23">
        <v>5.106382978723404E-2</v>
      </c>
      <c r="L42" s="23">
        <v>0.2276595744680851</v>
      </c>
      <c r="M42" s="21">
        <v>36.51063829787234</v>
      </c>
    </row>
    <row r="43" spans="1:23" x14ac:dyDescent="0.25">
      <c r="A43" s="19">
        <v>0.59935897435897434</v>
      </c>
      <c r="B43" s="19">
        <v>0.17628205128205129</v>
      </c>
      <c r="C43" s="19">
        <v>0.21474358974358973</v>
      </c>
      <c r="D43" s="20">
        <v>395</v>
      </c>
      <c r="E43" s="20">
        <v>14</v>
      </c>
      <c r="F43" s="20">
        <v>60</v>
      </c>
      <c r="G43" s="20">
        <v>1</v>
      </c>
      <c r="H43" s="20">
        <v>470</v>
      </c>
      <c r="I43" s="23">
        <v>0.84042553191489366</v>
      </c>
      <c r="J43" s="23">
        <v>2.9787234042553193E-2</v>
      </c>
      <c r="K43" s="23">
        <v>0.1276595744680851</v>
      </c>
      <c r="L43" s="23">
        <v>2.1276595744680851E-3</v>
      </c>
      <c r="M43" s="21">
        <v>23.482978723404255</v>
      </c>
    </row>
    <row r="44" spans="1:23" x14ac:dyDescent="0.25">
      <c r="A44" s="19">
        <v>0.47770700636942676</v>
      </c>
      <c r="B44" s="19">
        <v>0.25159235668789809</v>
      </c>
      <c r="C44" s="19">
        <v>0.27070063694267515</v>
      </c>
      <c r="D44" s="20">
        <v>101</v>
      </c>
      <c r="E44" s="20">
        <v>116</v>
      </c>
      <c r="F44" s="20">
        <v>141</v>
      </c>
      <c r="G44" s="20">
        <v>2</v>
      </c>
      <c r="H44" s="20">
        <v>360</v>
      </c>
      <c r="I44" s="23">
        <v>0.28055555555555556</v>
      </c>
      <c r="J44" s="23">
        <v>0.32222222222222224</v>
      </c>
      <c r="K44" s="23">
        <v>0.39166666666666666</v>
      </c>
      <c r="L44" s="23">
        <v>5.5555555555555558E-3</v>
      </c>
      <c r="M44" s="21">
        <v>71.12222222222222</v>
      </c>
    </row>
    <row r="45" spans="1:23" x14ac:dyDescent="0.25">
      <c r="A45" s="19">
        <v>0.15602836879432624</v>
      </c>
      <c r="B45" s="19">
        <v>0.20567375886524822</v>
      </c>
      <c r="C45" s="19">
        <v>0.61347517730496459</v>
      </c>
      <c r="D45" s="20">
        <v>146</v>
      </c>
      <c r="E45" s="20">
        <v>74</v>
      </c>
      <c r="F45" s="20">
        <v>138</v>
      </c>
      <c r="G45" s="20">
        <v>2</v>
      </c>
      <c r="H45" s="20">
        <v>360</v>
      </c>
      <c r="I45" s="23">
        <v>0.40555555555555556</v>
      </c>
      <c r="J45" s="23">
        <v>0.20555555555555555</v>
      </c>
      <c r="K45" s="23">
        <v>0.38333333333333336</v>
      </c>
      <c r="L45" s="23">
        <v>5.5555555555555558E-3</v>
      </c>
      <c r="M45" s="21">
        <v>57.855555555555554</v>
      </c>
    </row>
    <row r="46" spans="1:23" x14ac:dyDescent="0.25">
      <c r="A46" s="19">
        <v>0.17391304347826086</v>
      </c>
      <c r="B46" s="19">
        <v>0.31103678929765888</v>
      </c>
      <c r="C46" s="19">
        <v>0.50167224080267558</v>
      </c>
      <c r="D46" s="20">
        <v>186</v>
      </c>
      <c r="E46" s="20">
        <v>74</v>
      </c>
      <c r="F46" s="20">
        <v>149</v>
      </c>
      <c r="G46" s="20">
        <v>6</v>
      </c>
      <c r="H46" s="20">
        <v>415</v>
      </c>
      <c r="I46" s="23">
        <v>0.44819277108433736</v>
      </c>
      <c r="J46" s="23">
        <v>0.1783132530120482</v>
      </c>
      <c r="K46" s="23">
        <v>0.35903614457831323</v>
      </c>
      <c r="L46" s="23">
        <v>1.4457831325301205E-2</v>
      </c>
      <c r="M46" s="21">
        <v>45.734939759036145</v>
      </c>
      <c r="W46" s="25" t="s">
        <v>350</v>
      </c>
    </row>
    <row r="47" spans="1:23" x14ac:dyDescent="0.25">
      <c r="A47" s="19">
        <v>0.21369863013698631</v>
      </c>
      <c r="B47" s="19">
        <v>0.33972602739726027</v>
      </c>
      <c r="C47" s="19">
        <v>0.44109589041095892</v>
      </c>
      <c r="D47" s="20">
        <v>204</v>
      </c>
      <c r="E47" s="20">
        <v>55</v>
      </c>
      <c r="F47" s="20">
        <v>148</v>
      </c>
      <c r="G47" s="20">
        <v>9</v>
      </c>
      <c r="H47" s="20">
        <v>416</v>
      </c>
      <c r="I47" s="23">
        <v>0.49038461538461536</v>
      </c>
      <c r="J47" s="23">
        <v>0.13221153846153846</v>
      </c>
      <c r="K47" s="23">
        <v>0.35576923076923078</v>
      </c>
      <c r="L47" s="23">
        <v>2.1634615384615384E-2</v>
      </c>
      <c r="M47" s="21">
        <v>35.401442307692307</v>
      </c>
    </row>
    <row r="48" spans="1:23" x14ac:dyDescent="0.25">
      <c r="A48" s="19">
        <v>0.29198966408268734</v>
      </c>
      <c r="B48" s="19">
        <v>0.31266149870801035</v>
      </c>
      <c r="C48" s="19">
        <v>0.38242894056847543</v>
      </c>
      <c r="D48" s="20">
        <v>276</v>
      </c>
      <c r="E48" s="20">
        <v>48</v>
      </c>
      <c r="F48" s="20">
        <v>86</v>
      </c>
      <c r="G48" s="20">
        <v>6</v>
      </c>
      <c r="H48" s="20">
        <v>416</v>
      </c>
      <c r="I48" s="23">
        <v>0.66346153846153844</v>
      </c>
      <c r="J48" s="23">
        <v>0.11538461538461539</v>
      </c>
      <c r="K48" s="23">
        <v>0.20673076923076922</v>
      </c>
      <c r="L48" s="23">
        <v>1.4423076923076924E-2</v>
      </c>
      <c r="M48" s="21">
        <v>24.403846153846153</v>
      </c>
      <c r="W48" s="28">
        <f>0.2634+0.0734</f>
        <v>0.33680000000000004</v>
      </c>
    </row>
    <row r="49" spans="1:13" x14ac:dyDescent="0.25">
      <c r="A49" s="19">
        <v>0.25738396624472576</v>
      </c>
      <c r="B49" s="19">
        <v>0.1729957805907173</v>
      </c>
      <c r="C49" s="19">
        <v>0.54852320675105481</v>
      </c>
      <c r="D49" s="20">
        <v>269</v>
      </c>
      <c r="E49" s="20">
        <v>44</v>
      </c>
      <c r="F49" s="20">
        <v>45</v>
      </c>
      <c r="G49" s="20">
        <v>2</v>
      </c>
      <c r="H49" s="20">
        <v>360</v>
      </c>
      <c r="I49" s="23">
        <v>0.74722222222222223</v>
      </c>
      <c r="J49" s="23">
        <v>0.12222222222222222</v>
      </c>
      <c r="K49" s="23">
        <v>0.125</v>
      </c>
      <c r="L49" s="23">
        <v>5.5555555555555558E-3</v>
      </c>
      <c r="M49" s="21">
        <v>67.87777777777778</v>
      </c>
    </row>
    <row r="50" spans="1:13" x14ac:dyDescent="0.25">
      <c r="A50" s="19">
        <v>0.36912751677852351</v>
      </c>
      <c r="B50" s="19">
        <v>0.21140939597315436</v>
      </c>
      <c r="C50" s="19">
        <v>0.40604026845637586</v>
      </c>
      <c r="D50" s="20">
        <v>256</v>
      </c>
      <c r="E50" s="20">
        <v>39</v>
      </c>
      <c r="F50" s="20">
        <v>63</v>
      </c>
      <c r="G50" s="20">
        <v>2</v>
      </c>
      <c r="H50" s="20">
        <v>360</v>
      </c>
      <c r="I50" s="23">
        <v>0.71111111111111114</v>
      </c>
      <c r="J50" s="23">
        <v>0.10833333333333334</v>
      </c>
      <c r="K50" s="23">
        <v>0.17499999999999999</v>
      </c>
      <c r="L50" s="23">
        <v>5.5555555555555558E-3</v>
      </c>
      <c r="M50" s="21">
        <v>61.472222222222221</v>
      </c>
    </row>
    <row r="51" spans="1:13" x14ac:dyDescent="0.25">
      <c r="A51" s="19">
        <v>0.27931769722814498</v>
      </c>
      <c r="B51" s="19">
        <v>0.30490405117270791</v>
      </c>
      <c r="C51" s="19">
        <v>0.4136460554371002</v>
      </c>
      <c r="D51" s="20">
        <v>467</v>
      </c>
      <c r="E51" s="20">
        <v>18</v>
      </c>
      <c r="F51" s="20">
        <v>75</v>
      </c>
      <c r="G51" s="20">
        <v>3</v>
      </c>
      <c r="H51" s="20">
        <v>563</v>
      </c>
      <c r="I51" s="23">
        <v>0.82948490230905858</v>
      </c>
      <c r="J51" s="23">
        <v>3.1971580817051509E-2</v>
      </c>
      <c r="K51" s="23">
        <v>0.13321492007104796</v>
      </c>
      <c r="L51" s="23">
        <v>5.3285968028419185E-3</v>
      </c>
      <c r="M51" s="21">
        <v>53.646536412078156</v>
      </c>
    </row>
    <row r="52" spans="1:13" x14ac:dyDescent="0.25">
      <c r="A52" s="19">
        <v>0.28159645232815966</v>
      </c>
      <c r="B52" s="19">
        <v>0.35920177383592017</v>
      </c>
      <c r="C52" s="19">
        <v>0.35698447893569846</v>
      </c>
      <c r="D52" s="20">
        <v>458</v>
      </c>
      <c r="E52" s="20">
        <v>33</v>
      </c>
      <c r="F52" s="20">
        <v>69</v>
      </c>
      <c r="G52" s="20">
        <v>3</v>
      </c>
      <c r="H52" s="20">
        <v>563</v>
      </c>
      <c r="I52" s="23">
        <v>0.81349911190053281</v>
      </c>
      <c r="J52" s="23">
        <v>5.8614564831261103E-2</v>
      </c>
      <c r="K52" s="23">
        <v>0.12255772646536411</v>
      </c>
      <c r="L52" s="23">
        <v>5.3285968028419185E-3</v>
      </c>
      <c r="M52" s="21">
        <v>44.523978685612789</v>
      </c>
    </row>
    <row r="53" spans="1:13" x14ac:dyDescent="0.25">
      <c r="A53" s="19">
        <v>0.36160714285714285</v>
      </c>
      <c r="B53" s="19">
        <v>0.37723214285714285</v>
      </c>
      <c r="C53" s="19">
        <v>0.24776785714285715</v>
      </c>
      <c r="D53" s="20">
        <v>436</v>
      </c>
      <c r="E53" s="20">
        <v>39</v>
      </c>
      <c r="F53" s="20">
        <v>85</v>
      </c>
      <c r="G53" s="20">
        <v>3</v>
      </c>
      <c r="H53" s="20">
        <v>563</v>
      </c>
      <c r="I53" s="23">
        <v>0.77442273534635875</v>
      </c>
      <c r="J53" s="23">
        <v>6.9271758436944941E-2</v>
      </c>
      <c r="K53" s="23">
        <v>0.15097690941385436</v>
      </c>
      <c r="L53" s="23">
        <v>5.3285968028419185E-3</v>
      </c>
      <c r="M53" s="21">
        <v>34.790408525754884</v>
      </c>
    </row>
    <row r="54" spans="1:13" x14ac:dyDescent="0.25">
      <c r="A54" s="19">
        <v>0.30802603036876358</v>
      </c>
      <c r="B54" s="19">
        <v>0.4598698481561822</v>
      </c>
      <c r="C54" s="19">
        <v>0.23210412147505424</v>
      </c>
      <c r="D54" s="20">
        <v>483</v>
      </c>
      <c r="E54" s="20">
        <v>17</v>
      </c>
      <c r="F54" s="20">
        <v>63</v>
      </c>
      <c r="G54" s="20">
        <v>0</v>
      </c>
      <c r="H54" s="20">
        <v>563</v>
      </c>
      <c r="I54" s="23">
        <v>0.8579040852575488</v>
      </c>
      <c r="J54" s="23">
        <v>3.0195381882770871E-2</v>
      </c>
      <c r="K54" s="23">
        <v>0.11190053285968028</v>
      </c>
      <c r="L54" s="23">
        <v>0</v>
      </c>
      <c r="M54" s="21">
        <v>26.740674955595026</v>
      </c>
    </row>
    <row r="55" spans="1:13" x14ac:dyDescent="0.25">
      <c r="A55" s="19">
        <v>0.22129436325678498</v>
      </c>
      <c r="B55" s="19">
        <v>0.56576200417536537</v>
      </c>
      <c r="C55" s="19">
        <v>0.20876826722338204</v>
      </c>
      <c r="D55" s="20">
        <v>518</v>
      </c>
      <c r="E55" s="20">
        <v>3</v>
      </c>
      <c r="F55" s="20">
        <v>43</v>
      </c>
      <c r="G55" s="20">
        <v>0</v>
      </c>
      <c r="H55" s="20">
        <v>564</v>
      </c>
      <c r="I55" s="23">
        <v>0.91843971631205679</v>
      </c>
      <c r="J55" s="23">
        <v>5.3191489361702126E-3</v>
      </c>
      <c r="K55" s="23">
        <v>7.6241134751773049E-2</v>
      </c>
      <c r="L55" s="23">
        <v>0</v>
      </c>
      <c r="M55" s="21">
        <v>20.856382978723403</v>
      </c>
    </row>
    <row r="56" spans="1:13" x14ac:dyDescent="0.25">
      <c r="A56" s="19">
        <v>0.32246376811594202</v>
      </c>
      <c r="B56" s="19">
        <v>0.15942028985507245</v>
      </c>
      <c r="C56" s="19">
        <v>0.49637681159420288</v>
      </c>
      <c r="D56" s="20">
        <v>227</v>
      </c>
      <c r="E56" s="20">
        <v>69</v>
      </c>
      <c r="F56" s="20">
        <v>62</v>
      </c>
      <c r="G56" s="20">
        <v>2</v>
      </c>
      <c r="H56" s="20">
        <v>360</v>
      </c>
      <c r="I56" s="23">
        <v>0.63055555555555554</v>
      </c>
      <c r="J56" s="23">
        <v>0.19166666666666668</v>
      </c>
      <c r="K56" s="23">
        <v>0.17222222222222222</v>
      </c>
      <c r="L56" s="23">
        <v>5.5555555555555558E-3</v>
      </c>
      <c r="M56" s="21">
        <v>63.944444444444443</v>
      </c>
    </row>
    <row r="57" spans="1:13" x14ac:dyDescent="0.25">
      <c r="A57" s="19">
        <v>0.27300613496932513</v>
      </c>
      <c r="B57" s="19">
        <v>0.21779141104294478</v>
      </c>
      <c r="C57" s="19">
        <v>0.50306748466257667</v>
      </c>
      <c r="D57" s="20">
        <v>288</v>
      </c>
      <c r="E57" s="20">
        <v>33</v>
      </c>
      <c r="F57" s="20">
        <v>34</v>
      </c>
      <c r="G57" s="20">
        <v>5</v>
      </c>
      <c r="H57" s="20">
        <v>360</v>
      </c>
      <c r="I57" s="23">
        <v>0.8</v>
      </c>
      <c r="J57" s="23">
        <v>9.166666666666666E-2</v>
      </c>
      <c r="K57" s="23">
        <v>9.4444444444444442E-2</v>
      </c>
      <c r="L57" s="23">
        <v>1.3888888888888888E-2</v>
      </c>
      <c r="M57" s="21">
        <v>56.963888888888889</v>
      </c>
    </row>
    <row r="58" spans="1:13" x14ac:dyDescent="0.25">
      <c r="A58" s="19">
        <v>0.23986486486486486</v>
      </c>
      <c r="B58" s="19">
        <v>0.38851351351351349</v>
      </c>
      <c r="C58" s="19">
        <v>0.36655405405405406</v>
      </c>
      <c r="D58" s="20">
        <v>582</v>
      </c>
      <c r="E58" s="20">
        <v>32</v>
      </c>
      <c r="F58" s="20">
        <v>73</v>
      </c>
      <c r="G58" s="20">
        <v>10</v>
      </c>
      <c r="H58" s="20">
        <v>697</v>
      </c>
      <c r="I58" s="23">
        <v>0.83500717360114773</v>
      </c>
      <c r="J58" s="23">
        <v>4.5911047345767578E-2</v>
      </c>
      <c r="K58" s="23">
        <v>0.10473457675753228</v>
      </c>
      <c r="L58" s="23">
        <v>1.4347202295552367E-2</v>
      </c>
      <c r="M58" s="21">
        <v>47.553802008608322</v>
      </c>
    </row>
    <row r="59" spans="1:13" x14ac:dyDescent="0.25">
      <c r="A59" s="19">
        <v>0.3448905109489051</v>
      </c>
      <c r="B59" s="19">
        <v>0.37591240875912407</v>
      </c>
      <c r="C59" s="19">
        <v>0.26459854014598538</v>
      </c>
      <c r="D59" s="20">
        <v>496</v>
      </c>
      <c r="E59" s="20">
        <v>60</v>
      </c>
      <c r="F59" s="20">
        <v>128</v>
      </c>
      <c r="G59" s="20">
        <v>13</v>
      </c>
      <c r="H59" s="20">
        <v>697</v>
      </c>
      <c r="I59" s="23">
        <v>0.71162123385939746</v>
      </c>
      <c r="J59" s="23">
        <v>8.608321377331421E-2</v>
      </c>
      <c r="K59" s="23">
        <v>0.18364418938307031</v>
      </c>
      <c r="L59" s="23">
        <v>1.8651362984218076E-2</v>
      </c>
      <c r="M59" s="21">
        <v>34.708751793400289</v>
      </c>
    </row>
    <row r="60" spans="1:13" x14ac:dyDescent="0.25">
      <c r="A60" s="19">
        <v>0.25272727272727274</v>
      </c>
      <c r="B60" s="19">
        <v>0.45454545454545453</v>
      </c>
      <c r="C60" s="19">
        <v>0.29272727272727272</v>
      </c>
      <c r="D60" s="20">
        <v>603</v>
      </c>
      <c r="E60" s="20">
        <v>21</v>
      </c>
      <c r="F60" s="20">
        <v>71</v>
      </c>
      <c r="G60" s="20">
        <v>3</v>
      </c>
      <c r="H60" s="20">
        <v>698</v>
      </c>
      <c r="I60" s="23">
        <v>0.86389684813753587</v>
      </c>
      <c r="J60" s="23">
        <v>3.0085959885386818E-2</v>
      </c>
      <c r="K60" s="23">
        <v>0.10171919770773639</v>
      </c>
      <c r="L60" s="23">
        <v>4.2979942693409743E-3</v>
      </c>
      <c r="M60" s="21">
        <v>25.550143266475644</v>
      </c>
    </row>
    <row r="61" spans="1:13" x14ac:dyDescent="0.25">
      <c r="A61" s="19">
        <v>0.18706293706293706</v>
      </c>
      <c r="B61" s="19">
        <v>0.51223776223776218</v>
      </c>
      <c r="C61" s="19">
        <v>0.29895104895104896</v>
      </c>
      <c r="D61" s="20">
        <v>627</v>
      </c>
      <c r="E61" s="20">
        <v>11</v>
      </c>
      <c r="F61" s="20">
        <v>58</v>
      </c>
      <c r="G61" s="20">
        <v>2</v>
      </c>
      <c r="H61" s="20">
        <v>698</v>
      </c>
      <c r="I61" s="23">
        <v>0.89828080229226359</v>
      </c>
      <c r="J61" s="23">
        <v>1.5759312320916905E-2</v>
      </c>
      <c r="K61" s="23">
        <v>8.3094555873925502E-2</v>
      </c>
      <c r="L61" s="23">
        <v>2.8653295128939827E-3</v>
      </c>
      <c r="M61" s="21">
        <v>20.141833810888251</v>
      </c>
    </row>
    <row r="62" spans="1:13" x14ac:dyDescent="0.25">
      <c r="A62" s="19">
        <v>0.77850162866449513</v>
      </c>
      <c r="B62" s="19">
        <v>4.5602605863192182E-2</v>
      </c>
      <c r="C62" s="19">
        <v>0.16612377850162866</v>
      </c>
      <c r="D62" s="20">
        <v>52</v>
      </c>
      <c r="E62" s="20">
        <v>202</v>
      </c>
      <c r="F62" s="20">
        <v>111</v>
      </c>
      <c r="G62" s="20">
        <v>5</v>
      </c>
      <c r="H62" s="20">
        <v>370</v>
      </c>
      <c r="I62" s="23">
        <v>0.14054054054054055</v>
      </c>
      <c r="J62" s="23">
        <v>0.54594594594594592</v>
      </c>
      <c r="K62" s="23">
        <v>0.3</v>
      </c>
      <c r="L62" s="23">
        <v>1.3513513513513514E-2</v>
      </c>
      <c r="M62" s="21">
        <v>71.816216216216219</v>
      </c>
    </row>
    <row r="63" spans="1:13" x14ac:dyDescent="0.25">
      <c r="A63" s="19">
        <v>0.77938517179023503</v>
      </c>
      <c r="B63" s="19">
        <v>7.7757685352622063E-2</v>
      </c>
      <c r="C63" s="19">
        <v>0.13924050632911392</v>
      </c>
      <c r="D63" s="20">
        <v>85</v>
      </c>
      <c r="E63" s="20">
        <v>180</v>
      </c>
      <c r="F63" s="20">
        <v>101</v>
      </c>
      <c r="G63" s="20">
        <v>4</v>
      </c>
      <c r="H63" s="20">
        <v>370</v>
      </c>
      <c r="I63" s="23">
        <v>0.22972972972972974</v>
      </c>
      <c r="J63" s="23">
        <v>0.48648648648648651</v>
      </c>
      <c r="K63" s="23">
        <v>0.27297297297297296</v>
      </c>
      <c r="L63" s="23">
        <v>1.0810810810810811E-2</v>
      </c>
      <c r="M63" s="21">
        <v>67.867567567567562</v>
      </c>
    </row>
    <row r="64" spans="1:13" x14ac:dyDescent="0.25">
      <c r="A64" s="19">
        <v>0.77695167286245348</v>
      </c>
      <c r="B64" s="19">
        <v>0.12267657992565056</v>
      </c>
      <c r="C64" s="19">
        <v>9.4795539033457249E-2</v>
      </c>
      <c r="D64" s="20">
        <v>62</v>
      </c>
      <c r="E64" s="20">
        <v>196</v>
      </c>
      <c r="F64" s="20">
        <v>107</v>
      </c>
      <c r="G64" s="20">
        <v>5</v>
      </c>
      <c r="H64" s="20">
        <v>370</v>
      </c>
      <c r="I64" s="23">
        <v>0.16756756756756758</v>
      </c>
      <c r="J64" s="23">
        <v>0.52972972972972976</v>
      </c>
      <c r="K64" s="23">
        <v>0.28918918918918918</v>
      </c>
      <c r="L64" s="23">
        <v>1.3513513513513514E-2</v>
      </c>
      <c r="M64" s="21">
        <v>61.629729729729732</v>
      </c>
    </row>
    <row r="65" spans="1:13" x14ac:dyDescent="0.25">
      <c r="A65" s="19">
        <v>0.84344422700587085</v>
      </c>
      <c r="B65" s="19">
        <v>6.8493150684931503E-2</v>
      </c>
      <c r="C65" s="19">
        <v>8.4148727984344418E-2</v>
      </c>
      <c r="D65" s="20">
        <v>110</v>
      </c>
      <c r="E65" s="20">
        <v>356</v>
      </c>
      <c r="F65" s="20">
        <v>194</v>
      </c>
      <c r="G65" s="20">
        <v>17</v>
      </c>
      <c r="H65" s="20">
        <v>677</v>
      </c>
      <c r="I65" s="23">
        <v>0.16248153618906944</v>
      </c>
      <c r="J65" s="23">
        <v>0.52584933530280653</v>
      </c>
      <c r="K65" s="23">
        <v>0.28655834564254062</v>
      </c>
      <c r="L65" s="23">
        <v>2.5110782865583457E-2</v>
      </c>
      <c r="M65" s="21">
        <v>53.964549483013293</v>
      </c>
    </row>
    <row r="66" spans="1:13" x14ac:dyDescent="0.25">
      <c r="A66" s="19">
        <v>0.78321678321678323</v>
      </c>
      <c r="B66" s="19">
        <v>0.12587412587412589</v>
      </c>
      <c r="C66" s="19">
        <v>8.9160839160839167E-2</v>
      </c>
      <c r="D66" s="20">
        <v>155</v>
      </c>
      <c r="E66" s="20">
        <v>330</v>
      </c>
      <c r="F66" s="20">
        <v>190</v>
      </c>
      <c r="G66" s="20">
        <v>2</v>
      </c>
      <c r="H66" s="20">
        <v>677</v>
      </c>
      <c r="I66" s="23">
        <v>0.22895125553914328</v>
      </c>
      <c r="J66" s="23">
        <v>0.48744460856720828</v>
      </c>
      <c r="K66" s="23">
        <v>0.28064992614475626</v>
      </c>
      <c r="L66" s="23">
        <v>2.9542097488921715E-3</v>
      </c>
      <c r="M66" s="21">
        <v>44.635155096011815</v>
      </c>
    </row>
    <row r="67" spans="1:13" x14ac:dyDescent="0.25">
      <c r="A67" s="19">
        <v>0.81512605042016806</v>
      </c>
      <c r="B67" s="19">
        <v>3.7815126050420166E-2</v>
      </c>
      <c r="C67" s="19">
        <v>0.12605042016806722</v>
      </c>
      <c r="D67" s="20">
        <v>207</v>
      </c>
      <c r="E67" s="20">
        <v>262</v>
      </c>
      <c r="F67" s="20">
        <v>205</v>
      </c>
      <c r="G67" s="20">
        <v>3</v>
      </c>
      <c r="H67" s="20">
        <v>677</v>
      </c>
      <c r="I67" s="23">
        <v>0.30576070901033975</v>
      </c>
      <c r="J67" s="23">
        <v>0.38700147710487443</v>
      </c>
      <c r="K67" s="23">
        <v>0.30280649926144754</v>
      </c>
      <c r="L67" s="23">
        <v>4.4313146233382573E-3</v>
      </c>
      <c r="M67" s="21">
        <v>36.87592319054653</v>
      </c>
    </row>
    <row r="68" spans="1:13" x14ac:dyDescent="0.25">
      <c r="A68" s="19">
        <v>0.75083056478405319</v>
      </c>
      <c r="B68" s="19">
        <v>5.9800664451827246E-2</v>
      </c>
      <c r="C68" s="19">
        <v>0.17940199335548174</v>
      </c>
      <c r="D68" s="20">
        <v>205</v>
      </c>
      <c r="E68" s="20">
        <v>298</v>
      </c>
      <c r="F68" s="20">
        <v>169</v>
      </c>
      <c r="G68" s="20">
        <v>5</v>
      </c>
      <c r="H68" s="20">
        <v>677</v>
      </c>
      <c r="I68" s="23">
        <v>0.30280649926144754</v>
      </c>
      <c r="J68" s="23">
        <v>0.44017725258493351</v>
      </c>
      <c r="K68" s="23">
        <v>0.24963072378138848</v>
      </c>
      <c r="L68" s="23">
        <v>7.385524372230428E-3</v>
      </c>
      <c r="M68" s="21">
        <v>30.508124076809455</v>
      </c>
    </row>
    <row r="69" spans="1:13" x14ac:dyDescent="0.25">
      <c r="A69" s="19">
        <v>0.82130584192439859</v>
      </c>
      <c r="B69" s="19">
        <v>5.1546391752577317E-2</v>
      </c>
      <c r="C69" s="19">
        <v>0.12371134020618557</v>
      </c>
      <c r="D69" s="20">
        <v>209</v>
      </c>
      <c r="E69" s="20">
        <v>294</v>
      </c>
      <c r="F69" s="20">
        <v>173</v>
      </c>
      <c r="G69" s="20">
        <v>1</v>
      </c>
      <c r="H69" s="20">
        <v>677</v>
      </c>
      <c r="I69" s="23">
        <v>0.3087149187592319</v>
      </c>
      <c r="J69" s="23">
        <v>0.4342688330871492</v>
      </c>
      <c r="K69" s="23">
        <v>0.25553914327917282</v>
      </c>
      <c r="L69" s="23">
        <v>1.4771048744460858E-3</v>
      </c>
      <c r="M69" s="21">
        <v>25.3205317577548</v>
      </c>
    </row>
    <row r="70" spans="1:13" x14ac:dyDescent="0.25">
      <c r="A70" s="19">
        <v>0.84832451499118167</v>
      </c>
      <c r="B70" s="19">
        <v>6.8783068783068779E-2</v>
      </c>
      <c r="C70" s="19">
        <v>7.7601410934744264E-2</v>
      </c>
      <c r="D70" s="20">
        <v>222</v>
      </c>
      <c r="E70" s="20">
        <v>280</v>
      </c>
      <c r="F70" s="20">
        <v>175</v>
      </c>
      <c r="G70" s="20">
        <v>0</v>
      </c>
      <c r="H70" s="20">
        <v>677</v>
      </c>
      <c r="I70" s="23">
        <v>0.32791728212703103</v>
      </c>
      <c r="J70" s="23">
        <v>0.41358936484490399</v>
      </c>
      <c r="K70" s="23">
        <v>0.25849335302806498</v>
      </c>
      <c r="L70" s="23">
        <v>0</v>
      </c>
      <c r="M70" s="21">
        <v>20.39290989660266</v>
      </c>
    </row>
    <row r="71" spans="1:13" x14ac:dyDescent="0.25">
      <c r="A71" s="19">
        <v>0.77884615384615385</v>
      </c>
      <c r="B71" s="19">
        <v>0.11153846153846154</v>
      </c>
      <c r="C71" s="19">
        <v>0.10576923076923077</v>
      </c>
      <c r="D71" s="20">
        <v>56</v>
      </c>
      <c r="E71" s="20">
        <v>250</v>
      </c>
      <c r="F71" s="20">
        <v>69</v>
      </c>
      <c r="G71" s="20">
        <v>5</v>
      </c>
      <c r="H71" s="20">
        <v>380</v>
      </c>
      <c r="I71" s="23">
        <v>0.14736842105263157</v>
      </c>
      <c r="J71" s="23">
        <v>0.65789473684210531</v>
      </c>
      <c r="K71" s="23">
        <v>0.18157894736842106</v>
      </c>
      <c r="L71" s="23">
        <v>1.3157894736842105E-2</v>
      </c>
      <c r="M71" s="21">
        <v>63.618421052631582</v>
      </c>
    </row>
    <row r="72" spans="1:13" x14ac:dyDescent="0.25">
      <c r="A72" s="19">
        <v>0.73425196850393704</v>
      </c>
      <c r="B72" s="19">
        <v>0.14173228346456693</v>
      </c>
      <c r="C72" s="19">
        <v>0.11614173228346457</v>
      </c>
      <c r="D72" s="20">
        <v>148</v>
      </c>
      <c r="E72" s="20">
        <v>403</v>
      </c>
      <c r="F72" s="20">
        <v>129</v>
      </c>
      <c r="G72" s="20">
        <v>18</v>
      </c>
      <c r="H72" s="20">
        <v>698</v>
      </c>
      <c r="I72" s="23">
        <v>0.21203438395415472</v>
      </c>
      <c r="J72" s="23">
        <v>0.57736389684813749</v>
      </c>
      <c r="K72" s="23">
        <v>0.18481375358166188</v>
      </c>
      <c r="L72" s="23">
        <v>2.5787965616045846E-2</v>
      </c>
      <c r="M72" s="21">
        <v>47.879656160458453</v>
      </c>
    </row>
    <row r="73" spans="1:13" x14ac:dyDescent="0.25">
      <c r="A73" s="19">
        <v>0.76604554865424435</v>
      </c>
      <c r="B73" s="19">
        <v>0.11594202898550725</v>
      </c>
      <c r="C73" s="19">
        <v>0.11594202898550725</v>
      </c>
      <c r="D73" s="20">
        <v>161</v>
      </c>
      <c r="E73" s="20">
        <v>404</v>
      </c>
      <c r="F73" s="20">
        <v>116</v>
      </c>
      <c r="G73" s="20">
        <v>17</v>
      </c>
      <c r="H73" s="20">
        <v>698</v>
      </c>
      <c r="I73" s="23">
        <v>0.23065902578796563</v>
      </c>
      <c r="J73" s="23">
        <v>0.57879656160458448</v>
      </c>
      <c r="K73" s="23">
        <v>0.166189111747851</v>
      </c>
      <c r="L73" s="23">
        <v>2.4355300859598854E-2</v>
      </c>
      <c r="M73" s="21">
        <v>35.815186246418335</v>
      </c>
    </row>
    <row r="74" spans="1:13" x14ac:dyDescent="0.25">
      <c r="A74" s="19">
        <v>0.78612716763005785</v>
      </c>
      <c r="B74" s="19">
        <v>0.10211946050096339</v>
      </c>
      <c r="C74" s="19">
        <v>0.10789980732177264</v>
      </c>
      <c r="D74" s="20">
        <v>144</v>
      </c>
      <c r="E74" s="20">
        <v>393</v>
      </c>
      <c r="F74" s="20">
        <v>159</v>
      </c>
      <c r="G74" s="20">
        <v>2</v>
      </c>
      <c r="H74" s="20">
        <v>698</v>
      </c>
      <c r="I74" s="23">
        <v>0.20630372492836677</v>
      </c>
      <c r="J74" s="23">
        <v>0.56303724928366761</v>
      </c>
      <c r="K74" s="23">
        <v>0.22779369627507162</v>
      </c>
      <c r="L74" s="23">
        <v>2.8653295128939827E-3</v>
      </c>
      <c r="M74" s="21">
        <v>27.0243553008596</v>
      </c>
    </row>
    <row r="75" spans="1:13" x14ac:dyDescent="0.25">
      <c r="A75" s="19">
        <v>0.79926335174953955</v>
      </c>
      <c r="B75" s="19">
        <v>0.1270718232044199</v>
      </c>
      <c r="C75" s="19">
        <v>7.3664825046040522E-2</v>
      </c>
      <c r="D75" s="20">
        <v>193</v>
      </c>
      <c r="E75" s="20">
        <v>366</v>
      </c>
      <c r="F75" s="20">
        <v>136</v>
      </c>
      <c r="G75" s="20">
        <v>3</v>
      </c>
      <c r="H75" s="20">
        <v>698</v>
      </c>
      <c r="I75" s="23">
        <v>0.27650429799426934</v>
      </c>
      <c r="J75" s="23">
        <v>0.52435530085959881</v>
      </c>
      <c r="K75" s="23">
        <v>0.19484240687679083</v>
      </c>
      <c r="L75" s="23">
        <v>4.2979942693409743E-3</v>
      </c>
      <c r="M75" s="21">
        <v>20.709169054441261</v>
      </c>
    </row>
    <row r="76" spans="1:13" x14ac:dyDescent="0.25">
      <c r="A76" s="19">
        <v>0.84615384615384615</v>
      </c>
      <c r="B76" s="19">
        <v>3.4615384615384617E-2</v>
      </c>
      <c r="C76" s="19">
        <v>0.1076923076923077</v>
      </c>
      <c r="D76" s="20">
        <v>92</v>
      </c>
      <c r="E76" s="20">
        <v>140</v>
      </c>
      <c r="F76" s="20">
        <v>146</v>
      </c>
      <c r="G76" s="20">
        <v>2</v>
      </c>
      <c r="H76" s="20">
        <v>380</v>
      </c>
      <c r="I76" s="23">
        <v>0.24210526315789474</v>
      </c>
      <c r="J76" s="23">
        <v>0.36842105263157893</v>
      </c>
      <c r="K76" s="23">
        <v>0.38421052631578945</v>
      </c>
      <c r="L76" s="23">
        <v>5.263157894736842E-3</v>
      </c>
      <c r="M76" s="21">
        <v>59.952631578947368</v>
      </c>
    </row>
    <row r="77" spans="1:13" x14ac:dyDescent="0.25">
      <c r="A77" s="19">
        <v>0.80126182965299686</v>
      </c>
      <c r="B77" s="19">
        <v>2.5236593059936908E-2</v>
      </c>
      <c r="C77" s="19">
        <v>0.16403785488958991</v>
      </c>
      <c r="D77" s="20">
        <v>190</v>
      </c>
      <c r="E77" s="20">
        <v>177</v>
      </c>
      <c r="F77" s="20">
        <v>187</v>
      </c>
      <c r="G77" s="20">
        <v>3</v>
      </c>
      <c r="H77" s="20">
        <v>557</v>
      </c>
      <c r="I77" s="23">
        <v>0.34111310592459604</v>
      </c>
      <c r="J77" s="23">
        <v>0.31777378815080792</v>
      </c>
      <c r="K77" s="23">
        <v>0.3357271095152603</v>
      </c>
      <c r="L77" s="23">
        <v>5.3859964093357273E-3</v>
      </c>
      <c r="M77" s="21">
        <v>40.305206463195688</v>
      </c>
    </row>
    <row r="78" spans="1:13" x14ac:dyDescent="0.25">
      <c r="A78" s="19">
        <v>0.88924050632911389</v>
      </c>
      <c r="B78" s="19">
        <v>2.2151898734177215E-2</v>
      </c>
      <c r="C78" s="19">
        <v>6.0126582278481014E-2</v>
      </c>
      <c r="D78" s="20">
        <v>159</v>
      </c>
      <c r="E78" s="20">
        <v>155</v>
      </c>
      <c r="F78" s="20">
        <v>243</v>
      </c>
      <c r="G78" s="20">
        <v>1</v>
      </c>
      <c r="H78" s="20">
        <v>558</v>
      </c>
      <c r="I78" s="23">
        <v>0.28494623655913981</v>
      </c>
      <c r="J78" s="23">
        <v>0.27777777777777779</v>
      </c>
      <c r="K78" s="23">
        <v>0.43548387096774194</v>
      </c>
      <c r="L78" s="23">
        <v>1.7921146953405018E-3</v>
      </c>
      <c r="M78" s="21">
        <v>25.707885304659499</v>
      </c>
    </row>
    <row r="79" spans="1:13" x14ac:dyDescent="0.25">
      <c r="A79" s="19">
        <v>0.88275862068965516</v>
      </c>
      <c r="B79" s="19">
        <v>4.3103448275862072E-2</v>
      </c>
      <c r="C79" s="19">
        <v>6.3793103448275865E-2</v>
      </c>
      <c r="D79" s="20">
        <v>33</v>
      </c>
      <c r="E79" s="20">
        <v>227</v>
      </c>
      <c r="F79" s="20">
        <v>114</v>
      </c>
      <c r="G79" s="20">
        <v>6</v>
      </c>
      <c r="H79" s="20">
        <v>380</v>
      </c>
      <c r="I79" s="23">
        <v>8.6842105263157901E-2</v>
      </c>
      <c r="J79" s="23">
        <v>0.59736842105263155</v>
      </c>
      <c r="K79" s="23">
        <v>0.3</v>
      </c>
      <c r="L79" s="23">
        <v>1.5789473684210527E-2</v>
      </c>
      <c r="M79" s="21">
        <v>71.255263157894731</v>
      </c>
    </row>
    <row r="80" spans="1:13" x14ac:dyDescent="0.25">
      <c r="A80" s="19">
        <v>0.86531365313653141</v>
      </c>
      <c r="B80" s="19">
        <v>5.719557195571956E-2</v>
      </c>
      <c r="C80" s="19">
        <v>7.5645756457564578E-2</v>
      </c>
      <c r="D80" s="20">
        <v>74</v>
      </c>
      <c r="E80" s="20">
        <v>198</v>
      </c>
      <c r="F80" s="20">
        <v>106</v>
      </c>
      <c r="G80" s="20">
        <v>2</v>
      </c>
      <c r="H80" s="20">
        <v>380</v>
      </c>
      <c r="I80" s="23">
        <v>0.19473684210526315</v>
      </c>
      <c r="J80" s="23">
        <v>0.52105263157894732</v>
      </c>
      <c r="K80" s="23">
        <v>0.27894736842105261</v>
      </c>
      <c r="L80" s="23">
        <v>5.263157894736842E-3</v>
      </c>
      <c r="M80" s="21">
        <v>66.323684210526309</v>
      </c>
    </row>
    <row r="81" spans="1:13" x14ac:dyDescent="0.25">
      <c r="A81" s="19">
        <v>0.84716981132075475</v>
      </c>
      <c r="B81" s="19">
        <v>7.7358490566037733E-2</v>
      </c>
      <c r="C81" s="19">
        <v>7.5471698113207544E-2</v>
      </c>
      <c r="D81" s="20">
        <v>35</v>
      </c>
      <c r="E81" s="20">
        <v>227</v>
      </c>
      <c r="F81" s="20">
        <v>113</v>
      </c>
      <c r="G81" s="20">
        <v>5</v>
      </c>
      <c r="H81" s="20">
        <v>380</v>
      </c>
      <c r="I81" s="23">
        <v>9.2105263157894732E-2</v>
      </c>
      <c r="J81" s="23">
        <v>0.59736842105263155</v>
      </c>
      <c r="K81" s="23">
        <v>0.29736842105263156</v>
      </c>
      <c r="L81" s="23">
        <v>1.3157894736842105E-2</v>
      </c>
      <c r="M81" s="21">
        <v>59.734210526315792</v>
      </c>
    </row>
    <row r="82" spans="1:13" x14ac:dyDescent="0.25">
      <c r="A82" s="19">
        <v>0.84291187739463602</v>
      </c>
      <c r="B82" s="19">
        <v>8.0459770114942528E-2</v>
      </c>
      <c r="C82" s="19">
        <v>7.662835249042145E-2</v>
      </c>
      <c r="D82" s="20">
        <v>56</v>
      </c>
      <c r="E82" s="20">
        <v>450</v>
      </c>
      <c r="F82" s="20">
        <v>182</v>
      </c>
      <c r="G82" s="20">
        <v>1</v>
      </c>
      <c r="H82" s="20">
        <v>689</v>
      </c>
      <c r="I82" s="23">
        <v>8.1277213352685049E-2</v>
      </c>
      <c r="J82" s="23">
        <v>0.65312046444121918</v>
      </c>
      <c r="K82" s="23">
        <v>0.26415094339622641</v>
      </c>
      <c r="L82" s="23">
        <v>1.4513788098693759E-3</v>
      </c>
      <c r="M82" s="21">
        <v>52.403483309143688</v>
      </c>
    </row>
    <row r="83" spans="1:13" x14ac:dyDescent="0.25">
      <c r="A83" s="19">
        <v>0.84629629629629632</v>
      </c>
      <c r="B83" s="19">
        <v>7.407407407407407E-2</v>
      </c>
      <c r="C83" s="19">
        <v>7.9629629629629634E-2</v>
      </c>
      <c r="D83" s="20">
        <v>90</v>
      </c>
      <c r="E83" s="20">
        <v>424</v>
      </c>
      <c r="F83" s="20">
        <v>172</v>
      </c>
      <c r="G83" s="20">
        <v>3</v>
      </c>
      <c r="H83" s="20">
        <v>689</v>
      </c>
      <c r="I83" s="23">
        <v>0.13062409288824384</v>
      </c>
      <c r="J83" s="23">
        <v>0.61538461538461542</v>
      </c>
      <c r="K83" s="23">
        <v>0.24963715529753266</v>
      </c>
      <c r="L83" s="23">
        <v>4.3541364296081275E-3</v>
      </c>
      <c r="M83" s="21">
        <v>44.338171262699568</v>
      </c>
    </row>
    <row r="84" spans="1:13" x14ac:dyDescent="0.25">
      <c r="A84" s="19">
        <v>0.73809523809523814</v>
      </c>
      <c r="B84" s="19">
        <v>5.4421768707482991E-2</v>
      </c>
      <c r="C84" s="19">
        <v>0.18027210884353742</v>
      </c>
      <c r="D84" s="20">
        <v>123</v>
      </c>
      <c r="E84" s="20">
        <v>385</v>
      </c>
      <c r="F84" s="20">
        <v>180</v>
      </c>
      <c r="G84" s="20">
        <v>2</v>
      </c>
      <c r="H84" s="20">
        <v>690</v>
      </c>
      <c r="I84" s="23">
        <v>0.17826086956521739</v>
      </c>
      <c r="J84" s="23">
        <v>0.55797101449275366</v>
      </c>
      <c r="K84" s="23">
        <v>0.2608695652173913</v>
      </c>
      <c r="L84" s="23">
        <v>2.8985507246376812E-3</v>
      </c>
      <c r="M84" s="21">
        <v>37.198550724637684</v>
      </c>
    </row>
    <row r="85" spans="1:13" x14ac:dyDescent="0.25">
      <c r="A85" s="19">
        <v>0.70685579196217496</v>
      </c>
      <c r="B85" s="19">
        <v>0.12056737588652482</v>
      </c>
      <c r="C85" s="19">
        <v>0.16784869976359337</v>
      </c>
      <c r="D85" s="20">
        <v>135</v>
      </c>
      <c r="E85" s="20">
        <v>354</v>
      </c>
      <c r="F85" s="20">
        <v>198</v>
      </c>
      <c r="G85" s="20">
        <v>3</v>
      </c>
      <c r="H85" s="20">
        <v>690</v>
      </c>
      <c r="I85" s="23">
        <v>0.19565217391304349</v>
      </c>
      <c r="J85" s="23">
        <v>0.5130434782608696</v>
      </c>
      <c r="K85" s="23">
        <v>0.28695652173913044</v>
      </c>
      <c r="L85" s="23">
        <v>4.3478260869565218E-3</v>
      </c>
      <c r="M85" s="21">
        <v>29.93768115942029</v>
      </c>
    </row>
    <row r="86" spans="1:13" x14ac:dyDescent="0.25">
      <c r="A86" s="19">
        <v>0.8032407407407407</v>
      </c>
      <c r="B86" s="19">
        <v>0.10879629629629629</v>
      </c>
      <c r="C86" s="19">
        <v>8.5648148148148154E-2</v>
      </c>
      <c r="D86" s="20">
        <v>130</v>
      </c>
      <c r="E86" s="20">
        <v>333</v>
      </c>
      <c r="F86" s="20">
        <v>227</v>
      </c>
      <c r="G86" s="20">
        <v>0</v>
      </c>
      <c r="H86" s="20">
        <v>690</v>
      </c>
      <c r="I86" s="23">
        <v>0.18840579710144928</v>
      </c>
      <c r="J86" s="23">
        <v>0.4826086956521739</v>
      </c>
      <c r="K86" s="23">
        <v>0.32898550724637682</v>
      </c>
      <c r="L86" s="23">
        <v>0</v>
      </c>
      <c r="M86" s="21">
        <v>22.078260869565216</v>
      </c>
    </row>
    <row r="87" spans="1:13" x14ac:dyDescent="0.25">
      <c r="A87" s="19">
        <v>0.91164658634538154</v>
      </c>
      <c r="B87" s="19">
        <v>2.4096385542168676E-2</v>
      </c>
      <c r="C87" s="19">
        <v>4.4176706827309238E-2</v>
      </c>
      <c r="D87" s="20">
        <v>6</v>
      </c>
      <c r="E87" s="20">
        <v>202</v>
      </c>
      <c r="F87" s="20">
        <v>159</v>
      </c>
      <c r="G87" s="20">
        <v>3</v>
      </c>
      <c r="H87" s="20">
        <v>370</v>
      </c>
      <c r="I87" s="23">
        <v>1.6216216216216217E-2</v>
      </c>
      <c r="J87" s="23">
        <v>0.54594594594594592</v>
      </c>
      <c r="K87" s="23">
        <v>0.42972972972972973</v>
      </c>
      <c r="L87" s="23">
        <v>8.1081081081081086E-3</v>
      </c>
      <c r="M87" s="21">
        <v>70.64594594594594</v>
      </c>
    </row>
    <row r="88" spans="1:13" x14ac:dyDescent="0.25">
      <c r="A88" s="19">
        <v>0.90391459074733094</v>
      </c>
      <c r="B88" s="19">
        <v>2.491103202846975E-2</v>
      </c>
      <c r="C88" s="19">
        <v>6.4056939501779361E-2</v>
      </c>
      <c r="D88" s="20">
        <v>8</v>
      </c>
      <c r="E88" s="20">
        <v>257</v>
      </c>
      <c r="F88" s="20">
        <v>99</v>
      </c>
      <c r="G88" s="20">
        <v>6</v>
      </c>
      <c r="H88" s="20">
        <v>370</v>
      </c>
      <c r="I88" s="23">
        <v>2.1621621621621623E-2</v>
      </c>
      <c r="J88" s="23">
        <v>0.69459459459459461</v>
      </c>
      <c r="K88" s="23">
        <v>0.26756756756756755</v>
      </c>
      <c r="L88" s="23">
        <v>1.6216216216216217E-2</v>
      </c>
      <c r="M88" s="21">
        <v>56.967567567567571</v>
      </c>
    </row>
    <row r="89" spans="1:13" x14ac:dyDescent="0.25">
      <c r="A89" s="19">
        <v>0.94646680942184158</v>
      </c>
      <c r="B89" s="19">
        <v>1.7130620985010708E-2</v>
      </c>
      <c r="C89" s="19">
        <v>3.4261241970021415E-2</v>
      </c>
      <c r="D89" s="20">
        <v>24</v>
      </c>
      <c r="E89" s="20">
        <v>430</v>
      </c>
      <c r="F89" s="20">
        <v>198</v>
      </c>
      <c r="G89" s="20">
        <v>4</v>
      </c>
      <c r="H89" s="20">
        <v>656</v>
      </c>
      <c r="I89" s="23">
        <v>3.6585365853658534E-2</v>
      </c>
      <c r="J89" s="23">
        <v>0.65548780487804881</v>
      </c>
      <c r="K89" s="23">
        <v>0.30182926829268292</v>
      </c>
      <c r="L89" s="23">
        <v>6.0975609756097563E-3</v>
      </c>
      <c r="M89" s="21">
        <v>41.269817073170735</v>
      </c>
    </row>
    <row r="90" spans="1:13" x14ac:dyDescent="0.25">
      <c r="A90" s="19">
        <v>0.9513184584178499</v>
      </c>
      <c r="B90" s="19">
        <v>1.6227180527383367E-2</v>
      </c>
      <c r="C90" s="19">
        <v>3.2454361054766734E-2</v>
      </c>
      <c r="D90" s="20">
        <v>36</v>
      </c>
      <c r="E90" s="20">
        <v>406</v>
      </c>
      <c r="F90" s="20">
        <v>212</v>
      </c>
      <c r="G90" s="20">
        <v>3</v>
      </c>
      <c r="H90" s="20">
        <v>657</v>
      </c>
      <c r="I90" s="23">
        <v>5.4794520547945202E-2</v>
      </c>
      <c r="J90" s="23">
        <v>0.61796042617960423</v>
      </c>
      <c r="K90" s="23">
        <v>0.32267884322678841</v>
      </c>
      <c r="L90" s="23">
        <v>4.5662100456621002E-3</v>
      </c>
      <c r="M90" s="21">
        <v>25.496194824961947</v>
      </c>
    </row>
    <row r="91" spans="1:13" x14ac:dyDescent="0.25">
      <c r="A91" s="19">
        <v>0.88888888888888884</v>
      </c>
      <c r="B91" s="19">
        <v>3.7037037037037035E-2</v>
      </c>
      <c r="C91" s="19">
        <v>6.1728395061728392E-2</v>
      </c>
      <c r="D91" s="20">
        <v>14</v>
      </c>
      <c r="E91" s="20">
        <v>204</v>
      </c>
      <c r="F91" s="20">
        <v>44</v>
      </c>
      <c r="G91" s="20">
        <v>1</v>
      </c>
      <c r="H91" s="20">
        <v>263</v>
      </c>
      <c r="I91" s="23">
        <v>5.3231939163498096E-2</v>
      </c>
      <c r="J91" s="23">
        <v>0.7756653992395437</v>
      </c>
      <c r="K91" s="23">
        <v>0.16730038022813687</v>
      </c>
      <c r="L91" s="23">
        <v>3.8022813688212928E-3</v>
      </c>
      <c r="M91" s="21">
        <v>60.326996197718628</v>
      </c>
    </row>
    <row r="92" spans="1:13" x14ac:dyDescent="0.25">
      <c r="A92" s="19">
        <v>0.89932885906040272</v>
      </c>
      <c r="B92" s="19">
        <v>1.3422818791946308E-2</v>
      </c>
      <c r="C92" s="19">
        <v>8.7248322147651006E-2</v>
      </c>
      <c r="D92" s="20">
        <v>1</v>
      </c>
      <c r="E92" s="20">
        <v>281</v>
      </c>
      <c r="F92" s="20">
        <v>18</v>
      </c>
      <c r="G92" s="20">
        <v>0</v>
      </c>
      <c r="H92" s="20">
        <v>300</v>
      </c>
      <c r="I92" s="23">
        <v>3.3333333333333335E-3</v>
      </c>
      <c r="J92" s="23">
        <v>0.93666666666666665</v>
      </c>
      <c r="K92" s="23">
        <v>0.06</v>
      </c>
      <c r="L92" s="23">
        <v>0</v>
      </c>
      <c r="M92" s="21">
        <v>82.336666666666673</v>
      </c>
    </row>
    <row r="93" spans="1:13" x14ac:dyDescent="0.25">
      <c r="A93" s="19">
        <v>0.8954545454545455</v>
      </c>
      <c r="B93" s="19">
        <v>2.2727272727272728E-2</v>
      </c>
      <c r="C93" s="19">
        <v>7.2727272727272724E-2</v>
      </c>
      <c r="D93" s="20">
        <v>5</v>
      </c>
      <c r="E93" s="20">
        <v>308</v>
      </c>
      <c r="F93" s="20">
        <v>6</v>
      </c>
      <c r="G93" s="20">
        <v>1</v>
      </c>
      <c r="H93" s="20">
        <v>320</v>
      </c>
      <c r="I93" s="23">
        <v>1.5625E-2</v>
      </c>
      <c r="J93" s="23">
        <v>0.96250000000000002</v>
      </c>
      <c r="K93" s="23">
        <v>1.8749999999999999E-2</v>
      </c>
      <c r="L93" s="23">
        <v>3.1250000000000002E-3</v>
      </c>
      <c r="M93" s="21">
        <v>68.396874999999994</v>
      </c>
    </row>
    <row r="94" spans="1:13" x14ac:dyDescent="0.25">
      <c r="A94" s="19">
        <v>0.967741935483871</v>
      </c>
      <c r="B94" s="19">
        <v>4.0322580645161289E-3</v>
      </c>
      <c r="C94" s="19">
        <v>2.4193548387096774E-2</v>
      </c>
      <c r="D94" s="20">
        <v>4</v>
      </c>
      <c r="E94" s="20">
        <v>328</v>
      </c>
      <c r="F94" s="20">
        <v>13</v>
      </c>
      <c r="G94" s="20">
        <v>0</v>
      </c>
      <c r="H94" s="20">
        <v>345</v>
      </c>
      <c r="I94" s="23">
        <v>1.1594202898550725E-2</v>
      </c>
      <c r="J94" s="23">
        <v>0.95072463768115945</v>
      </c>
      <c r="K94" s="23">
        <v>3.7681159420289857E-2</v>
      </c>
      <c r="L94" s="23">
        <v>0</v>
      </c>
      <c r="M94" s="21">
        <v>49.455072463768118</v>
      </c>
    </row>
    <row r="95" spans="1:13" x14ac:dyDescent="0.25">
      <c r="A95" s="19">
        <v>0.91139240506329111</v>
      </c>
      <c r="B95" s="19">
        <v>1.8987341772151899E-2</v>
      </c>
      <c r="C95" s="19">
        <v>6.9620253164556958E-2</v>
      </c>
      <c r="D95" s="20">
        <v>4</v>
      </c>
      <c r="E95" s="20">
        <v>255</v>
      </c>
      <c r="F95" s="20">
        <v>40</v>
      </c>
      <c r="G95" s="20">
        <v>1</v>
      </c>
      <c r="H95" s="20">
        <v>300</v>
      </c>
      <c r="I95" s="23">
        <v>1.3333333333333334E-2</v>
      </c>
      <c r="J95" s="23">
        <v>0.85</v>
      </c>
      <c r="K95" s="23">
        <v>0.13333333333333333</v>
      </c>
      <c r="L95" s="23">
        <v>3.3333333333333335E-3</v>
      </c>
      <c r="M95" s="21">
        <v>82.126666666666665</v>
      </c>
    </row>
    <row r="96" spans="1:13" x14ac:dyDescent="0.25">
      <c r="A96" s="19">
        <v>0.9532374100719424</v>
      </c>
      <c r="B96" s="19">
        <v>1.0791366906474821E-2</v>
      </c>
      <c r="C96" s="19">
        <v>2.8776978417266189E-2</v>
      </c>
      <c r="D96" s="20">
        <v>1</v>
      </c>
      <c r="E96" s="20">
        <v>338</v>
      </c>
      <c r="F96" s="20">
        <v>16</v>
      </c>
      <c r="G96" s="20">
        <v>0</v>
      </c>
      <c r="H96" s="20">
        <v>355</v>
      </c>
      <c r="I96" s="23">
        <v>2.8169014084507044E-3</v>
      </c>
      <c r="J96" s="23">
        <v>0.95211267605633798</v>
      </c>
      <c r="K96" s="23">
        <v>4.507042253521127E-2</v>
      </c>
      <c r="L96" s="23">
        <v>0</v>
      </c>
      <c r="M96" s="21">
        <v>67.842253521126764</v>
      </c>
    </row>
    <row r="97" spans="1:13" x14ac:dyDescent="0.25">
      <c r="A97" s="19">
        <v>0.94052044609665431</v>
      </c>
      <c r="B97" s="19">
        <v>1.4869888475836431E-2</v>
      </c>
      <c r="C97" s="19">
        <v>4.4609665427509292E-2</v>
      </c>
      <c r="D97" s="20">
        <v>9</v>
      </c>
      <c r="E97" s="20">
        <v>308</v>
      </c>
      <c r="F97" s="20">
        <v>38</v>
      </c>
      <c r="G97" s="20">
        <v>0</v>
      </c>
      <c r="H97" s="20">
        <v>355</v>
      </c>
      <c r="I97" s="23">
        <v>2.5352112676056339E-2</v>
      </c>
      <c r="J97" s="23">
        <v>0.86760563380281686</v>
      </c>
      <c r="K97" s="23">
        <v>0.10704225352112676</v>
      </c>
      <c r="L97" s="23">
        <v>0</v>
      </c>
      <c r="M97" s="21">
        <v>50.08450704225352</v>
      </c>
    </row>
    <row r="98" spans="1:13" x14ac:dyDescent="0.25">
      <c r="A98" s="19">
        <v>0.87596899224806202</v>
      </c>
      <c r="B98" s="19">
        <v>1.5503875968992248E-2</v>
      </c>
      <c r="C98" s="19">
        <v>0.10077519379844961</v>
      </c>
      <c r="D98" s="20">
        <v>8</v>
      </c>
      <c r="E98" s="20">
        <v>188</v>
      </c>
      <c r="F98" s="20">
        <v>4</v>
      </c>
      <c r="G98" s="20">
        <v>0</v>
      </c>
      <c r="H98" s="20">
        <v>200</v>
      </c>
      <c r="I98" s="23">
        <v>0.04</v>
      </c>
      <c r="J98" s="23">
        <v>0.94</v>
      </c>
      <c r="K98" s="23">
        <v>0.02</v>
      </c>
      <c r="L98" s="23">
        <v>0</v>
      </c>
      <c r="M98" s="21">
        <v>77.314999999999998</v>
      </c>
    </row>
    <row r="99" spans="1:13" x14ac:dyDescent="0.25">
      <c r="A99" s="19">
        <v>0.95151515151515154</v>
      </c>
      <c r="B99" s="19">
        <v>1.2121212121212121E-2</v>
      </c>
      <c r="C99" s="19">
        <v>3.6363636363636362E-2</v>
      </c>
      <c r="D99" s="20">
        <v>5</v>
      </c>
      <c r="E99" s="20">
        <v>194</v>
      </c>
      <c r="F99" s="20">
        <v>11</v>
      </c>
      <c r="G99" s="20">
        <v>0</v>
      </c>
      <c r="H99" s="20">
        <v>210</v>
      </c>
      <c r="I99" s="23">
        <v>2.3809523809523808E-2</v>
      </c>
      <c r="J99" s="23">
        <v>0.92380952380952386</v>
      </c>
      <c r="K99" s="23">
        <v>5.2380952380952382E-2</v>
      </c>
      <c r="L99" s="23">
        <v>0</v>
      </c>
      <c r="M99" s="21">
        <v>54.976190476190474</v>
      </c>
    </row>
    <row r="100" spans="1:13" x14ac:dyDescent="0.25">
      <c r="A100" s="19">
        <v>0.82905982905982911</v>
      </c>
      <c r="B100" s="19">
        <v>1.7094017094017096E-2</v>
      </c>
      <c r="C100" s="19">
        <v>0.15384615384615385</v>
      </c>
      <c r="D100" s="20">
        <v>6</v>
      </c>
      <c r="E100" s="20">
        <v>141</v>
      </c>
      <c r="F100" s="20">
        <v>48</v>
      </c>
      <c r="G100" s="20">
        <v>2</v>
      </c>
      <c r="H100" s="20">
        <v>197</v>
      </c>
      <c r="I100" s="23">
        <v>3.0456852791878174E-2</v>
      </c>
      <c r="J100" s="23">
        <v>0.71573604060913709</v>
      </c>
      <c r="K100" s="23">
        <v>0.24365482233502539</v>
      </c>
      <c r="L100" s="23">
        <v>1.015228426395939E-2</v>
      </c>
      <c r="M100" s="21">
        <v>74.045685279187822</v>
      </c>
    </row>
    <row r="101" spans="1:13" x14ac:dyDescent="0.25">
      <c r="A101" s="19">
        <v>0.86111111111111116</v>
      </c>
      <c r="B101" s="19">
        <v>6.25E-2</v>
      </c>
      <c r="C101" s="19">
        <v>7.6388888888888895E-2</v>
      </c>
      <c r="D101" s="20">
        <v>20</v>
      </c>
      <c r="E101" s="20">
        <v>141</v>
      </c>
      <c r="F101" s="20">
        <v>34</v>
      </c>
      <c r="G101" s="20">
        <v>2</v>
      </c>
      <c r="H101" s="20">
        <v>197</v>
      </c>
      <c r="I101" s="23">
        <v>0.10152284263959391</v>
      </c>
      <c r="J101" s="23">
        <v>0.71573604060913709</v>
      </c>
      <c r="K101" s="23">
        <v>0.17258883248730963</v>
      </c>
      <c r="L101" s="23">
        <v>1.015228426395939E-2</v>
      </c>
      <c r="M101" s="21">
        <v>46.934010152284266</v>
      </c>
    </row>
    <row r="102" spans="1:13" x14ac:dyDescent="0.25">
      <c r="A102" s="19">
        <v>0.80219780219780223</v>
      </c>
      <c r="B102" s="19">
        <v>3.2967032967032968E-2</v>
      </c>
      <c r="C102" s="19">
        <v>0.14285714285714285</v>
      </c>
      <c r="D102" s="20">
        <v>15</v>
      </c>
      <c r="E102" s="20">
        <v>139</v>
      </c>
      <c r="F102" s="20">
        <v>153</v>
      </c>
      <c r="G102" s="20">
        <v>13</v>
      </c>
      <c r="H102" s="20">
        <v>320</v>
      </c>
      <c r="I102" s="23">
        <v>4.6875E-2</v>
      </c>
      <c r="J102" s="23">
        <v>0.43437500000000001</v>
      </c>
      <c r="K102" s="23">
        <v>0.47812500000000002</v>
      </c>
      <c r="L102" s="23">
        <v>4.0625000000000001E-2</v>
      </c>
      <c r="M102" s="21">
        <v>74.474999999999994</v>
      </c>
    </row>
    <row r="103" spans="1:13" x14ac:dyDescent="0.25">
      <c r="A103" s="19">
        <v>0.89682539682539686</v>
      </c>
      <c r="B103" s="19">
        <v>1.5873015873015872E-2</v>
      </c>
      <c r="C103" s="19">
        <v>8.3333333333333329E-2</v>
      </c>
      <c r="D103" s="20">
        <v>21</v>
      </c>
      <c r="E103" s="20">
        <v>158</v>
      </c>
      <c r="F103" s="20">
        <v>135</v>
      </c>
      <c r="G103" s="20">
        <v>6</v>
      </c>
      <c r="H103" s="20">
        <v>320</v>
      </c>
      <c r="I103" s="23">
        <v>6.5625000000000003E-2</v>
      </c>
      <c r="J103" s="23">
        <v>0.49375000000000002</v>
      </c>
      <c r="K103" s="23">
        <v>0.421875</v>
      </c>
      <c r="L103" s="23">
        <v>1.8749999999999999E-2</v>
      </c>
      <c r="M103" s="21">
        <v>58.893749999999997</v>
      </c>
    </row>
    <row r="104" spans="1:13" x14ac:dyDescent="0.25">
      <c r="A104" s="19">
        <v>0.83171521035598706</v>
      </c>
      <c r="B104" s="19">
        <v>7.4433656957928807E-2</v>
      </c>
      <c r="C104" s="19">
        <v>8.7378640776699032E-2</v>
      </c>
      <c r="D104" s="20">
        <v>90</v>
      </c>
      <c r="E104" s="20">
        <v>155</v>
      </c>
      <c r="F104" s="20">
        <v>170</v>
      </c>
      <c r="G104" s="20">
        <v>6</v>
      </c>
      <c r="H104" s="20">
        <v>421</v>
      </c>
      <c r="I104" s="23">
        <v>0.21377672209026127</v>
      </c>
      <c r="J104" s="23">
        <v>0.36817102137767221</v>
      </c>
      <c r="K104" s="23">
        <v>0.40380047505938244</v>
      </c>
      <c r="L104" s="23">
        <v>1.4251781472684086E-2</v>
      </c>
      <c r="M104" s="21">
        <v>34.743467933491686</v>
      </c>
    </row>
    <row r="105" spans="1:13" x14ac:dyDescent="0.25">
      <c r="A105" s="19">
        <v>0.8705357142857143</v>
      </c>
      <c r="B105" s="19">
        <v>4.4642857142857144E-2</v>
      </c>
      <c r="C105" s="19">
        <v>7.1428571428571425E-2</v>
      </c>
      <c r="D105" s="20">
        <v>5</v>
      </c>
      <c r="E105" s="20">
        <v>246</v>
      </c>
      <c r="F105" s="20">
        <v>106</v>
      </c>
      <c r="G105" s="20">
        <v>3</v>
      </c>
      <c r="H105" s="20">
        <v>360</v>
      </c>
      <c r="I105" s="23">
        <v>1.3888888888888888E-2</v>
      </c>
      <c r="J105" s="23">
        <v>0.68333333333333335</v>
      </c>
      <c r="K105" s="23">
        <v>0.29444444444444445</v>
      </c>
      <c r="L105" s="23">
        <v>8.3333333333333332E-3</v>
      </c>
      <c r="M105" s="21">
        <v>73.108333333333334</v>
      </c>
    </row>
    <row r="106" spans="1:13" x14ac:dyDescent="0.25">
      <c r="A106" s="19">
        <v>0.87632508833922262</v>
      </c>
      <c r="B106" s="19">
        <v>3.5335689045936397E-2</v>
      </c>
      <c r="C106" s="19">
        <v>7.4204946996466431E-2</v>
      </c>
      <c r="D106" s="20">
        <v>17</v>
      </c>
      <c r="E106" s="20">
        <v>238</v>
      </c>
      <c r="F106" s="20">
        <v>103</v>
      </c>
      <c r="G106" s="20">
        <v>2</v>
      </c>
      <c r="H106" s="20">
        <v>360</v>
      </c>
      <c r="I106" s="23">
        <v>4.7222222222222221E-2</v>
      </c>
      <c r="J106" s="23">
        <v>0.66111111111111109</v>
      </c>
      <c r="K106" s="23">
        <v>0.28611111111111109</v>
      </c>
      <c r="L106" s="23">
        <v>5.5555555555555558E-3</v>
      </c>
      <c r="M106" s="21">
        <v>67.519444444444446</v>
      </c>
    </row>
    <row r="107" spans="1:13" x14ac:dyDescent="0.25">
      <c r="A107" s="19">
        <v>0.90592334494773519</v>
      </c>
      <c r="B107" s="19">
        <v>1.0452961672473868E-2</v>
      </c>
      <c r="C107" s="19">
        <v>7.6655052264808357E-2</v>
      </c>
      <c r="D107" s="20">
        <v>14</v>
      </c>
      <c r="E107" s="20">
        <v>215</v>
      </c>
      <c r="F107" s="20">
        <v>124</v>
      </c>
      <c r="G107" s="20">
        <v>7</v>
      </c>
      <c r="H107" s="20">
        <v>360</v>
      </c>
      <c r="I107" s="23">
        <v>3.888888888888889E-2</v>
      </c>
      <c r="J107" s="23">
        <v>0.59722222222222221</v>
      </c>
      <c r="K107" s="23">
        <v>0.34444444444444444</v>
      </c>
      <c r="L107" s="23">
        <v>1.9444444444444445E-2</v>
      </c>
      <c r="M107" s="21">
        <v>60.12222222222222</v>
      </c>
    </row>
    <row r="108" spans="1:13" x14ac:dyDescent="0.25">
      <c r="A108" s="19">
        <v>0.94915254237288138</v>
      </c>
      <c r="B108" s="19">
        <v>1.6949152542372881E-2</v>
      </c>
      <c r="C108" s="19">
        <v>3.3898305084745763E-2</v>
      </c>
      <c r="D108" s="20">
        <v>17</v>
      </c>
      <c r="E108" s="20">
        <v>392</v>
      </c>
      <c r="F108" s="20">
        <v>163</v>
      </c>
      <c r="G108" s="20">
        <v>8</v>
      </c>
      <c r="H108" s="20">
        <v>580</v>
      </c>
      <c r="I108" s="23">
        <v>2.9310344827586206E-2</v>
      </c>
      <c r="J108" s="23">
        <v>0.67586206896551726</v>
      </c>
      <c r="K108" s="23">
        <v>0.2810344827586207</v>
      </c>
      <c r="L108" s="23">
        <v>1.3793103448275862E-2</v>
      </c>
      <c r="M108" s="21">
        <v>50.562068965517241</v>
      </c>
    </row>
    <row r="109" spans="1:13" x14ac:dyDescent="0.25">
      <c r="A109" s="19">
        <v>0.92783505154639179</v>
      </c>
      <c r="B109" s="19">
        <v>1.804123711340206E-2</v>
      </c>
      <c r="C109" s="19">
        <v>5.4123711340206188E-2</v>
      </c>
      <c r="D109" s="20">
        <v>26</v>
      </c>
      <c r="E109" s="20">
        <v>417</v>
      </c>
      <c r="F109" s="20">
        <v>135</v>
      </c>
      <c r="G109" s="20">
        <v>3</v>
      </c>
      <c r="H109" s="20">
        <v>581</v>
      </c>
      <c r="I109" s="23">
        <v>4.4750430292598967E-2</v>
      </c>
      <c r="J109" s="23">
        <v>0.71772805507745263</v>
      </c>
      <c r="K109" s="23">
        <v>0.23235800344234078</v>
      </c>
      <c r="L109" s="23">
        <v>5.1635111876075735E-3</v>
      </c>
      <c r="M109" s="21">
        <v>40.931153184165233</v>
      </c>
    </row>
    <row r="110" spans="1:13" x14ac:dyDescent="0.25">
      <c r="A110" s="19">
        <v>0.93650793650793651</v>
      </c>
      <c r="B110" s="19">
        <v>1.5873015873015872E-2</v>
      </c>
      <c r="C110" s="19">
        <v>4.7619047619047616E-2</v>
      </c>
      <c r="D110" s="20">
        <v>36</v>
      </c>
      <c r="E110" s="20">
        <v>352</v>
      </c>
      <c r="F110" s="20">
        <v>190</v>
      </c>
      <c r="G110" s="20">
        <v>3</v>
      </c>
      <c r="H110" s="20">
        <v>581</v>
      </c>
      <c r="I110" s="23">
        <v>6.1962134251290879E-2</v>
      </c>
      <c r="J110" s="23">
        <v>0.60585197934595525</v>
      </c>
      <c r="K110" s="23">
        <v>0.32702237521514632</v>
      </c>
      <c r="L110" s="23">
        <v>5.1635111876075735E-3</v>
      </c>
      <c r="M110" s="21">
        <v>33.049913941480206</v>
      </c>
    </row>
    <row r="111" spans="1:13" x14ac:dyDescent="0.25">
      <c r="A111" s="19">
        <v>0.88652482269503541</v>
      </c>
      <c r="B111" s="19">
        <v>4.9645390070921988E-2</v>
      </c>
      <c r="C111" s="19">
        <v>6.1465721040189124E-2</v>
      </c>
      <c r="D111" s="20">
        <v>89</v>
      </c>
      <c r="E111" s="20">
        <v>298</v>
      </c>
      <c r="F111" s="20">
        <v>193</v>
      </c>
      <c r="G111" s="20">
        <v>1</v>
      </c>
      <c r="H111" s="20">
        <v>581</v>
      </c>
      <c r="I111" s="23">
        <v>0.153184165232358</v>
      </c>
      <c r="J111" s="23">
        <v>0.5129087779690189</v>
      </c>
      <c r="K111" s="23">
        <v>0.33218588640275387</v>
      </c>
      <c r="L111" s="23">
        <v>1.7211703958691911E-3</v>
      </c>
      <c r="M111" s="21">
        <v>23.802065404475044</v>
      </c>
    </row>
    <row r="112" spans="1:13" x14ac:dyDescent="0.25">
      <c r="A112" s="19">
        <v>0.74315068493150682</v>
      </c>
      <c r="B112" s="19">
        <v>8.9041095890410954E-2</v>
      </c>
      <c r="C112" s="19">
        <v>0.15068493150684931</v>
      </c>
      <c r="D112" s="20">
        <v>305</v>
      </c>
      <c r="E112" s="20">
        <v>14</v>
      </c>
      <c r="F112" s="20">
        <v>28</v>
      </c>
      <c r="G112" s="20">
        <v>3</v>
      </c>
      <c r="H112" s="20">
        <v>350</v>
      </c>
      <c r="I112" s="23">
        <v>0.87142857142857144</v>
      </c>
      <c r="J112" s="23">
        <v>0.04</v>
      </c>
      <c r="K112" s="23">
        <v>0.08</v>
      </c>
      <c r="L112" s="23">
        <v>8.5714285714285719E-3</v>
      </c>
      <c r="M112" s="21">
        <v>43.548571428571428</v>
      </c>
    </row>
    <row r="113" spans="1:13" x14ac:dyDescent="0.25">
      <c r="A113" s="19">
        <v>0.65822784810126578</v>
      </c>
      <c r="B113" s="19">
        <v>0.14873417721518986</v>
      </c>
      <c r="C113" s="19">
        <v>0.17721518987341772</v>
      </c>
      <c r="D113" s="20">
        <v>417</v>
      </c>
      <c r="E113" s="20">
        <v>6</v>
      </c>
      <c r="F113" s="20">
        <v>19</v>
      </c>
      <c r="G113" s="20">
        <v>0</v>
      </c>
      <c r="H113" s="20">
        <v>442</v>
      </c>
      <c r="I113" s="23">
        <v>0.9434389140271493</v>
      </c>
      <c r="J113" s="23">
        <v>1.3574660633484163E-2</v>
      </c>
      <c r="K113" s="23">
        <v>4.2986425339366516E-2</v>
      </c>
      <c r="L113" s="23">
        <v>0</v>
      </c>
      <c r="M113" s="21">
        <v>22.70814479638009</v>
      </c>
    </row>
    <row r="114" spans="1:13" x14ac:dyDescent="0.25">
      <c r="A114" s="19">
        <v>0.64379084967320266</v>
      </c>
      <c r="B114" s="19">
        <v>0.17647058823529413</v>
      </c>
      <c r="C114" s="19">
        <v>0.17320261437908496</v>
      </c>
      <c r="D114" s="20">
        <v>114</v>
      </c>
      <c r="E114" s="20">
        <v>162</v>
      </c>
      <c r="F114" s="20">
        <v>96</v>
      </c>
      <c r="G114" s="20">
        <v>8</v>
      </c>
      <c r="H114" s="20">
        <v>380</v>
      </c>
      <c r="I114" s="23">
        <v>0.3</v>
      </c>
      <c r="J114" s="23">
        <v>0.4263157894736842</v>
      </c>
      <c r="K114" s="23">
        <v>0.25263157894736843</v>
      </c>
      <c r="L114" s="23">
        <v>2.1052631578947368E-2</v>
      </c>
      <c r="M114" s="21">
        <v>69.102631578947367</v>
      </c>
    </row>
    <row r="115" spans="1:13" x14ac:dyDescent="0.25">
      <c r="A115" s="19">
        <v>0.72247706422018354</v>
      </c>
      <c r="B115" s="19">
        <v>0.12614678899082568</v>
      </c>
      <c r="C115" s="19">
        <v>0.15137614678899083</v>
      </c>
      <c r="D115" s="20">
        <v>97</v>
      </c>
      <c r="E115" s="20">
        <v>168</v>
      </c>
      <c r="F115" s="20">
        <v>104</v>
      </c>
      <c r="G115" s="20">
        <v>11</v>
      </c>
      <c r="H115" s="20">
        <v>380</v>
      </c>
      <c r="I115" s="23">
        <v>0.25526315789473686</v>
      </c>
      <c r="J115" s="23">
        <v>0.44210526315789472</v>
      </c>
      <c r="K115" s="23">
        <v>0.27368421052631581</v>
      </c>
      <c r="L115" s="23">
        <v>2.8947368421052631E-2</v>
      </c>
      <c r="M115" s="21">
        <v>61.165789473684214</v>
      </c>
    </row>
    <row r="116" spans="1:13" x14ac:dyDescent="0.25">
      <c r="A116" s="19">
        <v>0.69515011547344108</v>
      </c>
      <c r="B116" s="19">
        <v>0.16166281755196305</v>
      </c>
      <c r="C116" s="19">
        <v>0.14318706697459585</v>
      </c>
      <c r="D116" s="20">
        <v>120</v>
      </c>
      <c r="E116" s="20">
        <v>170</v>
      </c>
      <c r="F116" s="20">
        <v>82</v>
      </c>
      <c r="G116" s="20">
        <v>8</v>
      </c>
      <c r="H116" s="20">
        <v>380</v>
      </c>
      <c r="I116" s="23">
        <v>0.31578947368421051</v>
      </c>
      <c r="J116" s="23">
        <v>0.44736842105263158</v>
      </c>
      <c r="K116" s="23">
        <v>0.21578947368421053</v>
      </c>
      <c r="L116" s="23">
        <v>2.1052631578947368E-2</v>
      </c>
      <c r="M116" s="21">
        <v>52.939473684210526</v>
      </c>
    </row>
    <row r="117" spans="1:13" x14ac:dyDescent="0.25">
      <c r="A117" s="19">
        <v>0.64316239316239321</v>
      </c>
      <c r="B117" s="19">
        <v>0.23076923076923078</v>
      </c>
      <c r="C117" s="19">
        <v>0.12393162393162394</v>
      </c>
      <c r="D117" s="20">
        <v>227</v>
      </c>
      <c r="E117" s="20">
        <v>254</v>
      </c>
      <c r="F117" s="20">
        <v>152</v>
      </c>
      <c r="G117" s="20">
        <v>7</v>
      </c>
      <c r="H117" s="20">
        <v>640</v>
      </c>
      <c r="I117" s="23">
        <v>0.35468749999999999</v>
      </c>
      <c r="J117" s="23">
        <v>0.39687499999999998</v>
      </c>
      <c r="K117" s="23">
        <v>0.23749999999999999</v>
      </c>
      <c r="L117" s="23">
        <v>1.0937499999999999E-2</v>
      </c>
      <c r="M117" s="21">
        <v>43.081249999999997</v>
      </c>
    </row>
    <row r="118" spans="1:13" x14ac:dyDescent="0.25">
      <c r="A118" s="19">
        <v>0.62761506276150625</v>
      </c>
      <c r="B118" s="19">
        <v>0.2405857740585774</v>
      </c>
      <c r="C118" s="19">
        <v>0.12552301255230125</v>
      </c>
      <c r="D118" s="20">
        <v>280</v>
      </c>
      <c r="E118" s="20">
        <v>233</v>
      </c>
      <c r="F118" s="20">
        <v>119</v>
      </c>
      <c r="G118" s="20">
        <v>8</v>
      </c>
      <c r="H118" s="20">
        <v>640</v>
      </c>
      <c r="I118" s="23">
        <v>0.4375</v>
      </c>
      <c r="J118" s="23">
        <v>0.36406250000000001</v>
      </c>
      <c r="K118" s="23">
        <v>0.18593750000000001</v>
      </c>
      <c r="L118" s="23">
        <v>1.2500000000000001E-2</v>
      </c>
      <c r="M118" s="21">
        <v>34.373437500000001</v>
      </c>
    </row>
    <row r="119" spans="1:13" x14ac:dyDescent="0.25">
      <c r="A119" s="19">
        <v>0.58085106382978724</v>
      </c>
      <c r="B119" s="19">
        <v>0.28085106382978725</v>
      </c>
      <c r="C119" s="19">
        <v>0.13191489361702127</v>
      </c>
      <c r="D119" s="20">
        <v>259</v>
      </c>
      <c r="E119" s="20">
        <v>232</v>
      </c>
      <c r="F119" s="20">
        <v>141</v>
      </c>
      <c r="G119" s="20">
        <v>9</v>
      </c>
      <c r="H119" s="20">
        <v>641</v>
      </c>
      <c r="I119" s="23">
        <v>0.40405616224648988</v>
      </c>
      <c r="J119" s="23">
        <v>0.36193447737909518</v>
      </c>
      <c r="K119" s="23">
        <v>0.21996879875195008</v>
      </c>
      <c r="L119" s="23">
        <v>1.4040561622464899E-2</v>
      </c>
      <c r="M119" s="21">
        <v>28.533541341653667</v>
      </c>
    </row>
    <row r="120" spans="1:13" x14ac:dyDescent="0.25">
      <c r="A120" s="19">
        <v>0.72661870503597126</v>
      </c>
      <c r="B120" s="19">
        <v>7.5539568345323743E-2</v>
      </c>
      <c r="C120" s="19">
        <v>0.1906474820143885</v>
      </c>
      <c r="D120" s="20">
        <v>299</v>
      </c>
      <c r="E120" s="20">
        <v>233</v>
      </c>
      <c r="F120" s="20">
        <v>103</v>
      </c>
      <c r="G120" s="20">
        <v>6</v>
      </c>
      <c r="H120" s="20">
        <v>641</v>
      </c>
      <c r="I120" s="23">
        <v>0.46645865834633388</v>
      </c>
      <c r="J120" s="23">
        <v>0.36349453978159124</v>
      </c>
      <c r="K120" s="23">
        <v>0.1606864274570983</v>
      </c>
      <c r="L120" s="23">
        <v>9.3603744149765994E-3</v>
      </c>
      <c r="M120" s="21">
        <v>24.068642745709827</v>
      </c>
    </row>
    <row r="121" spans="1:13" x14ac:dyDescent="0.25">
      <c r="A121" s="19">
        <v>0.66987179487179482</v>
      </c>
      <c r="B121" s="19">
        <v>0.14423076923076922</v>
      </c>
      <c r="C121" s="19">
        <v>0.1858974358974359</v>
      </c>
      <c r="D121" s="20">
        <v>288</v>
      </c>
      <c r="E121" s="20">
        <v>235</v>
      </c>
      <c r="F121" s="20">
        <v>115</v>
      </c>
      <c r="G121" s="20">
        <v>3</v>
      </c>
      <c r="H121" s="20">
        <v>641</v>
      </c>
      <c r="I121" s="23">
        <v>0.44929797191887677</v>
      </c>
      <c r="J121" s="23">
        <v>0.36661466458658348</v>
      </c>
      <c r="K121" s="23">
        <v>0.1794071762870515</v>
      </c>
      <c r="L121" s="23">
        <v>4.6801872074882997E-3</v>
      </c>
      <c r="M121" s="21">
        <v>19.975039001560063</v>
      </c>
    </row>
    <row r="122" spans="1:13" x14ac:dyDescent="0.25">
      <c r="A122" s="19">
        <v>0.74013157894736847</v>
      </c>
      <c r="B122" s="19">
        <v>0.14802631578947367</v>
      </c>
      <c r="C122" s="19">
        <v>0.10855263157894737</v>
      </c>
      <c r="D122" s="20">
        <v>103</v>
      </c>
      <c r="E122" s="20">
        <v>208</v>
      </c>
      <c r="F122" s="20">
        <v>58</v>
      </c>
      <c r="G122" s="20">
        <v>1</v>
      </c>
      <c r="H122" s="20">
        <v>370</v>
      </c>
      <c r="I122" s="23">
        <v>0.27837837837837837</v>
      </c>
      <c r="J122" s="23">
        <v>0.56216216216216219</v>
      </c>
      <c r="K122" s="23">
        <v>0.15675675675675677</v>
      </c>
      <c r="L122" s="23">
        <v>2.7027027027027029E-3</v>
      </c>
      <c r="M122" s="21">
        <v>65.229729729729726</v>
      </c>
    </row>
    <row r="123" spans="1:13" x14ac:dyDescent="0.25">
      <c r="A123" s="19">
        <v>0.72955974842767291</v>
      </c>
      <c r="B123" s="19">
        <v>0.15303983228511531</v>
      </c>
      <c r="C123" s="19">
        <v>0.11530398322851153</v>
      </c>
      <c r="D123" s="20">
        <v>134</v>
      </c>
      <c r="E123" s="20">
        <v>163</v>
      </c>
      <c r="F123" s="20">
        <v>71</v>
      </c>
      <c r="G123" s="20">
        <v>2</v>
      </c>
      <c r="H123" s="20">
        <v>370</v>
      </c>
      <c r="I123" s="23">
        <v>0.36216216216216218</v>
      </c>
      <c r="J123" s="23">
        <v>0.44054054054054054</v>
      </c>
      <c r="K123" s="23">
        <v>0.1918918918918919</v>
      </c>
      <c r="L123" s="23">
        <v>5.4054054054054057E-3</v>
      </c>
      <c r="M123" s="21">
        <v>56.697297297297297</v>
      </c>
    </row>
    <row r="124" spans="1:13" x14ac:dyDescent="0.25">
      <c r="A124" s="19">
        <v>0.68243243243243246</v>
      </c>
      <c r="B124" s="19">
        <v>0.16891891891891891</v>
      </c>
      <c r="C124" s="19">
        <v>0.14864864864864866</v>
      </c>
      <c r="D124" s="20">
        <v>115</v>
      </c>
      <c r="E124" s="20">
        <v>189</v>
      </c>
      <c r="F124" s="20">
        <v>63</v>
      </c>
      <c r="G124" s="20">
        <v>3</v>
      </c>
      <c r="H124" s="20">
        <v>370</v>
      </c>
      <c r="I124" s="23">
        <v>0.3108108108108108</v>
      </c>
      <c r="J124" s="23">
        <v>0.51081081081081081</v>
      </c>
      <c r="K124" s="23">
        <v>0.17027027027027028</v>
      </c>
      <c r="L124" s="23">
        <v>8.1081081081081086E-3</v>
      </c>
      <c r="M124" s="21">
        <v>49.508108108108111</v>
      </c>
    </row>
    <row r="125" spans="1:13" x14ac:dyDescent="0.25">
      <c r="A125" s="19">
        <v>0.68250539956803458</v>
      </c>
      <c r="B125" s="19">
        <v>0.18142548596112312</v>
      </c>
      <c r="C125" s="19">
        <v>0.13606911447084233</v>
      </c>
      <c r="D125" s="20">
        <v>195</v>
      </c>
      <c r="E125" s="20">
        <v>351</v>
      </c>
      <c r="F125" s="20">
        <v>90</v>
      </c>
      <c r="G125" s="20">
        <v>3</v>
      </c>
      <c r="H125" s="20">
        <v>639</v>
      </c>
      <c r="I125" s="23">
        <v>0.30516431924882631</v>
      </c>
      <c r="J125" s="23">
        <v>0.54929577464788737</v>
      </c>
      <c r="K125" s="23">
        <v>0.14084507042253522</v>
      </c>
      <c r="L125" s="23">
        <v>4.6948356807511738E-3</v>
      </c>
      <c r="M125" s="21">
        <v>41.625978090766822</v>
      </c>
    </row>
    <row r="126" spans="1:13" x14ac:dyDescent="0.25">
      <c r="A126" s="19">
        <v>0.62448132780082988</v>
      </c>
      <c r="B126" s="19">
        <v>0.23029045643153526</v>
      </c>
      <c r="C126" s="19">
        <v>0.14522821576763487</v>
      </c>
      <c r="D126" s="20">
        <v>267</v>
      </c>
      <c r="E126" s="20">
        <v>297</v>
      </c>
      <c r="F126" s="20">
        <v>75</v>
      </c>
      <c r="G126" s="20">
        <v>1</v>
      </c>
      <c r="H126" s="20">
        <v>640</v>
      </c>
      <c r="I126" s="23">
        <v>0.41718749999999999</v>
      </c>
      <c r="J126" s="23">
        <v>0.46406249999999999</v>
      </c>
      <c r="K126" s="23">
        <v>0.1171875</v>
      </c>
      <c r="L126" s="23">
        <v>1.5625000000000001E-3</v>
      </c>
      <c r="M126" s="21">
        <v>32.259374999999999</v>
      </c>
    </row>
    <row r="127" spans="1:13" x14ac:dyDescent="0.25">
      <c r="A127" s="19">
        <v>0.8392857142857143</v>
      </c>
      <c r="B127" s="19">
        <v>4.2857142857142858E-2</v>
      </c>
      <c r="C127" s="19">
        <v>0.11071428571428571</v>
      </c>
      <c r="D127" s="20">
        <v>295</v>
      </c>
      <c r="E127" s="20">
        <v>263</v>
      </c>
      <c r="F127" s="20">
        <v>82</v>
      </c>
      <c r="G127" s="20">
        <v>0</v>
      </c>
      <c r="H127" s="20">
        <v>640</v>
      </c>
      <c r="I127" s="23">
        <v>0.4609375</v>
      </c>
      <c r="J127" s="23">
        <v>0.41093750000000001</v>
      </c>
      <c r="K127" s="23">
        <v>0.12812499999999999</v>
      </c>
      <c r="L127" s="23">
        <v>0</v>
      </c>
      <c r="M127" s="21">
        <v>25.134374999999999</v>
      </c>
    </row>
    <row r="128" spans="1:13" x14ac:dyDescent="0.25">
      <c r="A128" s="19">
        <v>0.73899371069182385</v>
      </c>
      <c r="B128" s="19">
        <v>9.1194968553459113E-2</v>
      </c>
      <c r="C128" s="19">
        <v>0.16666666666666666</v>
      </c>
      <c r="D128" s="20">
        <v>300</v>
      </c>
      <c r="E128" s="20">
        <v>251</v>
      </c>
      <c r="F128" s="20">
        <v>88</v>
      </c>
      <c r="G128" s="20">
        <v>1</v>
      </c>
      <c r="H128" s="20">
        <v>640</v>
      </c>
      <c r="I128" s="23">
        <v>0.46875</v>
      </c>
      <c r="J128" s="23">
        <v>0.39218750000000002</v>
      </c>
      <c r="K128" s="23">
        <v>0.13750000000000001</v>
      </c>
      <c r="L128" s="23">
        <v>1.5625000000000001E-3</v>
      </c>
      <c r="M128" s="21">
        <v>20.160937499999999</v>
      </c>
    </row>
    <row r="129" spans="1:13" x14ac:dyDescent="0.25">
      <c r="A129" s="19">
        <v>0.79104477611940294</v>
      </c>
      <c r="B129" s="19">
        <v>8.6567164179104483E-2</v>
      </c>
      <c r="C129" s="19">
        <v>0.12238805970149254</v>
      </c>
      <c r="D129" s="20">
        <v>69</v>
      </c>
      <c r="E129" s="20">
        <v>241</v>
      </c>
      <c r="F129" s="20">
        <v>66</v>
      </c>
      <c r="G129" s="20">
        <v>4</v>
      </c>
      <c r="H129" s="20">
        <v>380</v>
      </c>
      <c r="I129" s="23">
        <v>0.18157894736842106</v>
      </c>
      <c r="J129" s="23">
        <v>0.63421052631578945</v>
      </c>
      <c r="K129" s="23">
        <v>0.1736842105263158</v>
      </c>
      <c r="L129" s="23">
        <v>1.0526315789473684E-2</v>
      </c>
      <c r="M129" s="21">
        <v>66.918421052631572</v>
      </c>
    </row>
    <row r="130" spans="1:13" x14ac:dyDescent="0.25">
      <c r="A130" s="19">
        <v>0.78557114228456915</v>
      </c>
      <c r="B130" s="19">
        <v>0.12024048096192384</v>
      </c>
      <c r="C130" s="19">
        <v>9.2184368737474945E-2</v>
      </c>
      <c r="D130" s="20">
        <v>109</v>
      </c>
      <c r="E130" s="20">
        <v>207</v>
      </c>
      <c r="F130" s="20">
        <v>61</v>
      </c>
      <c r="G130" s="20">
        <v>3</v>
      </c>
      <c r="H130" s="20">
        <v>380</v>
      </c>
      <c r="I130" s="23">
        <v>0.2868421052631579</v>
      </c>
      <c r="J130" s="23">
        <v>0.54473684210526319</v>
      </c>
      <c r="K130" s="23">
        <v>0.16052631578947368</v>
      </c>
      <c r="L130" s="23">
        <v>7.8947368421052634E-3</v>
      </c>
      <c r="M130" s="21">
        <v>60.231578947368419</v>
      </c>
    </row>
    <row r="131" spans="1:13" x14ac:dyDescent="0.25">
      <c r="A131" s="19">
        <v>0.68360277136258663</v>
      </c>
      <c r="B131" s="19">
        <v>0.17782909930715934</v>
      </c>
      <c r="C131" s="19">
        <v>0.13856812933025403</v>
      </c>
      <c r="D131" s="20">
        <v>90</v>
      </c>
      <c r="E131" s="20">
        <v>229</v>
      </c>
      <c r="F131" s="20">
        <v>59</v>
      </c>
      <c r="G131" s="20">
        <v>2</v>
      </c>
      <c r="H131" s="20">
        <v>380</v>
      </c>
      <c r="I131" s="23">
        <v>0.23684210526315788</v>
      </c>
      <c r="J131" s="23">
        <v>0.60263157894736841</v>
      </c>
      <c r="K131" s="23">
        <v>0.15526315789473685</v>
      </c>
      <c r="L131" s="23">
        <v>5.263157894736842E-3</v>
      </c>
      <c r="M131" s="21">
        <v>53.69736842105263</v>
      </c>
    </row>
    <row r="132" spans="1:13" x14ac:dyDescent="0.25">
      <c r="A132" s="19">
        <v>0.71767241379310343</v>
      </c>
      <c r="B132" s="19">
        <v>0.14655172413793102</v>
      </c>
      <c r="C132" s="19">
        <v>0.12715517241379309</v>
      </c>
      <c r="D132" s="20">
        <v>161</v>
      </c>
      <c r="E132" s="20">
        <v>365</v>
      </c>
      <c r="F132" s="20">
        <v>140</v>
      </c>
      <c r="G132" s="20">
        <v>4</v>
      </c>
      <c r="H132" s="20">
        <v>670</v>
      </c>
      <c r="I132" s="23">
        <v>0.24029850746268658</v>
      </c>
      <c r="J132" s="23">
        <v>0.54477611940298509</v>
      </c>
      <c r="K132" s="23">
        <v>0.20895522388059701</v>
      </c>
      <c r="L132" s="23">
        <v>5.9701492537313433E-3</v>
      </c>
      <c r="M132" s="21">
        <v>45.623880597014924</v>
      </c>
    </row>
    <row r="133" spans="1:13" x14ac:dyDescent="0.25">
      <c r="A133" s="19">
        <v>0.74798387096774188</v>
      </c>
      <c r="B133" s="19">
        <v>0.14314516129032259</v>
      </c>
      <c r="C133" s="19">
        <v>0.10887096774193548</v>
      </c>
      <c r="D133" s="20">
        <v>255</v>
      </c>
      <c r="E133" s="20">
        <v>313</v>
      </c>
      <c r="F133" s="20">
        <v>100</v>
      </c>
      <c r="G133" s="20">
        <v>2</v>
      </c>
      <c r="H133" s="20">
        <v>670</v>
      </c>
      <c r="I133" s="23">
        <v>0.38059701492537312</v>
      </c>
      <c r="J133" s="23">
        <v>0.46716417910447761</v>
      </c>
      <c r="K133" s="23">
        <v>0.14925373134328357</v>
      </c>
      <c r="L133" s="23">
        <v>2.9850746268656717E-3</v>
      </c>
      <c r="M133" s="21">
        <v>34.949253731343283</v>
      </c>
    </row>
    <row r="134" spans="1:13" x14ac:dyDescent="0.25">
      <c r="A134" s="19">
        <v>0.73333333333333328</v>
      </c>
      <c r="B134" s="19">
        <v>0.16380952380952382</v>
      </c>
      <c r="C134" s="19">
        <v>0.10285714285714286</v>
      </c>
      <c r="D134" s="20">
        <v>252</v>
      </c>
      <c r="E134" s="20">
        <v>297</v>
      </c>
      <c r="F134" s="20">
        <v>121</v>
      </c>
      <c r="G134" s="20">
        <v>2</v>
      </c>
      <c r="H134" s="20">
        <v>672</v>
      </c>
      <c r="I134" s="23">
        <v>0.375</v>
      </c>
      <c r="J134" s="23">
        <v>0.4419642857142857</v>
      </c>
      <c r="K134" s="23">
        <v>0.18005952380952381</v>
      </c>
      <c r="L134" s="23">
        <v>2.976190476190476E-3</v>
      </c>
      <c r="M134" s="21">
        <v>28.15029761904762</v>
      </c>
    </row>
    <row r="135" spans="1:13" x14ac:dyDescent="0.25">
      <c r="A135" s="19">
        <v>0.76156583629893237</v>
      </c>
      <c r="B135" s="19">
        <v>0.12811387900355872</v>
      </c>
      <c r="C135" s="19">
        <v>0.10676156583629894</v>
      </c>
      <c r="D135" s="20">
        <v>241</v>
      </c>
      <c r="E135" s="20">
        <v>306</v>
      </c>
      <c r="F135" s="20">
        <v>125</v>
      </c>
      <c r="G135" s="20">
        <v>0</v>
      </c>
      <c r="H135" s="20">
        <v>672</v>
      </c>
      <c r="I135" s="23">
        <v>0.35863095238095238</v>
      </c>
      <c r="J135" s="23">
        <v>0.45535714285714285</v>
      </c>
      <c r="K135" s="23">
        <v>0.18601190476190477</v>
      </c>
      <c r="L135" s="23">
        <v>0</v>
      </c>
      <c r="M135" s="21">
        <v>24.055059523809526</v>
      </c>
    </row>
    <row r="136" spans="1:13" x14ac:dyDescent="0.25">
      <c r="A136" s="19">
        <v>0.83557046979865768</v>
      </c>
      <c r="B136" s="19">
        <v>7.3825503355704702E-2</v>
      </c>
      <c r="C136" s="19">
        <v>8.3892617449664433E-2</v>
      </c>
      <c r="D136" s="20">
        <v>263</v>
      </c>
      <c r="E136" s="20">
        <v>311</v>
      </c>
      <c r="F136" s="20">
        <v>98</v>
      </c>
      <c r="G136" s="20">
        <v>0</v>
      </c>
      <c r="H136" s="20">
        <v>672</v>
      </c>
      <c r="I136" s="23">
        <v>0.39136904761904762</v>
      </c>
      <c r="J136" s="23">
        <v>0.46279761904761907</v>
      </c>
      <c r="K136" s="23">
        <v>0.14583333333333334</v>
      </c>
      <c r="L136" s="23">
        <v>0</v>
      </c>
      <c r="M136" s="21">
        <v>20.11904761904762</v>
      </c>
    </row>
    <row r="137" spans="1:13" x14ac:dyDescent="0.25">
      <c r="A137" s="19">
        <v>0.78877887788778878</v>
      </c>
      <c r="B137" s="19">
        <v>0.12871287128712872</v>
      </c>
      <c r="C137" s="19">
        <v>7.9207920792079209E-2</v>
      </c>
      <c r="D137" s="20">
        <v>94</v>
      </c>
      <c r="E137" s="20">
        <v>204</v>
      </c>
      <c r="F137" s="20">
        <v>77</v>
      </c>
      <c r="G137" s="20">
        <v>5</v>
      </c>
      <c r="H137" s="20">
        <v>380</v>
      </c>
      <c r="I137" s="23">
        <v>0.24736842105263157</v>
      </c>
      <c r="J137" s="23">
        <v>0.5368421052631579</v>
      </c>
      <c r="K137" s="23">
        <v>0.20263157894736841</v>
      </c>
      <c r="L137" s="23">
        <v>1.3157894736842105E-2</v>
      </c>
      <c r="M137" s="21">
        <v>62.7</v>
      </c>
    </row>
    <row r="138" spans="1:13" x14ac:dyDescent="0.25">
      <c r="A138" s="19">
        <v>0.69037656903765687</v>
      </c>
      <c r="B138" s="19">
        <v>0.16736401673640167</v>
      </c>
      <c r="C138" s="19">
        <v>0.13807531380753138</v>
      </c>
      <c r="D138" s="20">
        <v>125</v>
      </c>
      <c r="E138" s="20">
        <v>156</v>
      </c>
      <c r="F138" s="20">
        <v>97</v>
      </c>
      <c r="G138" s="20">
        <v>2</v>
      </c>
      <c r="H138" s="20">
        <v>380</v>
      </c>
      <c r="I138" s="23">
        <v>0.32894736842105265</v>
      </c>
      <c r="J138" s="23">
        <v>0.41052631578947368</v>
      </c>
      <c r="K138" s="23">
        <v>0.25526315789473686</v>
      </c>
      <c r="L138" s="23">
        <v>5.263157894736842E-3</v>
      </c>
      <c r="M138" s="21">
        <v>56.744736842105262</v>
      </c>
    </row>
    <row r="139" spans="1:13" x14ac:dyDescent="0.25">
      <c r="A139" s="19">
        <v>0.68837209302325586</v>
      </c>
      <c r="B139" s="19">
        <v>0.16279069767441862</v>
      </c>
      <c r="C139" s="19">
        <v>0.14651162790697675</v>
      </c>
      <c r="D139" s="20">
        <v>153</v>
      </c>
      <c r="E139" s="20">
        <v>145</v>
      </c>
      <c r="F139" s="20">
        <v>77</v>
      </c>
      <c r="G139" s="20">
        <v>5</v>
      </c>
      <c r="H139" s="20">
        <v>380</v>
      </c>
      <c r="I139" s="23">
        <v>0.4026315789473684</v>
      </c>
      <c r="J139" s="23">
        <v>0.38157894736842107</v>
      </c>
      <c r="K139" s="23">
        <v>0.20263157894736841</v>
      </c>
      <c r="L139" s="23">
        <v>1.3157894736842105E-2</v>
      </c>
      <c r="M139" s="21">
        <v>49.215789473684211</v>
      </c>
    </row>
    <row r="140" spans="1:13" x14ac:dyDescent="0.25">
      <c r="A140" s="19">
        <v>0.76222222222222225</v>
      </c>
      <c r="B140" s="19">
        <v>0.12666666666666668</v>
      </c>
      <c r="C140" s="19">
        <v>0.1</v>
      </c>
      <c r="D140" s="20">
        <v>195</v>
      </c>
      <c r="E140" s="20">
        <v>294</v>
      </c>
      <c r="F140" s="20">
        <v>124</v>
      </c>
      <c r="G140" s="20">
        <v>7</v>
      </c>
      <c r="H140" s="20">
        <v>620</v>
      </c>
      <c r="I140" s="23">
        <v>0.31451612903225806</v>
      </c>
      <c r="J140" s="23">
        <v>0.47419354838709676</v>
      </c>
      <c r="K140" s="23">
        <v>0.2</v>
      </c>
      <c r="L140" s="23">
        <v>1.1290322580645161E-2</v>
      </c>
      <c r="M140" s="21">
        <v>40.11451612903226</v>
      </c>
    </row>
    <row r="141" spans="1:13" x14ac:dyDescent="0.25">
      <c r="A141" s="19">
        <v>0.75523012552301261</v>
      </c>
      <c r="B141" s="19">
        <v>0.13389121338912133</v>
      </c>
      <c r="C141" s="19">
        <v>0.11087866108786611</v>
      </c>
      <c r="D141" s="20">
        <v>239</v>
      </c>
      <c r="E141" s="20">
        <v>246</v>
      </c>
      <c r="F141" s="20">
        <v>129</v>
      </c>
      <c r="G141" s="20">
        <v>6</v>
      </c>
      <c r="H141" s="20">
        <v>620</v>
      </c>
      <c r="I141" s="23">
        <v>0.38548387096774195</v>
      </c>
      <c r="J141" s="23">
        <v>0.39677419354838711</v>
      </c>
      <c r="K141" s="23">
        <v>0.20806451612903226</v>
      </c>
      <c r="L141" s="23">
        <v>9.6774193548387101E-3</v>
      </c>
      <c r="M141" s="21">
        <v>31.020967741935483</v>
      </c>
    </row>
    <row r="142" spans="1:13" x14ac:dyDescent="0.25">
      <c r="A142" s="19">
        <v>0.75739644970414199</v>
      </c>
      <c r="B142" s="19">
        <v>0.14990138067061143</v>
      </c>
      <c r="C142" s="19">
        <v>9.0729783037475351E-2</v>
      </c>
      <c r="D142" s="20">
        <v>307</v>
      </c>
      <c r="E142" s="20">
        <v>189</v>
      </c>
      <c r="F142" s="20">
        <v>122</v>
      </c>
      <c r="G142" s="20">
        <v>2</v>
      </c>
      <c r="H142" s="20">
        <v>620</v>
      </c>
      <c r="I142" s="23">
        <v>0.49516129032258066</v>
      </c>
      <c r="J142" s="23">
        <v>0.30483870967741933</v>
      </c>
      <c r="K142" s="23">
        <v>0.1967741935483871</v>
      </c>
      <c r="L142" s="23">
        <v>3.2258064516129032E-3</v>
      </c>
      <c r="M142" s="21">
        <v>26.414516129032258</v>
      </c>
    </row>
    <row r="143" spans="1:13" x14ac:dyDescent="0.25">
      <c r="A143" s="19">
        <v>0.57432432432432434</v>
      </c>
      <c r="B143" s="19">
        <v>0.14864864864864866</v>
      </c>
      <c r="C143" s="19">
        <v>0.27027027027027029</v>
      </c>
      <c r="D143" s="20">
        <v>334</v>
      </c>
      <c r="E143" s="20">
        <v>172</v>
      </c>
      <c r="F143" s="20">
        <v>113</v>
      </c>
      <c r="G143" s="20">
        <v>1</v>
      </c>
      <c r="H143" s="20">
        <v>620</v>
      </c>
      <c r="I143" s="23">
        <v>0.53870967741935483</v>
      </c>
      <c r="J143" s="23">
        <v>0.27741935483870966</v>
      </c>
      <c r="K143" s="23">
        <v>0.18225806451612903</v>
      </c>
      <c r="L143" s="23">
        <v>1.6129032258064516E-3</v>
      </c>
      <c r="M143" s="21">
        <v>22.995161290322581</v>
      </c>
    </row>
    <row r="144" spans="1:13" x14ac:dyDescent="0.25">
      <c r="A144" s="19">
        <v>0.70134228187919467</v>
      </c>
      <c r="B144" s="19">
        <v>0.13758389261744966</v>
      </c>
      <c r="C144" s="19">
        <v>0.15771812080536912</v>
      </c>
      <c r="D144" s="20">
        <v>339</v>
      </c>
      <c r="E144" s="20">
        <v>176</v>
      </c>
      <c r="F144" s="20">
        <v>105</v>
      </c>
      <c r="G144" s="20">
        <v>0</v>
      </c>
      <c r="H144" s="20">
        <v>620</v>
      </c>
      <c r="I144" s="23">
        <v>0.54677419354838708</v>
      </c>
      <c r="J144" s="23">
        <v>0.28387096774193549</v>
      </c>
      <c r="K144" s="23">
        <v>0.16935483870967741</v>
      </c>
      <c r="L144" s="23">
        <v>0</v>
      </c>
      <c r="M144" s="21">
        <v>19.614516129032257</v>
      </c>
    </row>
    <row r="145" spans="1:13" x14ac:dyDescent="0.25">
      <c r="A145" s="19">
        <v>0.72413793103448276</v>
      </c>
      <c r="B145" s="19">
        <v>0.13300492610837439</v>
      </c>
      <c r="C145" s="19">
        <v>0.14039408866995073</v>
      </c>
      <c r="D145" s="20">
        <v>176</v>
      </c>
      <c r="E145" s="20">
        <v>124</v>
      </c>
      <c r="F145" s="20">
        <v>67</v>
      </c>
      <c r="G145" s="20">
        <v>3</v>
      </c>
      <c r="H145" s="20">
        <v>370</v>
      </c>
      <c r="I145" s="23">
        <v>0.4756756756756757</v>
      </c>
      <c r="J145" s="23">
        <v>0.33513513513513515</v>
      </c>
      <c r="K145" s="23">
        <v>0.18108108108108109</v>
      </c>
      <c r="L145" s="23">
        <v>8.1081081081081086E-3</v>
      </c>
      <c r="M145" s="21">
        <v>61.775675675675679</v>
      </c>
    </row>
    <row r="146" spans="1:13" x14ac:dyDescent="0.25">
      <c r="A146" s="19">
        <v>0.70398009950248752</v>
      </c>
      <c r="B146" s="19">
        <v>0.18407960199004975</v>
      </c>
      <c r="C146" s="19">
        <v>0.10696517412935323</v>
      </c>
      <c r="D146" s="20">
        <v>131</v>
      </c>
      <c r="E146" s="20">
        <v>168</v>
      </c>
      <c r="F146" s="20">
        <v>68</v>
      </c>
      <c r="G146" s="20">
        <v>3</v>
      </c>
      <c r="H146" s="20">
        <v>370</v>
      </c>
      <c r="I146" s="23">
        <v>0.35405405405405405</v>
      </c>
      <c r="J146" s="23">
        <v>0.45405405405405408</v>
      </c>
      <c r="K146" s="23">
        <v>0.18378378378378379</v>
      </c>
      <c r="L146" s="23">
        <v>8.1081081081081086E-3</v>
      </c>
      <c r="M146" s="21">
        <v>50.859459459459458</v>
      </c>
    </row>
    <row r="147" spans="1:13" x14ac:dyDescent="0.25">
      <c r="A147" s="19">
        <v>0.71895424836601307</v>
      </c>
      <c r="B147" s="19">
        <v>0.15468409586056645</v>
      </c>
      <c r="C147" s="19">
        <v>0.12636165577342048</v>
      </c>
      <c r="D147" s="20">
        <v>198</v>
      </c>
      <c r="E147" s="20">
        <v>269</v>
      </c>
      <c r="F147" s="20">
        <v>94</v>
      </c>
      <c r="G147" s="20">
        <v>5</v>
      </c>
      <c r="H147" s="20">
        <v>566</v>
      </c>
      <c r="I147" s="23">
        <v>0.34982332155477031</v>
      </c>
      <c r="J147" s="23">
        <v>0.47526501766784451</v>
      </c>
      <c r="K147" s="23">
        <v>0.16607773851590105</v>
      </c>
      <c r="L147" s="23">
        <v>8.8339222614840993E-3</v>
      </c>
      <c r="M147" s="21">
        <v>38.118374558303884</v>
      </c>
    </row>
    <row r="148" spans="1:13" x14ac:dyDescent="0.25">
      <c r="A148" s="19">
        <v>0.68776371308016881</v>
      </c>
      <c r="B148" s="19">
        <v>0.18143459915611815</v>
      </c>
      <c r="C148" s="19">
        <v>0.12025316455696203</v>
      </c>
      <c r="D148" s="20">
        <v>257</v>
      </c>
      <c r="E148" s="20">
        <v>234</v>
      </c>
      <c r="F148" s="20">
        <v>72</v>
      </c>
      <c r="G148" s="20">
        <v>3</v>
      </c>
      <c r="H148" s="20">
        <v>566</v>
      </c>
      <c r="I148" s="23">
        <v>0.45406360424028269</v>
      </c>
      <c r="J148" s="23">
        <v>0.41342756183745583</v>
      </c>
      <c r="K148" s="23">
        <v>0.12720848056537101</v>
      </c>
      <c r="L148" s="23">
        <v>5.3003533568904597E-3</v>
      </c>
      <c r="M148" s="21">
        <v>28.632508833922262</v>
      </c>
    </row>
    <row r="149" spans="1:13" x14ac:dyDescent="0.25">
      <c r="A149" s="19">
        <v>0.23389830508474577</v>
      </c>
      <c r="B149" s="19">
        <v>0.4101694915254237</v>
      </c>
      <c r="C149" s="19">
        <v>0.35254237288135593</v>
      </c>
      <c r="D149" s="20">
        <v>262</v>
      </c>
      <c r="E149" s="20">
        <v>228</v>
      </c>
      <c r="F149" s="20">
        <v>76</v>
      </c>
      <c r="G149" s="20">
        <v>0</v>
      </c>
      <c r="H149" s="20">
        <v>566</v>
      </c>
      <c r="I149" s="23">
        <v>0.4628975265017668</v>
      </c>
      <c r="J149" s="23">
        <v>0.40282685512367489</v>
      </c>
      <c r="K149" s="23">
        <v>0.13427561837455831</v>
      </c>
      <c r="L149" s="23">
        <v>0</v>
      </c>
      <c r="M149" s="21">
        <v>23.657243816254418</v>
      </c>
    </row>
    <row r="150" spans="1:13" x14ac:dyDescent="0.25">
      <c r="A150" s="19">
        <v>0.19889502762430938</v>
      </c>
      <c r="B150" s="19">
        <v>0.51381215469613262</v>
      </c>
      <c r="C150" s="19">
        <v>0.28176795580110497</v>
      </c>
      <c r="D150" s="20">
        <v>270</v>
      </c>
      <c r="E150" s="20">
        <v>221</v>
      </c>
      <c r="F150" s="20">
        <v>75</v>
      </c>
      <c r="G150" s="20">
        <v>0</v>
      </c>
      <c r="H150" s="20">
        <v>566</v>
      </c>
      <c r="I150" s="23">
        <v>0.47703180212014135</v>
      </c>
      <c r="J150" s="23">
        <v>0.39045936395759717</v>
      </c>
      <c r="K150" s="23">
        <v>0.13250883392226148</v>
      </c>
      <c r="L150" s="23">
        <v>0</v>
      </c>
      <c r="M150" s="21">
        <v>19.514134275618375</v>
      </c>
    </row>
    <row r="151" spans="1:13" x14ac:dyDescent="0.25">
      <c r="A151" s="19">
        <v>0.90186915887850472</v>
      </c>
      <c r="B151" s="19">
        <v>1.4018691588785047E-2</v>
      </c>
      <c r="C151" s="19">
        <v>7.0093457943925228E-2</v>
      </c>
      <c r="D151" s="20">
        <v>12</v>
      </c>
      <c r="E151" s="20">
        <v>247</v>
      </c>
      <c r="F151" s="20">
        <v>29</v>
      </c>
      <c r="G151" s="20">
        <v>2</v>
      </c>
      <c r="H151" s="20">
        <v>290</v>
      </c>
      <c r="I151" s="23">
        <v>4.1379310344827586E-2</v>
      </c>
      <c r="J151" s="23">
        <v>0.85172413793103452</v>
      </c>
      <c r="K151" s="23">
        <v>0.1</v>
      </c>
      <c r="L151" s="23">
        <v>6.8965517241379309E-3</v>
      </c>
      <c r="M151" s="21">
        <v>69.110344827586204</v>
      </c>
    </row>
    <row r="152" spans="1:13" x14ac:dyDescent="0.25">
      <c r="A152" s="19">
        <v>0.86899563318777295</v>
      </c>
      <c r="B152" s="19">
        <v>6.5502183406113537E-2</v>
      </c>
      <c r="C152" s="19">
        <v>5.6768558951965066E-2</v>
      </c>
      <c r="D152" s="20">
        <v>43</v>
      </c>
      <c r="E152" s="20">
        <v>189</v>
      </c>
      <c r="F152" s="20">
        <v>81</v>
      </c>
      <c r="G152" s="20">
        <v>0</v>
      </c>
      <c r="H152" s="20">
        <v>313</v>
      </c>
      <c r="I152" s="23">
        <v>0.13738019169329074</v>
      </c>
      <c r="J152" s="23">
        <v>0.60383386581469645</v>
      </c>
      <c r="K152" s="23">
        <v>0.25878594249201275</v>
      </c>
      <c r="L152" s="23">
        <v>0</v>
      </c>
      <c r="M152" s="21">
        <v>39.482428115015978</v>
      </c>
    </row>
    <row r="153" spans="1:13" x14ac:dyDescent="0.25">
      <c r="A153" s="19">
        <v>0.86098654708520184</v>
      </c>
      <c r="B153" s="19">
        <v>3.5874439461883408E-2</v>
      </c>
      <c r="C153" s="19">
        <v>8.9686098654708515E-2</v>
      </c>
      <c r="D153" s="20">
        <v>11</v>
      </c>
      <c r="E153" s="20">
        <v>300</v>
      </c>
      <c r="F153" s="20">
        <v>56</v>
      </c>
      <c r="G153" s="20">
        <v>3</v>
      </c>
      <c r="H153" s="20">
        <v>370</v>
      </c>
      <c r="I153" s="23">
        <v>2.9729729729729731E-2</v>
      </c>
      <c r="J153" s="23">
        <v>0.81081081081081086</v>
      </c>
      <c r="K153" s="23">
        <v>0.15135135135135136</v>
      </c>
      <c r="L153" s="23">
        <v>8.1081081081081086E-3</v>
      </c>
      <c r="M153" s="21">
        <v>76.824324324324323</v>
      </c>
    </row>
    <row r="154" spans="1:13" x14ac:dyDescent="0.25">
      <c r="A154" s="19">
        <v>0.91958041958041958</v>
      </c>
      <c r="B154" s="19">
        <v>1.048951048951049E-2</v>
      </c>
      <c r="C154" s="19">
        <v>6.2937062937062943E-2</v>
      </c>
      <c r="D154" s="20">
        <v>15</v>
      </c>
      <c r="E154" s="20">
        <v>305</v>
      </c>
      <c r="F154" s="20">
        <v>47</v>
      </c>
      <c r="G154" s="20">
        <v>3</v>
      </c>
      <c r="H154" s="20">
        <v>370</v>
      </c>
      <c r="I154" s="23">
        <v>4.0540540540540543E-2</v>
      </c>
      <c r="J154" s="23">
        <v>0.82432432432432434</v>
      </c>
      <c r="K154" s="23">
        <v>0.12702702702702703</v>
      </c>
      <c r="L154" s="23">
        <v>8.1081081081081086E-3</v>
      </c>
      <c r="M154" s="21">
        <v>65.467567567567571</v>
      </c>
    </row>
    <row r="155" spans="1:13" x14ac:dyDescent="0.25">
      <c r="A155" s="19">
        <v>0.79441624365482233</v>
      </c>
      <c r="B155" s="19">
        <v>7.8680203045685279E-2</v>
      </c>
      <c r="C155" s="19">
        <v>0.12182741116751269</v>
      </c>
      <c r="D155" s="20">
        <v>92</v>
      </c>
      <c r="E155" s="20">
        <v>319</v>
      </c>
      <c r="F155" s="20">
        <v>82</v>
      </c>
      <c r="G155" s="20">
        <v>3</v>
      </c>
      <c r="H155" s="20">
        <v>496</v>
      </c>
      <c r="I155" s="23">
        <v>0.18548387096774194</v>
      </c>
      <c r="J155" s="23">
        <v>0.64314516129032262</v>
      </c>
      <c r="K155" s="23">
        <v>0.16532258064516128</v>
      </c>
      <c r="L155" s="23">
        <v>6.0483870967741934E-3</v>
      </c>
      <c r="M155" s="21">
        <v>46.625</v>
      </c>
    </row>
    <row r="156" spans="1:13" x14ac:dyDescent="0.25">
      <c r="A156" s="19">
        <v>0.90340909090909094</v>
      </c>
      <c r="B156" s="19">
        <v>1.1363636363636364E-2</v>
      </c>
      <c r="C156" s="19">
        <v>7.3863636363636367E-2</v>
      </c>
      <c r="D156" s="20">
        <v>10</v>
      </c>
      <c r="E156" s="20">
        <v>232</v>
      </c>
      <c r="F156" s="20">
        <v>38</v>
      </c>
      <c r="G156" s="20">
        <v>4</v>
      </c>
      <c r="H156" s="20">
        <v>284</v>
      </c>
      <c r="I156" s="23">
        <v>3.5211267605633804E-2</v>
      </c>
      <c r="J156" s="23">
        <v>0.81690140845070425</v>
      </c>
      <c r="K156" s="23">
        <v>0.13380281690140844</v>
      </c>
      <c r="L156" s="23">
        <v>1.4084507042253521E-2</v>
      </c>
      <c r="M156" s="21">
        <v>72.852112676056336</v>
      </c>
    </row>
    <row r="157" spans="1:13" x14ac:dyDescent="0.25">
      <c r="A157" s="19">
        <v>0.8779342723004695</v>
      </c>
      <c r="B157" s="19">
        <v>3.7558685446009391E-2</v>
      </c>
      <c r="C157" s="19">
        <v>7.9812206572769953E-2</v>
      </c>
      <c r="D157" s="20">
        <v>39</v>
      </c>
      <c r="E157" s="20">
        <v>195</v>
      </c>
      <c r="F157" s="20">
        <v>48</v>
      </c>
      <c r="G157" s="20">
        <v>2</v>
      </c>
      <c r="H157" s="20">
        <v>284</v>
      </c>
      <c r="I157" s="23">
        <v>0.13732394366197184</v>
      </c>
      <c r="J157" s="23">
        <v>0.68661971830985913</v>
      </c>
      <c r="K157" s="23">
        <v>0.16901408450704225</v>
      </c>
      <c r="L157" s="23">
        <v>7.0422535211267607E-3</v>
      </c>
      <c r="M157" s="21">
        <v>46.742957746478872</v>
      </c>
    </row>
    <row r="158" spans="1:13" x14ac:dyDescent="0.25">
      <c r="A158" s="19">
        <v>0.80666666666666664</v>
      </c>
      <c r="B158" s="19">
        <v>0.04</v>
      </c>
      <c r="C158" s="19">
        <v>0.14666666666666667</v>
      </c>
      <c r="D158" s="20">
        <v>25</v>
      </c>
      <c r="E158" s="20">
        <v>191</v>
      </c>
      <c r="F158" s="20">
        <v>142</v>
      </c>
      <c r="G158" s="20">
        <v>22</v>
      </c>
      <c r="H158" s="20">
        <v>380</v>
      </c>
      <c r="I158" s="23">
        <v>6.5789473684210523E-2</v>
      </c>
      <c r="J158" s="23">
        <v>0.50263157894736843</v>
      </c>
      <c r="K158" s="23">
        <v>0.37368421052631579</v>
      </c>
      <c r="L158" s="23">
        <v>5.7894736842105263E-2</v>
      </c>
      <c r="M158" s="21">
        <v>82.786842105263162</v>
      </c>
    </row>
    <row r="159" spans="1:13" x14ac:dyDescent="0.25">
      <c r="A159" s="19">
        <v>0.84444444444444444</v>
      </c>
      <c r="B159" s="19">
        <v>2.6666666666666668E-2</v>
      </c>
      <c r="C159" s="19">
        <v>0.12444444444444444</v>
      </c>
      <c r="D159" s="20">
        <v>24</v>
      </c>
      <c r="E159" s="20">
        <v>199</v>
      </c>
      <c r="F159" s="20">
        <v>144</v>
      </c>
      <c r="G159" s="20">
        <v>13</v>
      </c>
      <c r="H159" s="20">
        <v>380</v>
      </c>
      <c r="I159" s="23">
        <v>6.3157894736842107E-2</v>
      </c>
      <c r="J159" s="23">
        <v>0.52368421052631575</v>
      </c>
      <c r="K159" s="23">
        <v>0.37894736842105264</v>
      </c>
      <c r="L159" s="23">
        <v>3.4210526315789476E-2</v>
      </c>
      <c r="M159" s="21">
        <v>74.589473684210532</v>
      </c>
    </row>
    <row r="160" spans="1:13" x14ac:dyDescent="0.25">
      <c r="A160" s="19">
        <v>0.7967479674796748</v>
      </c>
      <c r="B160" s="19">
        <v>7.3170731707317069E-2</v>
      </c>
      <c r="C160" s="19">
        <v>0.10569105691056911</v>
      </c>
      <c r="D160" s="20">
        <v>39</v>
      </c>
      <c r="E160" s="20">
        <v>198</v>
      </c>
      <c r="F160" s="20">
        <v>135</v>
      </c>
      <c r="G160" s="20">
        <v>8</v>
      </c>
      <c r="H160" s="20">
        <v>380</v>
      </c>
      <c r="I160" s="23">
        <v>0.10263157894736842</v>
      </c>
      <c r="J160" s="23">
        <v>0.52105263157894732</v>
      </c>
      <c r="K160" s="23">
        <v>0.35526315789473684</v>
      </c>
      <c r="L160" s="23">
        <v>2.1052631578947368E-2</v>
      </c>
      <c r="M160" s="21">
        <v>67.418421052631572</v>
      </c>
    </row>
    <row r="161" spans="1:13" x14ac:dyDescent="0.25">
      <c r="A161" s="19">
        <v>0.83399209486166004</v>
      </c>
      <c r="B161" s="19">
        <v>3.9525691699604744E-2</v>
      </c>
      <c r="C161" s="19">
        <v>0.11857707509881422</v>
      </c>
      <c r="D161" s="20">
        <v>43</v>
      </c>
      <c r="E161" s="20">
        <v>180</v>
      </c>
      <c r="F161" s="20">
        <v>149</v>
      </c>
      <c r="G161" s="20">
        <v>8</v>
      </c>
      <c r="H161" s="20">
        <v>380</v>
      </c>
      <c r="I161" s="23">
        <v>0.11315789473684211</v>
      </c>
      <c r="J161" s="23">
        <v>0.47368421052631576</v>
      </c>
      <c r="K161" s="23">
        <v>0.39210526315789473</v>
      </c>
      <c r="L161" s="23">
        <v>2.1052631578947368E-2</v>
      </c>
      <c r="M161" s="21">
        <v>60.778947368421051</v>
      </c>
    </row>
    <row r="162" spans="1:13" x14ac:dyDescent="0.25">
      <c r="A162" s="19">
        <v>0.80790960451977401</v>
      </c>
      <c r="B162" s="19">
        <v>7.909604519774012E-2</v>
      </c>
      <c r="C162" s="19">
        <v>0.11016949152542373</v>
      </c>
      <c r="D162" s="20">
        <v>80</v>
      </c>
      <c r="E162" s="20">
        <v>244</v>
      </c>
      <c r="F162" s="20">
        <v>205</v>
      </c>
      <c r="G162" s="20">
        <v>13</v>
      </c>
      <c r="H162" s="20">
        <v>542</v>
      </c>
      <c r="I162" s="23">
        <v>0.14760147601476015</v>
      </c>
      <c r="J162" s="23">
        <v>0.45018450184501846</v>
      </c>
      <c r="K162" s="23">
        <v>0.37822878228782286</v>
      </c>
      <c r="L162" s="23">
        <v>2.3985239852398525E-2</v>
      </c>
      <c r="M162" s="21">
        <v>52.230627306273064</v>
      </c>
    </row>
    <row r="163" spans="1:13" x14ac:dyDescent="0.25">
      <c r="A163" s="19">
        <v>0.82</v>
      </c>
      <c r="B163" s="19">
        <v>7.7142857142857138E-2</v>
      </c>
      <c r="C163" s="19">
        <v>0.1</v>
      </c>
      <c r="D163" s="20">
        <v>100</v>
      </c>
      <c r="E163" s="20">
        <v>220</v>
      </c>
      <c r="F163" s="20">
        <v>221</v>
      </c>
      <c r="G163" s="20">
        <v>1</v>
      </c>
      <c r="H163" s="20">
        <v>542</v>
      </c>
      <c r="I163" s="23">
        <v>0.18450184501845018</v>
      </c>
      <c r="J163" s="23">
        <v>0.4059040590405904</v>
      </c>
      <c r="K163" s="23">
        <v>0.40774907749077488</v>
      </c>
      <c r="L163" s="23">
        <v>1.8450184501845018E-3</v>
      </c>
      <c r="M163" s="21">
        <v>39.76568265682657</v>
      </c>
    </row>
    <row r="164" spans="1:13" x14ac:dyDescent="0.25">
      <c r="A164" s="19">
        <v>0.80323450134770891</v>
      </c>
      <c r="B164" s="19">
        <v>0.11051212938005391</v>
      </c>
      <c r="C164" s="19">
        <v>8.3557951482479784E-2</v>
      </c>
      <c r="D164" s="20">
        <v>123</v>
      </c>
      <c r="E164" s="20">
        <v>189</v>
      </c>
      <c r="F164" s="20">
        <v>228</v>
      </c>
      <c r="G164" s="20">
        <v>2</v>
      </c>
      <c r="H164" s="20">
        <v>542</v>
      </c>
      <c r="I164" s="23">
        <v>0.22693726937269373</v>
      </c>
      <c r="J164" s="23">
        <v>0.34870848708487084</v>
      </c>
      <c r="K164" s="23">
        <v>0.42066420664206644</v>
      </c>
      <c r="L164" s="23">
        <v>3.6900369003690036E-3</v>
      </c>
      <c r="M164" s="21">
        <v>26.06088560885609</v>
      </c>
    </row>
    <row r="165" spans="1:13" x14ac:dyDescent="0.25">
      <c r="A165" s="19">
        <v>0.79802955665024633</v>
      </c>
      <c r="B165" s="19">
        <v>1.9704433497536946E-2</v>
      </c>
      <c r="C165" s="19">
        <v>0.14778325123152711</v>
      </c>
      <c r="D165" s="20">
        <v>3</v>
      </c>
      <c r="E165" s="20">
        <v>364</v>
      </c>
      <c r="F165" s="20">
        <v>11</v>
      </c>
      <c r="G165" s="20">
        <v>2</v>
      </c>
      <c r="H165" s="20">
        <v>380</v>
      </c>
      <c r="I165" s="23">
        <v>7.8947368421052634E-3</v>
      </c>
      <c r="J165" s="23">
        <v>0.95789473684210524</v>
      </c>
      <c r="K165" s="23">
        <v>2.8947368421052631E-2</v>
      </c>
      <c r="L165" s="23">
        <v>5.263157894736842E-3</v>
      </c>
      <c r="M165" s="21">
        <v>76.205263157894734</v>
      </c>
    </row>
    <row r="166" spans="1:13" x14ac:dyDescent="0.25">
      <c r="A166" s="19">
        <v>0.86738351254480284</v>
      </c>
      <c r="B166" s="19">
        <v>1.0752688172043012E-2</v>
      </c>
      <c r="C166" s="19">
        <v>0.11469534050179211</v>
      </c>
      <c r="D166" s="20">
        <v>2</v>
      </c>
      <c r="E166" s="20">
        <v>360</v>
      </c>
      <c r="F166" s="20">
        <v>16</v>
      </c>
      <c r="G166" s="20">
        <v>2</v>
      </c>
      <c r="H166" s="20">
        <v>380</v>
      </c>
      <c r="I166" s="23">
        <v>5.263157894736842E-3</v>
      </c>
      <c r="J166" s="23">
        <v>0.94736842105263153</v>
      </c>
      <c r="K166" s="23">
        <v>4.2105263157894736E-2</v>
      </c>
      <c r="L166" s="23">
        <v>5.263157894736842E-3</v>
      </c>
      <c r="M166" s="21">
        <v>71.118421052631575</v>
      </c>
    </row>
    <row r="167" spans="1:13" x14ac:dyDescent="0.25">
      <c r="A167" s="19">
        <v>0.89456869009584661</v>
      </c>
      <c r="B167" s="19">
        <v>3.1948881789137379E-3</v>
      </c>
      <c r="C167" s="19">
        <v>8.3067092651757185E-2</v>
      </c>
      <c r="D167" s="20">
        <v>1</v>
      </c>
      <c r="E167" s="20">
        <v>358</v>
      </c>
      <c r="F167" s="20">
        <v>19</v>
      </c>
      <c r="G167" s="20">
        <v>2</v>
      </c>
      <c r="H167" s="20">
        <v>380</v>
      </c>
      <c r="I167" s="23">
        <v>2.631578947368421E-3</v>
      </c>
      <c r="J167" s="23">
        <v>0.94210526315789478</v>
      </c>
      <c r="K167" s="23">
        <v>0.05</v>
      </c>
      <c r="L167" s="23">
        <v>5.263157894736842E-3</v>
      </c>
      <c r="M167" s="21">
        <v>64</v>
      </c>
    </row>
    <row r="168" spans="1:13" x14ac:dyDescent="0.25">
      <c r="A168" s="19">
        <v>0.89836065573770496</v>
      </c>
      <c r="B168" s="19">
        <v>9.8360655737704927E-3</v>
      </c>
      <c r="C168" s="19">
        <v>8.1967213114754092E-2</v>
      </c>
      <c r="D168" s="20">
        <v>8</v>
      </c>
      <c r="E168" s="20">
        <v>361</v>
      </c>
      <c r="F168" s="20">
        <v>10</v>
      </c>
      <c r="G168" s="20">
        <v>1</v>
      </c>
      <c r="H168" s="20">
        <v>380</v>
      </c>
      <c r="I168" s="23">
        <v>2.1052631578947368E-2</v>
      </c>
      <c r="J168" s="23">
        <v>0.95</v>
      </c>
      <c r="K168" s="23">
        <v>2.6315789473684209E-2</v>
      </c>
      <c r="L168" s="23">
        <v>2.631578947368421E-3</v>
      </c>
      <c r="M168" s="21">
        <v>58.797368421052632</v>
      </c>
    </row>
    <row r="169" spans="1:13" x14ac:dyDescent="0.25">
      <c r="A169" s="19">
        <v>0.94871794871794868</v>
      </c>
      <c r="B169" s="19">
        <v>1.4652014652014652E-2</v>
      </c>
      <c r="C169" s="19">
        <v>3.47985347985348E-2</v>
      </c>
      <c r="D169" s="20">
        <v>5</v>
      </c>
      <c r="E169" s="20">
        <v>621</v>
      </c>
      <c r="F169" s="20">
        <v>18</v>
      </c>
      <c r="G169" s="20">
        <v>1</v>
      </c>
      <c r="H169" s="20">
        <v>645</v>
      </c>
      <c r="I169" s="23">
        <v>7.7519379844961239E-3</v>
      </c>
      <c r="J169" s="23">
        <v>0.96279069767441861</v>
      </c>
      <c r="K169" s="23">
        <v>2.7906976744186046E-2</v>
      </c>
      <c r="L169" s="23">
        <v>1.5503875968992248E-3</v>
      </c>
      <c r="M169" s="21">
        <v>52.096124031007754</v>
      </c>
    </row>
    <row r="170" spans="1:13" x14ac:dyDescent="0.25">
      <c r="A170" s="19">
        <v>0.95151515151515154</v>
      </c>
      <c r="B170" s="19">
        <v>6.0606060606060606E-3</v>
      </c>
      <c r="C170" s="19">
        <v>4.2424242424242427E-2</v>
      </c>
      <c r="D170" s="20">
        <v>12</v>
      </c>
      <c r="E170" s="20">
        <v>607</v>
      </c>
      <c r="F170" s="20">
        <v>26</v>
      </c>
      <c r="G170" s="20">
        <v>0</v>
      </c>
      <c r="H170" s="20">
        <v>645</v>
      </c>
      <c r="I170" s="23">
        <v>1.8604651162790697E-2</v>
      </c>
      <c r="J170" s="23">
        <v>0.94108527131782949</v>
      </c>
      <c r="K170" s="23">
        <v>4.0310077519379844E-2</v>
      </c>
      <c r="L170" s="23">
        <v>0</v>
      </c>
      <c r="M170" s="21">
        <v>42.181395348837206</v>
      </c>
    </row>
    <row r="171" spans="1:13" x14ac:dyDescent="0.25">
      <c r="A171" s="19">
        <v>0.92585170340681366</v>
      </c>
      <c r="B171" s="19">
        <v>2.4048096192384769E-2</v>
      </c>
      <c r="C171" s="19">
        <v>5.0100200400801605E-2</v>
      </c>
      <c r="D171" s="20">
        <v>43</v>
      </c>
      <c r="E171" s="20">
        <v>562</v>
      </c>
      <c r="F171" s="20">
        <v>39</v>
      </c>
      <c r="G171" s="20">
        <v>1</v>
      </c>
      <c r="H171" s="20">
        <v>645</v>
      </c>
      <c r="I171" s="23">
        <v>6.6666666666666666E-2</v>
      </c>
      <c r="J171" s="23">
        <v>0.87131782945736436</v>
      </c>
      <c r="K171" s="23">
        <v>6.0465116279069767E-2</v>
      </c>
      <c r="L171" s="23">
        <v>1.5503875968992248E-3</v>
      </c>
      <c r="M171" s="21">
        <v>27.190697674418605</v>
      </c>
    </row>
    <row r="172" spans="1:13" x14ac:dyDescent="0.25">
      <c r="A172" s="19">
        <v>0.3991769547325103</v>
      </c>
      <c r="B172" s="19">
        <v>0.13580246913580246</v>
      </c>
      <c r="C172" s="19">
        <v>0.45267489711934156</v>
      </c>
      <c r="D172" s="20">
        <v>171</v>
      </c>
      <c r="E172" s="20">
        <v>65</v>
      </c>
      <c r="F172" s="20">
        <v>77</v>
      </c>
      <c r="G172" s="20">
        <v>3</v>
      </c>
      <c r="H172" s="20">
        <v>316</v>
      </c>
      <c r="I172" s="23">
        <v>0.54113924050632911</v>
      </c>
      <c r="J172" s="23">
        <v>0.20569620253164558</v>
      </c>
      <c r="K172" s="23">
        <v>0.24367088607594936</v>
      </c>
      <c r="L172" s="23">
        <v>9.4936708860759497E-3</v>
      </c>
      <c r="M172" s="21">
        <v>48.566455696202532</v>
      </c>
    </row>
    <row r="173" spans="1:13" x14ac:dyDescent="0.25">
      <c r="A173" s="19">
        <v>0.37164750957854409</v>
      </c>
      <c r="B173" s="19">
        <v>0.27586206896551724</v>
      </c>
      <c r="C173" s="19">
        <v>0.33716475095785442</v>
      </c>
      <c r="D173" s="20">
        <v>211</v>
      </c>
      <c r="E173" s="20">
        <v>59</v>
      </c>
      <c r="F173" s="20">
        <v>47</v>
      </c>
      <c r="G173" s="20">
        <v>0</v>
      </c>
      <c r="H173" s="20">
        <v>317</v>
      </c>
      <c r="I173" s="23">
        <v>0.66561514195583593</v>
      </c>
      <c r="J173" s="23">
        <v>0.18611987381703471</v>
      </c>
      <c r="K173" s="23">
        <v>0.14826498422712933</v>
      </c>
      <c r="L173" s="23">
        <v>0</v>
      </c>
      <c r="M173" s="21">
        <v>25.050473186119874</v>
      </c>
    </row>
    <row r="174" spans="1:13" x14ac:dyDescent="0.25">
      <c r="A174" s="19">
        <v>0.36842105263157893</v>
      </c>
      <c r="B174" s="19">
        <v>0.30143540669856461</v>
      </c>
      <c r="C174" s="19">
        <v>0.32775119617224879</v>
      </c>
      <c r="D174" s="20">
        <v>233</v>
      </c>
      <c r="E174" s="20">
        <v>45</v>
      </c>
      <c r="F174" s="20">
        <v>39</v>
      </c>
      <c r="G174" s="20">
        <v>3</v>
      </c>
      <c r="H174" s="20">
        <v>320</v>
      </c>
      <c r="I174" s="23">
        <v>0.72812500000000002</v>
      </c>
      <c r="J174" s="23">
        <v>0.140625</v>
      </c>
      <c r="K174" s="23">
        <v>0.121875</v>
      </c>
      <c r="L174" s="23">
        <v>9.3749999999999997E-3</v>
      </c>
      <c r="M174" s="21">
        <v>69.915625000000006</v>
      </c>
    </row>
    <row r="175" spans="1:13" x14ac:dyDescent="0.25">
      <c r="A175" s="19">
        <v>0.36666666666666664</v>
      </c>
      <c r="B175" s="19">
        <v>0.3288888888888889</v>
      </c>
      <c r="C175" s="19">
        <v>0.30444444444444446</v>
      </c>
      <c r="D175" s="20">
        <v>263</v>
      </c>
      <c r="E175" s="20">
        <v>28</v>
      </c>
      <c r="F175" s="20">
        <v>26</v>
      </c>
      <c r="G175" s="20">
        <v>3</v>
      </c>
      <c r="H175" s="20">
        <v>320</v>
      </c>
      <c r="I175" s="23">
        <v>0.82187500000000002</v>
      </c>
      <c r="J175" s="23">
        <v>8.7499999999999994E-2</v>
      </c>
      <c r="K175" s="23">
        <v>8.1250000000000003E-2</v>
      </c>
      <c r="L175" s="23">
        <v>9.3749999999999997E-3</v>
      </c>
      <c r="M175" s="21">
        <v>61.565624999999997</v>
      </c>
    </row>
    <row r="176" spans="1:13" x14ac:dyDescent="0.25">
      <c r="A176" s="19">
        <v>0.46666666666666667</v>
      </c>
      <c r="B176" s="19">
        <v>0.28387096774193549</v>
      </c>
      <c r="C176" s="19">
        <v>0.24516129032258063</v>
      </c>
      <c r="D176" s="20">
        <v>441</v>
      </c>
      <c r="E176" s="20">
        <v>76</v>
      </c>
      <c r="F176" s="20">
        <v>59</v>
      </c>
      <c r="G176" s="20">
        <v>2</v>
      </c>
      <c r="H176" s="20">
        <v>578</v>
      </c>
      <c r="I176" s="23">
        <v>0.76297577854671284</v>
      </c>
      <c r="J176" s="23">
        <v>0.13148788927335639</v>
      </c>
      <c r="K176" s="23">
        <v>0.10207612456747404</v>
      </c>
      <c r="L176" s="23">
        <v>3.4602076124567475E-3</v>
      </c>
      <c r="M176" s="21">
        <v>45.673010380622834</v>
      </c>
    </row>
    <row r="177" spans="1:13" x14ac:dyDescent="0.25">
      <c r="A177" s="19">
        <v>0.49137931034482757</v>
      </c>
      <c r="B177" s="19">
        <v>0.25</v>
      </c>
      <c r="C177" s="19">
        <v>0.25431034482758619</v>
      </c>
      <c r="D177" s="20">
        <v>514</v>
      </c>
      <c r="E177" s="20">
        <v>30</v>
      </c>
      <c r="F177" s="20">
        <v>34</v>
      </c>
      <c r="G177" s="20">
        <v>0</v>
      </c>
      <c r="H177" s="20">
        <v>578</v>
      </c>
      <c r="I177" s="23">
        <v>0.88927335640138405</v>
      </c>
      <c r="J177" s="23">
        <v>5.1903114186851208E-2</v>
      </c>
      <c r="K177" s="23">
        <v>5.8823529411764705E-2</v>
      </c>
      <c r="L177" s="23">
        <v>0</v>
      </c>
      <c r="M177" s="21">
        <v>36.463667820069205</v>
      </c>
    </row>
    <row r="178" spans="1:13" x14ac:dyDescent="0.25">
      <c r="A178" s="19">
        <v>0.49377593360995853</v>
      </c>
      <c r="B178" s="19">
        <v>0.30290456431535268</v>
      </c>
      <c r="C178" s="19">
        <v>0.2033195020746888</v>
      </c>
      <c r="D178" s="20">
        <v>476</v>
      </c>
      <c r="E178" s="20">
        <v>57</v>
      </c>
      <c r="F178" s="20">
        <v>45</v>
      </c>
      <c r="G178" s="20">
        <v>1</v>
      </c>
      <c r="H178" s="20">
        <v>579</v>
      </c>
      <c r="I178" s="23">
        <v>0.82210708117443865</v>
      </c>
      <c r="J178" s="23">
        <v>9.8445595854922283E-2</v>
      </c>
      <c r="K178" s="23">
        <v>7.7720207253886009E-2</v>
      </c>
      <c r="L178" s="23">
        <v>1.7271157167530224E-3</v>
      </c>
      <c r="M178" s="21">
        <v>25.511226252158895</v>
      </c>
    </row>
    <row r="179" spans="1:13" x14ac:dyDescent="0.25">
      <c r="A179" s="19">
        <v>0.86868686868686873</v>
      </c>
      <c r="B179" s="19">
        <v>2.5252525252525252E-2</v>
      </c>
      <c r="C179" s="19">
        <v>8.5858585858585856E-2</v>
      </c>
      <c r="D179" s="20">
        <v>27</v>
      </c>
      <c r="E179" s="20">
        <v>135</v>
      </c>
      <c r="F179" s="20">
        <v>144</v>
      </c>
      <c r="G179" s="20">
        <v>14</v>
      </c>
      <c r="H179" s="20">
        <v>320</v>
      </c>
      <c r="I179" s="23">
        <v>8.4375000000000006E-2</v>
      </c>
      <c r="J179" s="23">
        <v>0.421875</v>
      </c>
      <c r="K179" s="23">
        <v>0.45</v>
      </c>
      <c r="L179" s="23">
        <v>4.3749999999999997E-2</v>
      </c>
      <c r="M179" s="21">
        <v>73.478125000000006</v>
      </c>
    </row>
    <row r="180" spans="1:13" x14ac:dyDescent="0.25">
      <c r="A180" s="19">
        <v>0.8515625</v>
      </c>
      <c r="B180" s="19">
        <v>3.90625E-2</v>
      </c>
      <c r="C180" s="19">
        <v>0.1015625</v>
      </c>
      <c r="D180" s="20">
        <v>38</v>
      </c>
      <c r="E180" s="20">
        <v>128</v>
      </c>
      <c r="F180" s="20">
        <v>136</v>
      </c>
      <c r="G180" s="20">
        <v>18</v>
      </c>
      <c r="H180" s="20">
        <v>320</v>
      </c>
      <c r="I180" s="23">
        <v>0.11874999999999999</v>
      </c>
      <c r="J180" s="23">
        <v>0.4</v>
      </c>
      <c r="K180" s="23">
        <v>0.42499999999999999</v>
      </c>
      <c r="L180" s="23">
        <v>5.6250000000000001E-2</v>
      </c>
      <c r="M180" s="21">
        <v>55.353124999999999</v>
      </c>
    </row>
    <row r="181" spans="1:13" x14ac:dyDescent="0.25">
      <c r="A181" s="19">
        <v>0.82371794871794868</v>
      </c>
      <c r="B181" s="19">
        <v>7.0512820512820512E-2</v>
      </c>
      <c r="C181" s="19">
        <v>0.10576923076923077</v>
      </c>
      <c r="D181" s="20">
        <v>77</v>
      </c>
      <c r="E181" s="20">
        <v>174</v>
      </c>
      <c r="F181" s="20">
        <v>175</v>
      </c>
      <c r="G181" s="20">
        <v>6</v>
      </c>
      <c r="H181" s="20">
        <v>432</v>
      </c>
      <c r="I181" s="23">
        <v>0.17824074074074073</v>
      </c>
      <c r="J181" s="23">
        <v>0.40277777777777779</v>
      </c>
      <c r="K181" s="23">
        <v>0.40509259259259262</v>
      </c>
      <c r="L181" s="23">
        <v>1.3888888888888888E-2</v>
      </c>
      <c r="M181" s="21">
        <v>37.807870370370374</v>
      </c>
    </row>
    <row r="182" spans="1:13" x14ac:dyDescent="0.25">
      <c r="A182" s="19">
        <v>0.84507042253521125</v>
      </c>
      <c r="B182" s="19">
        <v>2.8169014084507043E-2</v>
      </c>
      <c r="C182" s="19">
        <v>0.107981220657277</v>
      </c>
      <c r="D182" s="20">
        <v>27</v>
      </c>
      <c r="E182" s="20">
        <v>251</v>
      </c>
      <c r="F182" s="20">
        <v>94</v>
      </c>
      <c r="G182" s="20">
        <v>8</v>
      </c>
      <c r="H182" s="20">
        <v>380</v>
      </c>
      <c r="I182" s="23">
        <v>7.1052631578947367E-2</v>
      </c>
      <c r="J182" s="23">
        <v>0.66052631578947374</v>
      </c>
      <c r="K182" s="23">
        <v>0.24736842105263157</v>
      </c>
      <c r="L182" s="23">
        <v>2.1052631578947368E-2</v>
      </c>
      <c r="M182" s="21">
        <v>76.184210526315795</v>
      </c>
    </row>
    <row r="183" spans="1:13" x14ac:dyDescent="0.25">
      <c r="A183" s="19">
        <v>0.85416666666666663</v>
      </c>
      <c r="B183" s="19">
        <v>4.1666666666666664E-2</v>
      </c>
      <c r="C183" s="19">
        <v>0.10416666666666667</v>
      </c>
      <c r="D183" s="20">
        <v>42</v>
      </c>
      <c r="E183" s="20">
        <v>239</v>
      </c>
      <c r="F183" s="20">
        <v>93</v>
      </c>
      <c r="G183" s="20">
        <v>6</v>
      </c>
      <c r="H183" s="20">
        <v>380</v>
      </c>
      <c r="I183" s="23">
        <v>0.11052631578947368</v>
      </c>
      <c r="J183" s="23">
        <v>0.62894736842105259</v>
      </c>
      <c r="K183" s="23">
        <v>0.24473684210526317</v>
      </c>
      <c r="L183" s="23">
        <v>1.5789473684210527E-2</v>
      </c>
      <c r="M183" s="21">
        <v>63.478947368421053</v>
      </c>
    </row>
    <row r="184" spans="1:13" x14ac:dyDescent="0.25">
      <c r="A184" s="19">
        <v>0.83486238532110091</v>
      </c>
      <c r="B184" s="19">
        <v>2.7522935779816515E-2</v>
      </c>
      <c r="C184" s="19">
        <v>0.12538226299694188</v>
      </c>
      <c r="D184" s="20">
        <v>45</v>
      </c>
      <c r="E184" s="20">
        <v>276</v>
      </c>
      <c r="F184" s="20">
        <v>101</v>
      </c>
      <c r="G184" s="20">
        <v>13</v>
      </c>
      <c r="H184" s="20">
        <v>435</v>
      </c>
      <c r="I184" s="23">
        <v>0.10344827586206896</v>
      </c>
      <c r="J184" s="23">
        <v>0.6344827586206897</v>
      </c>
      <c r="K184" s="23">
        <v>0.23218390804597702</v>
      </c>
      <c r="L184" s="23">
        <v>2.9885057471264367E-2</v>
      </c>
      <c r="M184" s="21">
        <v>52.793103448275865</v>
      </c>
    </row>
    <row r="185" spans="1:13" x14ac:dyDescent="0.25">
      <c r="A185" s="19">
        <v>0.81188118811881194</v>
      </c>
      <c r="B185" s="19">
        <v>6.2706270627062702E-2</v>
      </c>
      <c r="C185" s="19">
        <v>0.11881188118811881</v>
      </c>
      <c r="D185" s="20">
        <v>66</v>
      </c>
      <c r="E185" s="20">
        <v>258</v>
      </c>
      <c r="F185" s="20">
        <v>105</v>
      </c>
      <c r="G185" s="20">
        <v>7</v>
      </c>
      <c r="H185" s="20">
        <v>436</v>
      </c>
      <c r="I185" s="23">
        <v>0.15137614678899083</v>
      </c>
      <c r="J185" s="23">
        <v>0.59174311926605505</v>
      </c>
      <c r="K185" s="23">
        <v>0.24082568807339449</v>
      </c>
      <c r="L185" s="23">
        <v>1.6055045871559634E-2</v>
      </c>
      <c r="M185" s="21">
        <v>39.199541284403672</v>
      </c>
    </row>
    <row r="186" spans="1:13" x14ac:dyDescent="0.25">
      <c r="A186" s="19">
        <v>0.71692307692307689</v>
      </c>
      <c r="B186" s="19">
        <v>0.12615384615384614</v>
      </c>
      <c r="C186" s="19">
        <v>0.15076923076923077</v>
      </c>
      <c r="D186" s="20">
        <v>125</v>
      </c>
      <c r="E186" s="20">
        <v>215</v>
      </c>
      <c r="F186" s="20">
        <v>85</v>
      </c>
      <c r="G186" s="20">
        <v>11</v>
      </c>
      <c r="H186" s="20">
        <v>436</v>
      </c>
      <c r="I186" s="23">
        <v>0.28669724770642202</v>
      </c>
      <c r="J186" s="23">
        <v>0.49311926605504586</v>
      </c>
      <c r="K186" s="23">
        <v>0.19495412844036697</v>
      </c>
      <c r="L186" s="23">
        <v>2.5229357798165139E-2</v>
      </c>
      <c r="M186" s="21">
        <v>26.522935779816514</v>
      </c>
    </row>
    <row r="187" spans="1:13" x14ac:dyDescent="0.25">
      <c r="A187" s="19">
        <v>0.68016194331983804</v>
      </c>
      <c r="B187" s="19">
        <v>6.0728744939271252E-2</v>
      </c>
      <c r="C187" s="19">
        <v>0.23886639676113361</v>
      </c>
      <c r="D187" s="20">
        <v>66</v>
      </c>
      <c r="E187" s="20">
        <v>126</v>
      </c>
      <c r="F187" s="20">
        <v>180</v>
      </c>
      <c r="G187" s="20">
        <v>8</v>
      </c>
      <c r="H187" s="20">
        <v>380</v>
      </c>
      <c r="I187" s="23">
        <v>0.1736842105263158</v>
      </c>
      <c r="J187" s="23">
        <v>0.33157894736842103</v>
      </c>
      <c r="K187" s="23">
        <v>0.47368421052631576</v>
      </c>
      <c r="L187" s="23">
        <v>2.1052631578947368E-2</v>
      </c>
      <c r="M187" s="21">
        <v>72.284210526315789</v>
      </c>
    </row>
    <row r="188" spans="1:13" x14ac:dyDescent="0.25">
      <c r="A188" s="19">
        <v>0.74426229508196717</v>
      </c>
      <c r="B188" s="19">
        <v>5.5737704918032788E-2</v>
      </c>
      <c r="C188" s="19">
        <v>0.18360655737704917</v>
      </c>
      <c r="D188" s="20">
        <v>77</v>
      </c>
      <c r="E188" s="20">
        <v>91</v>
      </c>
      <c r="F188" s="20">
        <v>204</v>
      </c>
      <c r="G188" s="20">
        <v>8</v>
      </c>
      <c r="H188" s="20">
        <v>380</v>
      </c>
      <c r="I188" s="23">
        <v>0.20263157894736841</v>
      </c>
      <c r="J188" s="23">
        <v>0.23947368421052631</v>
      </c>
      <c r="K188" s="23">
        <v>0.5368421052631579</v>
      </c>
      <c r="L188" s="23">
        <v>2.1052631578947368E-2</v>
      </c>
      <c r="M188" s="21">
        <v>65.305263157894743</v>
      </c>
    </row>
    <row r="189" spans="1:13" x14ac:dyDescent="0.25">
      <c r="A189" s="19">
        <v>0.68571428571428572</v>
      </c>
      <c r="B189" s="19">
        <v>9.5238095238095233E-2</v>
      </c>
      <c r="C189" s="19">
        <v>0.19682539682539682</v>
      </c>
      <c r="D189" s="20">
        <v>92</v>
      </c>
      <c r="E189" s="20">
        <v>82</v>
      </c>
      <c r="F189" s="20">
        <v>195</v>
      </c>
      <c r="G189" s="20">
        <v>11</v>
      </c>
      <c r="H189" s="20">
        <v>380</v>
      </c>
      <c r="I189" s="23">
        <v>0.24210526315789474</v>
      </c>
      <c r="J189" s="23">
        <v>0.21578947368421053</v>
      </c>
      <c r="K189" s="23">
        <v>0.51315789473684215</v>
      </c>
      <c r="L189" s="23">
        <v>2.8947368421052631E-2</v>
      </c>
      <c r="M189" s="21">
        <v>56.873684210526314</v>
      </c>
    </row>
    <row r="190" spans="1:13" x14ac:dyDescent="0.25">
      <c r="A190" s="19">
        <v>0.55860349127182041</v>
      </c>
      <c r="B190" s="19">
        <v>0.14962593516209477</v>
      </c>
      <c r="C190" s="19">
        <v>0.20698254364089774</v>
      </c>
      <c r="D190" s="20">
        <v>276</v>
      </c>
      <c r="E190" s="20">
        <v>135</v>
      </c>
      <c r="F190" s="20">
        <v>173</v>
      </c>
      <c r="G190" s="20">
        <v>13</v>
      </c>
      <c r="H190" s="20">
        <v>597</v>
      </c>
      <c r="I190" s="23">
        <v>0.46231155778894473</v>
      </c>
      <c r="J190" s="23">
        <v>0.22613065326633167</v>
      </c>
      <c r="K190" s="23">
        <v>0.2897822445561139</v>
      </c>
      <c r="L190" s="23">
        <v>2.1775544388609715E-2</v>
      </c>
      <c r="M190" s="21">
        <v>49.077051926298161</v>
      </c>
    </row>
    <row r="191" spans="1:13" x14ac:dyDescent="0.25">
      <c r="A191" s="19">
        <v>0.64523809523809528</v>
      </c>
      <c r="B191" s="19">
        <v>0.19285714285714287</v>
      </c>
      <c r="C191" s="19">
        <v>0.15952380952380951</v>
      </c>
      <c r="D191" s="20">
        <v>261</v>
      </c>
      <c r="E191" s="20">
        <v>99</v>
      </c>
      <c r="F191" s="20">
        <v>224</v>
      </c>
      <c r="G191" s="20">
        <v>13</v>
      </c>
      <c r="H191" s="20">
        <v>597</v>
      </c>
      <c r="I191" s="23">
        <v>0.43718592964824121</v>
      </c>
      <c r="J191" s="23">
        <v>0.16582914572864321</v>
      </c>
      <c r="K191" s="23">
        <v>0.37520938023450584</v>
      </c>
      <c r="L191" s="23">
        <v>2.1775544388609715E-2</v>
      </c>
      <c r="M191" s="21">
        <v>41.825795644891123</v>
      </c>
    </row>
    <row r="192" spans="1:13" x14ac:dyDescent="0.25">
      <c r="A192" s="19">
        <v>0.67929292929292928</v>
      </c>
      <c r="B192" s="19">
        <v>0.14141414141414141</v>
      </c>
      <c r="C192" s="19">
        <v>0.16666666666666666</v>
      </c>
      <c r="D192" s="20">
        <v>268</v>
      </c>
      <c r="E192" s="20">
        <v>82</v>
      </c>
      <c r="F192" s="20">
        <v>238</v>
      </c>
      <c r="G192" s="20">
        <v>10</v>
      </c>
      <c r="H192" s="20">
        <v>598</v>
      </c>
      <c r="I192" s="23">
        <v>0.44816053511705684</v>
      </c>
      <c r="J192" s="23">
        <v>0.13712374581939799</v>
      </c>
      <c r="K192" s="23">
        <v>0.39799331103678931</v>
      </c>
      <c r="L192" s="23">
        <v>1.6722408026755852E-2</v>
      </c>
      <c r="M192" s="21">
        <v>35.449832775919731</v>
      </c>
    </row>
    <row r="193" spans="1:13" x14ac:dyDescent="0.25">
      <c r="A193" s="19">
        <v>0.72270742358078599</v>
      </c>
      <c r="B193" s="19">
        <v>0.14192139737991266</v>
      </c>
      <c r="C193" s="19">
        <v>0.12882096069868995</v>
      </c>
      <c r="D193" s="20">
        <v>210</v>
      </c>
      <c r="E193" s="20">
        <v>87</v>
      </c>
      <c r="F193" s="20">
        <v>301</v>
      </c>
      <c r="G193" s="20">
        <v>0</v>
      </c>
      <c r="H193" s="20">
        <v>598</v>
      </c>
      <c r="I193" s="23">
        <v>0.3511705685618729</v>
      </c>
      <c r="J193" s="23">
        <v>0.14548494983277591</v>
      </c>
      <c r="K193" s="23">
        <v>0.50334448160535117</v>
      </c>
      <c r="L193" s="23">
        <v>0</v>
      </c>
      <c r="M193" s="21">
        <v>25.008361204013379</v>
      </c>
    </row>
    <row r="194" spans="1:13" x14ac:dyDescent="0.25">
      <c r="A194" s="19">
        <v>0.77153558052434457</v>
      </c>
      <c r="B194" s="19">
        <v>2.9962546816479401E-2</v>
      </c>
      <c r="C194" s="19">
        <v>0.19101123595505617</v>
      </c>
      <c r="D194" s="20">
        <v>189</v>
      </c>
      <c r="E194" s="20">
        <v>123</v>
      </c>
      <c r="F194" s="20">
        <v>56</v>
      </c>
      <c r="G194" s="20">
        <v>2</v>
      </c>
      <c r="H194" s="20">
        <v>370</v>
      </c>
      <c r="I194" s="23">
        <v>0.51081081081081081</v>
      </c>
      <c r="J194" s="23">
        <v>0.33243243243243242</v>
      </c>
      <c r="K194" s="23">
        <v>0.15135135135135136</v>
      </c>
      <c r="L194" s="23">
        <v>5.4054054054054057E-3</v>
      </c>
      <c r="M194" s="21">
        <v>65.248648648648654</v>
      </c>
    </row>
    <row r="195" spans="1:13" x14ac:dyDescent="0.25">
      <c r="A195" s="19">
        <v>0.81172839506172845</v>
      </c>
      <c r="B195" s="19">
        <v>3.0864197530864196E-2</v>
      </c>
      <c r="C195" s="19">
        <v>0.15740740740740741</v>
      </c>
      <c r="D195" s="20">
        <v>190</v>
      </c>
      <c r="E195" s="20">
        <v>157</v>
      </c>
      <c r="F195" s="20">
        <v>80</v>
      </c>
      <c r="G195" s="20">
        <v>2</v>
      </c>
      <c r="H195" s="20">
        <v>429</v>
      </c>
      <c r="I195" s="23">
        <v>0.44289044289044288</v>
      </c>
      <c r="J195" s="23">
        <v>0.36596736596736595</v>
      </c>
      <c r="K195" s="23">
        <v>0.18648018648018649</v>
      </c>
      <c r="L195" s="23">
        <v>4.662004662004662E-3</v>
      </c>
      <c r="M195" s="21">
        <v>44.694638694638698</v>
      </c>
    </row>
    <row r="196" spans="1:13" x14ac:dyDescent="0.25">
      <c r="A196" s="19">
        <v>0.82461538461538464</v>
      </c>
      <c r="B196" s="19">
        <v>0.04</v>
      </c>
      <c r="C196" s="19">
        <v>0.13230769230769232</v>
      </c>
      <c r="D196" s="20">
        <v>356</v>
      </c>
      <c r="E196" s="20">
        <v>51</v>
      </c>
      <c r="F196" s="20">
        <v>22</v>
      </c>
      <c r="G196" s="20">
        <v>0</v>
      </c>
      <c r="H196" s="20">
        <v>429</v>
      </c>
      <c r="I196" s="23">
        <v>0.82983682983682983</v>
      </c>
      <c r="J196" s="23">
        <v>0.11888111888111888</v>
      </c>
      <c r="K196" s="23">
        <v>5.128205128205128E-2</v>
      </c>
      <c r="L196" s="23">
        <v>0</v>
      </c>
      <c r="M196" s="21">
        <v>27.547785547785548</v>
      </c>
    </row>
    <row r="197" spans="1:13" x14ac:dyDescent="0.25">
      <c r="A197" s="19">
        <v>0.88304093567251463</v>
      </c>
      <c r="B197" s="19">
        <v>5.2631578947368418E-2</v>
      </c>
      <c r="C197" s="19">
        <v>5.6530214424951264E-2</v>
      </c>
      <c r="D197" s="20">
        <v>46</v>
      </c>
      <c r="E197" s="20">
        <v>279</v>
      </c>
      <c r="F197" s="20">
        <v>54</v>
      </c>
      <c r="G197" s="20">
        <v>1</v>
      </c>
      <c r="H197" s="20">
        <v>380</v>
      </c>
      <c r="I197" s="23">
        <v>0.12105263157894737</v>
      </c>
      <c r="J197" s="23">
        <v>0.73421052631578942</v>
      </c>
      <c r="K197" s="23">
        <v>0.14210526315789473</v>
      </c>
      <c r="L197" s="23">
        <v>2.631578947368421E-3</v>
      </c>
      <c r="M197" s="21">
        <v>69.815789473684205</v>
      </c>
    </row>
    <row r="198" spans="1:13" x14ac:dyDescent="0.25">
      <c r="A198" s="19">
        <v>0.89324618736383443</v>
      </c>
      <c r="B198" s="19">
        <v>3.9215686274509803E-2</v>
      </c>
      <c r="C198" s="19">
        <v>6.7538126361655779E-2</v>
      </c>
      <c r="D198" s="20">
        <v>48</v>
      </c>
      <c r="E198" s="20">
        <v>305</v>
      </c>
      <c r="F198" s="20">
        <v>27</v>
      </c>
      <c r="G198" s="20">
        <v>0</v>
      </c>
      <c r="H198" s="20">
        <v>380</v>
      </c>
      <c r="I198" s="23">
        <v>0.12631578947368421</v>
      </c>
      <c r="J198" s="23">
        <v>0.80263157894736847</v>
      </c>
      <c r="K198" s="23">
        <v>7.1052631578947367E-2</v>
      </c>
      <c r="L198" s="23">
        <v>0</v>
      </c>
      <c r="M198" s="21">
        <v>62.042105263157893</v>
      </c>
    </row>
    <row r="199" spans="1:13" x14ac:dyDescent="0.25">
      <c r="A199" s="19">
        <v>0.84472049689440998</v>
      </c>
      <c r="B199" s="19">
        <v>7.0393374741200831E-2</v>
      </c>
      <c r="C199" s="19">
        <v>6.2111801242236024E-2</v>
      </c>
      <c r="D199" s="20">
        <v>40</v>
      </c>
      <c r="E199" s="20">
        <v>305</v>
      </c>
      <c r="F199" s="20">
        <v>32</v>
      </c>
      <c r="G199" s="20">
        <v>3</v>
      </c>
      <c r="H199" s="20">
        <v>380</v>
      </c>
      <c r="I199" s="23">
        <v>0.10526315789473684</v>
      </c>
      <c r="J199" s="23">
        <v>0.80263157894736847</v>
      </c>
      <c r="K199" s="23">
        <v>8.4210526315789472E-2</v>
      </c>
      <c r="L199" s="23">
        <v>7.8947368421052634E-3</v>
      </c>
      <c r="M199" s="21">
        <v>54.976315789473681</v>
      </c>
    </row>
    <row r="200" spans="1:13" x14ac:dyDescent="0.25">
      <c r="A200" s="19">
        <v>0.48943661971830987</v>
      </c>
      <c r="B200" s="19">
        <v>7.3943661971830985E-2</v>
      </c>
      <c r="C200" s="19">
        <v>0.426056338028169</v>
      </c>
      <c r="D200" s="20">
        <v>52</v>
      </c>
      <c r="E200" s="20">
        <v>482</v>
      </c>
      <c r="F200" s="20">
        <v>85</v>
      </c>
      <c r="G200" s="20">
        <v>1</v>
      </c>
      <c r="H200" s="20">
        <v>620</v>
      </c>
      <c r="I200" s="23">
        <v>8.387096774193549E-2</v>
      </c>
      <c r="J200" s="23">
        <v>0.77741935483870972</v>
      </c>
      <c r="K200" s="23">
        <v>0.13709677419354838</v>
      </c>
      <c r="L200" s="23">
        <v>1.6129032258064516E-3</v>
      </c>
      <c r="M200" s="21">
        <v>47.196774193548386</v>
      </c>
    </row>
    <row r="201" spans="1:13" x14ac:dyDescent="0.25">
      <c r="A201" s="19">
        <v>0.57434402332361512</v>
      </c>
      <c r="B201" s="19">
        <v>0.15160349854227406</v>
      </c>
      <c r="C201" s="19">
        <v>0.26822157434402333</v>
      </c>
      <c r="D201" s="20">
        <v>65</v>
      </c>
      <c r="E201" s="20">
        <v>444</v>
      </c>
      <c r="F201" s="20">
        <v>112</v>
      </c>
      <c r="G201" s="20">
        <v>0</v>
      </c>
      <c r="H201" s="20">
        <v>621</v>
      </c>
      <c r="I201" s="23">
        <v>0.10466988727858294</v>
      </c>
      <c r="J201" s="23">
        <v>0.71497584541062797</v>
      </c>
      <c r="K201" s="23">
        <v>0.18035426731078905</v>
      </c>
      <c r="L201" s="23">
        <v>0</v>
      </c>
      <c r="M201" s="21">
        <v>37.122383252818032</v>
      </c>
    </row>
    <row r="202" spans="1:13" x14ac:dyDescent="0.25">
      <c r="A202" s="19">
        <v>0.33024691358024694</v>
      </c>
      <c r="B202" s="19">
        <v>0.35185185185185186</v>
      </c>
      <c r="C202" s="19">
        <v>0.31481481481481483</v>
      </c>
      <c r="D202" s="20">
        <v>82</v>
      </c>
      <c r="E202" s="20">
        <v>400</v>
      </c>
      <c r="F202" s="20">
        <v>138</v>
      </c>
      <c r="G202" s="20">
        <v>1</v>
      </c>
      <c r="H202" s="20">
        <v>621</v>
      </c>
      <c r="I202" s="23">
        <v>0.1320450885668277</v>
      </c>
      <c r="J202" s="23">
        <v>0.64412238325281801</v>
      </c>
      <c r="K202" s="23">
        <v>0.22222222222222221</v>
      </c>
      <c r="L202" s="23">
        <v>1.6103059581320451E-3</v>
      </c>
      <c r="M202" s="21">
        <v>24.62962962962963</v>
      </c>
    </row>
    <row r="203" spans="1:13" x14ac:dyDescent="0.25">
      <c r="A203" s="19">
        <v>0.8203125</v>
      </c>
      <c r="B203" s="19">
        <v>4.296875E-2</v>
      </c>
      <c r="C203" s="19">
        <v>0.12109375</v>
      </c>
      <c r="D203" s="20">
        <v>51</v>
      </c>
      <c r="E203" s="20">
        <v>142</v>
      </c>
      <c r="F203" s="20">
        <v>172</v>
      </c>
      <c r="G203" s="20">
        <v>15</v>
      </c>
      <c r="H203" s="20">
        <v>380</v>
      </c>
      <c r="I203" s="23">
        <v>0.13421052631578947</v>
      </c>
      <c r="J203" s="23">
        <v>0.37368421052631579</v>
      </c>
      <c r="K203" s="23">
        <v>0.45263157894736844</v>
      </c>
      <c r="L203" s="23">
        <v>3.9473684210526314E-2</v>
      </c>
      <c r="M203" s="21">
        <v>70.95</v>
      </c>
    </row>
    <row r="204" spans="1:13" x14ac:dyDescent="0.25">
      <c r="A204" s="19">
        <v>0.81625441696113077</v>
      </c>
      <c r="B204" s="19">
        <v>2.4734982332155476E-2</v>
      </c>
      <c r="C204" s="19">
        <v>0.13780918727915195</v>
      </c>
      <c r="D204" s="20">
        <v>38</v>
      </c>
      <c r="E204" s="20">
        <v>153</v>
      </c>
      <c r="F204" s="20">
        <v>181</v>
      </c>
      <c r="G204" s="20">
        <v>8</v>
      </c>
      <c r="H204" s="20">
        <v>380</v>
      </c>
      <c r="I204" s="23">
        <v>0.1</v>
      </c>
      <c r="J204" s="23">
        <v>0.4026315789473684</v>
      </c>
      <c r="K204" s="23">
        <v>0.47631578947368419</v>
      </c>
      <c r="L204" s="23">
        <v>2.1052631578947368E-2</v>
      </c>
      <c r="M204" s="21">
        <v>64.297368421052639</v>
      </c>
    </row>
    <row r="205" spans="1:13" x14ac:dyDescent="0.25">
      <c r="A205" s="19">
        <v>0.83389830508474572</v>
      </c>
      <c r="B205" s="19">
        <v>3.3898305084745763E-2</v>
      </c>
      <c r="C205" s="19">
        <v>0.12203389830508475</v>
      </c>
      <c r="D205" s="20">
        <v>40</v>
      </c>
      <c r="E205" s="20">
        <v>155</v>
      </c>
      <c r="F205" s="20">
        <v>176</v>
      </c>
      <c r="G205" s="20">
        <v>9</v>
      </c>
      <c r="H205" s="20">
        <v>380</v>
      </c>
      <c r="I205" s="23">
        <v>0.10526315789473684</v>
      </c>
      <c r="J205" s="23">
        <v>0.40789473684210525</v>
      </c>
      <c r="K205" s="23">
        <v>0.4631578947368421</v>
      </c>
      <c r="L205" s="23">
        <v>2.368421052631579E-2</v>
      </c>
      <c r="M205" s="21">
        <v>55.381578947368418</v>
      </c>
    </row>
    <row r="206" spans="1:13" x14ac:dyDescent="0.25">
      <c r="A206" s="19">
        <v>0.8482142857142857</v>
      </c>
      <c r="B206" s="19">
        <v>8.2589285714285712E-2</v>
      </c>
      <c r="C206" s="19">
        <v>6.6964285714285712E-2</v>
      </c>
      <c r="D206" s="20">
        <v>74</v>
      </c>
      <c r="E206" s="20">
        <v>260</v>
      </c>
      <c r="F206" s="20">
        <v>242</v>
      </c>
      <c r="G206" s="20">
        <v>14</v>
      </c>
      <c r="H206" s="20">
        <v>590</v>
      </c>
      <c r="I206" s="23">
        <v>0.12542372881355932</v>
      </c>
      <c r="J206" s="23">
        <v>0.44067796610169491</v>
      </c>
      <c r="K206" s="23">
        <v>0.4101694915254237</v>
      </c>
      <c r="L206" s="23">
        <v>2.3728813559322035E-2</v>
      </c>
      <c r="M206" s="21">
        <v>45.538983050847456</v>
      </c>
    </row>
    <row r="207" spans="1:13" x14ac:dyDescent="0.25">
      <c r="A207" s="19">
        <v>0.85441527446300713</v>
      </c>
      <c r="B207" s="19">
        <v>5.7279236276849645E-2</v>
      </c>
      <c r="C207" s="19">
        <v>8.5918854415274457E-2</v>
      </c>
      <c r="D207" s="20">
        <v>81</v>
      </c>
      <c r="E207" s="20">
        <v>256</v>
      </c>
      <c r="F207" s="20">
        <v>245</v>
      </c>
      <c r="G207" s="20">
        <v>8</v>
      </c>
      <c r="H207" s="20">
        <v>590</v>
      </c>
      <c r="I207" s="23">
        <v>0.13728813559322034</v>
      </c>
      <c r="J207" s="23">
        <v>0.43389830508474575</v>
      </c>
      <c r="K207" s="23">
        <v>0.4152542372881356</v>
      </c>
      <c r="L207" s="23">
        <v>1.3559322033898305E-2</v>
      </c>
      <c r="M207" s="21">
        <v>35.537288135593222</v>
      </c>
    </row>
    <row r="208" spans="1:13" x14ac:dyDescent="0.25">
      <c r="A208" s="19">
        <v>0.852112676056338</v>
      </c>
      <c r="B208" s="19">
        <v>7.0422535211267609E-2</v>
      </c>
      <c r="C208" s="19">
        <v>7.0422535211267609E-2</v>
      </c>
      <c r="D208" s="20">
        <v>85</v>
      </c>
      <c r="E208" s="20">
        <v>218</v>
      </c>
      <c r="F208" s="20">
        <v>280</v>
      </c>
      <c r="G208" s="20">
        <v>7</v>
      </c>
      <c r="H208" s="20">
        <v>590</v>
      </c>
      <c r="I208" s="23">
        <v>0.1440677966101695</v>
      </c>
      <c r="J208" s="23">
        <v>0.36949152542372882</v>
      </c>
      <c r="K208" s="23">
        <v>0.47457627118644069</v>
      </c>
      <c r="L208" s="23">
        <v>1.1864406779661017E-2</v>
      </c>
      <c r="M208" s="21">
        <v>24.349152542372881</v>
      </c>
    </row>
    <row r="209" spans="1:13" x14ac:dyDescent="0.25">
      <c r="A209" s="19">
        <v>0.80201342281879195</v>
      </c>
      <c r="B209" s="19">
        <v>3.0201342281879196E-2</v>
      </c>
      <c r="C209" s="19">
        <v>0.16778523489932887</v>
      </c>
      <c r="D209" s="20">
        <v>33</v>
      </c>
      <c r="E209" s="20">
        <v>314</v>
      </c>
      <c r="F209" s="20">
        <v>51</v>
      </c>
      <c r="G209" s="20">
        <v>2</v>
      </c>
      <c r="H209" s="20">
        <v>400</v>
      </c>
      <c r="I209" s="23">
        <v>8.2500000000000004E-2</v>
      </c>
      <c r="J209" s="23">
        <v>0.78500000000000003</v>
      </c>
      <c r="K209" s="23">
        <v>0.1275</v>
      </c>
      <c r="L209" s="23">
        <v>5.0000000000000001E-3</v>
      </c>
      <c r="M209" s="21">
        <v>69.075000000000003</v>
      </c>
    </row>
    <row r="210" spans="1:13" x14ac:dyDescent="0.25">
      <c r="A210" s="19">
        <v>0.76291079812206575</v>
      </c>
      <c r="B210" s="19">
        <v>0.11502347417840375</v>
      </c>
      <c r="C210" s="19">
        <v>0.12206572769953052</v>
      </c>
      <c r="D210" s="20">
        <v>146</v>
      </c>
      <c r="E210" s="20">
        <v>369</v>
      </c>
      <c r="F210" s="20">
        <v>89</v>
      </c>
      <c r="G210" s="20">
        <v>0</v>
      </c>
      <c r="H210" s="20">
        <v>604</v>
      </c>
      <c r="I210" s="23">
        <v>0.24172185430463577</v>
      </c>
      <c r="J210" s="23">
        <v>0.61092715231788075</v>
      </c>
      <c r="K210" s="23">
        <v>0.14735099337748345</v>
      </c>
      <c r="L210" s="23">
        <v>0</v>
      </c>
      <c r="M210" s="21">
        <v>32.602649006622514</v>
      </c>
    </row>
    <row r="211" spans="1:13" x14ac:dyDescent="0.25">
      <c r="A211" s="19">
        <v>0.70157068062827221</v>
      </c>
      <c r="B211" s="19">
        <v>6.8062827225130892E-2</v>
      </c>
      <c r="C211" s="19">
        <v>0.193717277486911</v>
      </c>
      <c r="D211" s="20">
        <v>54</v>
      </c>
      <c r="E211" s="20">
        <v>182</v>
      </c>
      <c r="F211" s="20">
        <v>126</v>
      </c>
      <c r="G211" s="20">
        <v>8</v>
      </c>
      <c r="H211" s="20">
        <v>370</v>
      </c>
      <c r="I211" s="23">
        <v>0.14594594594594595</v>
      </c>
      <c r="J211" s="23">
        <v>0.49189189189189192</v>
      </c>
      <c r="K211" s="23">
        <v>0.34054054054054056</v>
      </c>
      <c r="L211" s="23">
        <v>2.1621621621621623E-2</v>
      </c>
      <c r="M211" s="21">
        <v>68.781081081081084</v>
      </c>
    </row>
    <row r="212" spans="1:13" x14ac:dyDescent="0.25">
      <c r="A212" s="19">
        <v>0.78445229681978801</v>
      </c>
      <c r="B212" s="19">
        <v>3.5335689045936397E-2</v>
      </c>
      <c r="C212" s="19">
        <v>0.16961130742049471</v>
      </c>
      <c r="D212" s="20">
        <v>51</v>
      </c>
      <c r="E212" s="20">
        <v>211</v>
      </c>
      <c r="F212" s="20">
        <v>105</v>
      </c>
      <c r="G212" s="20">
        <v>3</v>
      </c>
      <c r="H212" s="20">
        <v>370</v>
      </c>
      <c r="I212" s="23">
        <v>0.13783783783783785</v>
      </c>
      <c r="J212" s="23">
        <v>0.57027027027027022</v>
      </c>
      <c r="K212" s="23">
        <v>0.28378378378378377</v>
      </c>
      <c r="L212" s="23">
        <v>8.1081081081081086E-3</v>
      </c>
      <c r="M212" s="21">
        <v>74.697297297297297</v>
      </c>
    </row>
    <row r="213" spans="1:13" x14ac:dyDescent="0.25">
      <c r="A213" s="19">
        <v>0.74489795918367352</v>
      </c>
      <c r="B213" s="19">
        <v>6.8027210884353748E-2</v>
      </c>
      <c r="C213" s="19">
        <v>0.18027210884353742</v>
      </c>
      <c r="D213" s="20">
        <v>69</v>
      </c>
      <c r="E213" s="20">
        <v>185</v>
      </c>
      <c r="F213" s="20">
        <v>111</v>
      </c>
      <c r="G213" s="20">
        <v>5</v>
      </c>
      <c r="H213" s="20">
        <v>370</v>
      </c>
      <c r="I213" s="23">
        <v>0.1864864864864865</v>
      </c>
      <c r="J213" s="23">
        <v>0.5</v>
      </c>
      <c r="K213" s="23">
        <v>0.3</v>
      </c>
      <c r="L213" s="23">
        <v>1.3513513513513514E-2</v>
      </c>
      <c r="M213" s="21">
        <v>70.413513513513507</v>
      </c>
    </row>
    <row r="214" spans="1:13" x14ac:dyDescent="0.25">
      <c r="A214" s="19">
        <v>0.70707070707070707</v>
      </c>
      <c r="B214" s="19">
        <v>7.407407407407407E-2</v>
      </c>
      <c r="C214" s="19">
        <v>0.20875420875420875</v>
      </c>
      <c r="D214" s="20">
        <v>83</v>
      </c>
      <c r="E214" s="20">
        <v>182</v>
      </c>
      <c r="F214" s="20">
        <v>97</v>
      </c>
      <c r="G214" s="20">
        <v>8</v>
      </c>
      <c r="H214" s="20">
        <v>370</v>
      </c>
      <c r="I214" s="23">
        <v>0.22432432432432434</v>
      </c>
      <c r="J214" s="23">
        <v>0.49189189189189192</v>
      </c>
      <c r="K214" s="23">
        <v>0.26216216216216215</v>
      </c>
      <c r="L214" s="23">
        <v>2.1621621621621623E-2</v>
      </c>
      <c r="M214" s="21">
        <v>67.402702702702697</v>
      </c>
    </row>
    <row r="215" spans="1:13" x14ac:dyDescent="0.25">
      <c r="A215" s="19">
        <v>0.82059800664451832</v>
      </c>
      <c r="B215" s="19">
        <v>5.647840531561462E-2</v>
      </c>
      <c r="C215" s="19">
        <v>0.11960132890365449</v>
      </c>
      <c r="D215" s="20">
        <v>49</v>
      </c>
      <c r="E215" s="20">
        <v>222</v>
      </c>
      <c r="F215" s="20">
        <v>96</v>
      </c>
      <c r="G215" s="20">
        <v>3</v>
      </c>
      <c r="H215" s="20">
        <v>370</v>
      </c>
      <c r="I215" s="23">
        <v>0.13243243243243244</v>
      </c>
      <c r="J215" s="23">
        <v>0.6</v>
      </c>
      <c r="K215" s="23">
        <v>0.25945945945945947</v>
      </c>
      <c r="L215" s="23">
        <v>8.1081081081081086E-3</v>
      </c>
      <c r="M215" s="21">
        <v>64.708108108108107</v>
      </c>
    </row>
    <row r="216" spans="1:13" x14ac:dyDescent="0.25">
      <c r="A216" s="19">
        <v>0.81418918918918914</v>
      </c>
      <c r="B216" s="19">
        <v>5.4054054054054057E-2</v>
      </c>
      <c r="C216" s="19">
        <v>0.11148648648648649</v>
      </c>
      <c r="D216" s="20">
        <v>59</v>
      </c>
      <c r="E216" s="20">
        <v>208</v>
      </c>
      <c r="F216" s="20">
        <v>98</v>
      </c>
      <c r="G216" s="20">
        <v>5</v>
      </c>
      <c r="H216" s="20">
        <v>370</v>
      </c>
      <c r="I216" s="23">
        <v>0.15945945945945947</v>
      </c>
      <c r="J216" s="23">
        <v>0.56216216216216219</v>
      </c>
      <c r="K216" s="23">
        <v>0.26486486486486488</v>
      </c>
      <c r="L216" s="23">
        <v>1.3513513513513514E-2</v>
      </c>
      <c r="M216" s="21">
        <v>62.116216216216216</v>
      </c>
    </row>
    <row r="217" spans="1:13" x14ac:dyDescent="0.25">
      <c r="A217" s="19">
        <v>0.86734693877551017</v>
      </c>
      <c r="B217" s="19">
        <v>4.0816326530612242E-2</v>
      </c>
      <c r="C217" s="19">
        <v>8.5034013605442174E-2</v>
      </c>
      <c r="D217" s="20">
        <v>41</v>
      </c>
      <c r="E217" s="20">
        <v>227</v>
      </c>
      <c r="F217" s="20">
        <v>94</v>
      </c>
      <c r="G217" s="20">
        <v>8</v>
      </c>
      <c r="H217" s="20">
        <v>370</v>
      </c>
      <c r="I217" s="23">
        <v>0.11081081081081082</v>
      </c>
      <c r="J217" s="23">
        <v>0.61351351351351346</v>
      </c>
      <c r="K217" s="23">
        <v>0.25405405405405407</v>
      </c>
      <c r="L217" s="23">
        <v>2.1621621621621623E-2</v>
      </c>
      <c r="M217" s="21">
        <v>59.645945945945947</v>
      </c>
    </row>
    <row r="218" spans="1:13" x14ac:dyDescent="0.25">
      <c r="A218" s="19">
        <v>0.91935483870967738</v>
      </c>
      <c r="B218" s="19">
        <v>2.0737327188940093E-2</v>
      </c>
      <c r="C218" s="19">
        <v>4.8387096774193547E-2</v>
      </c>
      <c r="D218" s="20">
        <v>54</v>
      </c>
      <c r="E218" s="20">
        <v>331</v>
      </c>
      <c r="F218" s="20">
        <v>149</v>
      </c>
      <c r="G218" s="20">
        <v>7</v>
      </c>
      <c r="H218" s="20">
        <v>541</v>
      </c>
      <c r="I218" s="23">
        <v>9.9815157116451017E-2</v>
      </c>
      <c r="J218" s="23">
        <v>0.61182994454713491</v>
      </c>
      <c r="K218" s="23">
        <v>0.2754158964879852</v>
      </c>
      <c r="L218" s="23">
        <v>1.2939001848428836E-2</v>
      </c>
      <c r="M218" s="21">
        <v>56.325323475046211</v>
      </c>
    </row>
    <row r="219" spans="1:13" x14ac:dyDescent="0.25">
      <c r="A219" s="19">
        <v>0.8779342723004695</v>
      </c>
      <c r="B219" s="19">
        <v>4.2253521126760563E-2</v>
      </c>
      <c r="C219" s="19">
        <v>7.9812206572769953E-2</v>
      </c>
      <c r="D219" s="20">
        <v>63</v>
      </c>
      <c r="E219" s="20">
        <v>308</v>
      </c>
      <c r="F219" s="20">
        <v>160</v>
      </c>
      <c r="G219" s="20">
        <v>10</v>
      </c>
      <c r="H219" s="20">
        <v>541</v>
      </c>
      <c r="I219" s="23">
        <v>0.11645101663585952</v>
      </c>
      <c r="J219" s="23">
        <v>0.56931608133086875</v>
      </c>
      <c r="K219" s="23">
        <v>0.29574861367837341</v>
      </c>
      <c r="L219" s="23">
        <v>1.8484288354898338E-2</v>
      </c>
      <c r="M219" s="21">
        <v>52.245841035120151</v>
      </c>
    </row>
    <row r="220" spans="1:13" x14ac:dyDescent="0.25">
      <c r="A220" s="19">
        <v>0.85613207547169812</v>
      </c>
      <c r="B220" s="19">
        <v>5.4245283018867926E-2</v>
      </c>
      <c r="C220" s="19">
        <v>8.7264150943396221E-2</v>
      </c>
      <c r="D220" s="20">
        <v>76</v>
      </c>
      <c r="E220" s="20">
        <v>311</v>
      </c>
      <c r="F220" s="20">
        <v>152</v>
      </c>
      <c r="G220" s="20">
        <v>2</v>
      </c>
      <c r="H220" s="20">
        <v>541</v>
      </c>
      <c r="I220" s="23">
        <v>0.14048059149722736</v>
      </c>
      <c r="J220" s="23">
        <v>0.57486136783733821</v>
      </c>
      <c r="K220" s="23">
        <v>0.28096118299445472</v>
      </c>
      <c r="L220" s="23">
        <v>3.6968576709796672E-3</v>
      </c>
      <c r="M220" s="21">
        <v>48.499075785582257</v>
      </c>
    </row>
    <row r="221" spans="1:13" x14ac:dyDescent="0.25">
      <c r="A221" s="19">
        <v>0.79353233830845771</v>
      </c>
      <c r="B221" s="19">
        <v>9.4527363184079602E-2</v>
      </c>
      <c r="C221" s="19">
        <v>0.10945273631840796</v>
      </c>
      <c r="D221" s="20">
        <v>99</v>
      </c>
      <c r="E221" s="20">
        <v>277</v>
      </c>
      <c r="F221" s="20">
        <v>157</v>
      </c>
      <c r="G221" s="20">
        <v>8</v>
      </c>
      <c r="H221" s="20">
        <v>541</v>
      </c>
      <c r="I221" s="23">
        <v>0.18299445471349354</v>
      </c>
      <c r="J221" s="23">
        <v>0.51201478743068396</v>
      </c>
      <c r="K221" s="23">
        <v>0.29020332717190389</v>
      </c>
      <c r="L221" s="23">
        <v>1.4787430683918669E-2</v>
      </c>
      <c r="M221" s="21">
        <v>44.902033271719041</v>
      </c>
    </row>
    <row r="222" spans="1:13" x14ac:dyDescent="0.25">
      <c r="A222" s="19">
        <v>0.77157360406091369</v>
      </c>
      <c r="B222" s="19">
        <v>0.10913705583756345</v>
      </c>
      <c r="C222" s="19">
        <v>0.11928934010152284</v>
      </c>
      <c r="D222" s="20">
        <v>119</v>
      </c>
      <c r="E222" s="20">
        <v>279</v>
      </c>
      <c r="F222" s="20">
        <v>140</v>
      </c>
      <c r="G222" s="20">
        <v>3</v>
      </c>
      <c r="H222" s="20">
        <v>541</v>
      </c>
      <c r="I222" s="23">
        <v>0.21996303142329021</v>
      </c>
      <c r="J222" s="23">
        <v>0.51571164510166356</v>
      </c>
      <c r="K222" s="23">
        <v>0.25878003696857671</v>
      </c>
      <c r="L222" s="23">
        <v>5.5452865064695009E-3</v>
      </c>
      <c r="M222" s="21">
        <v>42.022181146025879</v>
      </c>
    </row>
    <row r="223" spans="1:13" x14ac:dyDescent="0.25">
      <c r="A223" s="19">
        <v>0.77722772277227725</v>
      </c>
      <c r="B223" s="19">
        <v>0.10148514851485149</v>
      </c>
      <c r="C223" s="19">
        <v>0.11633663366336634</v>
      </c>
      <c r="D223" s="20">
        <v>120</v>
      </c>
      <c r="E223" s="20">
        <v>258</v>
      </c>
      <c r="F223" s="20">
        <v>162</v>
      </c>
      <c r="G223" s="20">
        <v>1</v>
      </c>
      <c r="H223" s="20">
        <v>541</v>
      </c>
      <c r="I223" s="23">
        <v>0.22181146025878004</v>
      </c>
      <c r="J223" s="23">
        <v>0.47689463955637706</v>
      </c>
      <c r="K223" s="23">
        <v>0.29944547134935307</v>
      </c>
      <c r="L223" s="23">
        <v>1.8484288354898336E-3</v>
      </c>
      <c r="M223" s="21">
        <v>39.556377079482438</v>
      </c>
    </row>
    <row r="224" spans="1:13" x14ac:dyDescent="0.25">
      <c r="A224" s="19">
        <v>0.74615384615384617</v>
      </c>
      <c r="B224" s="19">
        <v>0.13076923076923078</v>
      </c>
      <c r="C224" s="19">
        <v>0.11282051282051282</v>
      </c>
      <c r="D224" s="20">
        <v>147</v>
      </c>
      <c r="E224" s="20">
        <v>249</v>
      </c>
      <c r="F224" s="20">
        <v>140</v>
      </c>
      <c r="G224" s="20">
        <v>5</v>
      </c>
      <c r="H224" s="20">
        <v>541</v>
      </c>
      <c r="I224" s="23">
        <v>0.27171903881700554</v>
      </c>
      <c r="J224" s="23">
        <v>0.46025878003696857</v>
      </c>
      <c r="K224" s="23">
        <v>0.25878003696857671</v>
      </c>
      <c r="L224" s="23">
        <v>9.242144177449169E-3</v>
      </c>
      <c r="M224" s="21">
        <v>37.199630314232905</v>
      </c>
    </row>
    <row r="225" spans="1:13" x14ac:dyDescent="0.25">
      <c r="A225" s="19">
        <v>0.74935400516795869</v>
      </c>
      <c r="B225" s="19">
        <v>0.12144702842377261</v>
      </c>
      <c r="C225" s="19">
        <v>0.12919896640826872</v>
      </c>
      <c r="D225" s="20">
        <v>163</v>
      </c>
      <c r="E225" s="20">
        <v>249</v>
      </c>
      <c r="F225" s="20">
        <v>128</v>
      </c>
      <c r="G225" s="20">
        <v>2</v>
      </c>
      <c r="H225" s="20">
        <v>542</v>
      </c>
      <c r="I225" s="23">
        <v>0.30073800738007378</v>
      </c>
      <c r="J225" s="23">
        <v>0.45940959409594095</v>
      </c>
      <c r="K225" s="23">
        <v>0.23616236162361623</v>
      </c>
      <c r="L225" s="23">
        <v>3.6900369003690036E-3</v>
      </c>
      <c r="M225" s="21">
        <v>34.891143911439116</v>
      </c>
    </row>
    <row r="226" spans="1:13" x14ac:dyDescent="0.25">
      <c r="A226" s="19">
        <v>0.76092544987146526</v>
      </c>
      <c r="B226" s="19">
        <v>0.12596401028277635</v>
      </c>
      <c r="C226" s="19">
        <v>0.11311053984575835</v>
      </c>
      <c r="D226" s="20">
        <v>156</v>
      </c>
      <c r="E226" s="20">
        <v>244</v>
      </c>
      <c r="F226" s="20">
        <v>139</v>
      </c>
      <c r="G226" s="20">
        <v>3</v>
      </c>
      <c r="H226" s="20">
        <v>542</v>
      </c>
      <c r="I226" s="23">
        <v>0.28782287822878228</v>
      </c>
      <c r="J226" s="23">
        <v>0.45018450184501846</v>
      </c>
      <c r="K226" s="23">
        <v>0.25645756457564578</v>
      </c>
      <c r="L226" s="23">
        <v>5.5350553505535052E-3</v>
      </c>
      <c r="M226" s="21">
        <v>32.440959409594093</v>
      </c>
    </row>
    <row r="227" spans="1:13" x14ac:dyDescent="0.25">
      <c r="A227" s="19">
        <v>0.77353689567430028</v>
      </c>
      <c r="B227" s="19">
        <v>0.12468193384223919</v>
      </c>
      <c r="C227" s="19">
        <v>9.9236641221374045E-2</v>
      </c>
      <c r="D227" s="20">
        <v>144</v>
      </c>
      <c r="E227" s="20">
        <v>233</v>
      </c>
      <c r="F227" s="20">
        <v>161</v>
      </c>
      <c r="G227" s="20">
        <v>4</v>
      </c>
      <c r="H227" s="20">
        <v>542</v>
      </c>
      <c r="I227" s="23">
        <v>0.26568265682656828</v>
      </c>
      <c r="J227" s="23">
        <v>0.42988929889298894</v>
      </c>
      <c r="K227" s="23">
        <v>0.29704797047970477</v>
      </c>
      <c r="L227" s="23">
        <v>7.3800738007380072E-3</v>
      </c>
      <c r="M227" s="21">
        <v>29.712177121771219</v>
      </c>
    </row>
    <row r="228" spans="1:13" x14ac:dyDescent="0.25">
      <c r="A228" s="19">
        <v>0.8133971291866029</v>
      </c>
      <c r="B228" s="19">
        <v>0.10287081339712918</v>
      </c>
      <c r="C228" s="19">
        <v>8.3732057416267949E-2</v>
      </c>
      <c r="D228" s="20">
        <v>118</v>
      </c>
      <c r="E228" s="20">
        <v>237</v>
      </c>
      <c r="F228" s="20">
        <v>186</v>
      </c>
      <c r="G228" s="20">
        <v>1</v>
      </c>
      <c r="H228" s="20">
        <v>542</v>
      </c>
      <c r="I228" s="23">
        <v>0.21771217712177121</v>
      </c>
      <c r="J228" s="23">
        <v>0.43726937269372695</v>
      </c>
      <c r="K228" s="23">
        <v>0.34317343173431736</v>
      </c>
      <c r="L228" s="23">
        <v>1.8450184501845018E-3</v>
      </c>
      <c r="M228" s="21">
        <v>26.822878228782287</v>
      </c>
    </row>
    <row r="229" spans="1:13" x14ac:dyDescent="0.25">
      <c r="A229" s="19">
        <v>0.80885780885780889</v>
      </c>
      <c r="B229" s="19">
        <v>9.7902097902097904E-2</v>
      </c>
      <c r="C229" s="19">
        <v>8.6247086247086241E-2</v>
      </c>
      <c r="D229" s="20">
        <v>124</v>
      </c>
      <c r="E229" s="20">
        <v>220</v>
      </c>
      <c r="F229" s="20">
        <v>198</v>
      </c>
      <c r="G229" s="20">
        <v>0</v>
      </c>
      <c r="H229" s="20">
        <v>542</v>
      </c>
      <c r="I229" s="23">
        <v>0.22878228782287824</v>
      </c>
      <c r="J229" s="23">
        <v>0.4059040590405904</v>
      </c>
      <c r="K229" s="23">
        <v>0.36531365313653136</v>
      </c>
      <c r="L229" s="23">
        <v>0</v>
      </c>
      <c r="M229" s="21">
        <v>23.649446494464943</v>
      </c>
    </row>
    <row r="230" spans="1:13" x14ac:dyDescent="0.25">
      <c r="A230" s="19">
        <v>0.74501108647450109</v>
      </c>
      <c r="B230" s="19">
        <v>0.14855875831485588</v>
      </c>
      <c r="C230" s="19">
        <v>0.10199556541019955</v>
      </c>
      <c r="D230" s="20">
        <v>160</v>
      </c>
      <c r="E230" s="20">
        <v>188</v>
      </c>
      <c r="F230" s="20">
        <v>194</v>
      </c>
      <c r="G230" s="20">
        <v>0</v>
      </c>
      <c r="H230" s="20">
        <v>542</v>
      </c>
      <c r="I230" s="23">
        <v>0.29520295202952029</v>
      </c>
      <c r="J230" s="23">
        <v>0.34686346863468637</v>
      </c>
      <c r="K230" s="23">
        <v>0.35793357933579334</v>
      </c>
      <c r="L230" s="23">
        <v>0</v>
      </c>
      <c r="M230" s="21">
        <v>20.097785977859779</v>
      </c>
    </row>
    <row r="231" spans="1:13" x14ac:dyDescent="0.25">
      <c r="A231" s="19">
        <v>0.8294117647058824</v>
      </c>
      <c r="B231" s="19">
        <v>6.4705882352941183E-2</v>
      </c>
      <c r="C231" s="19">
        <v>0.10294117647058823</v>
      </c>
      <c r="D231" s="20">
        <v>59</v>
      </c>
      <c r="E231" s="20">
        <v>270</v>
      </c>
      <c r="F231" s="20">
        <v>114</v>
      </c>
      <c r="G231" s="20">
        <v>7</v>
      </c>
      <c r="H231" s="20">
        <v>450</v>
      </c>
      <c r="I231" s="23">
        <v>0.13111111111111112</v>
      </c>
      <c r="J231" s="23">
        <v>0.6</v>
      </c>
      <c r="K231" s="23">
        <v>0.25333333333333335</v>
      </c>
      <c r="L231" s="23">
        <v>1.5555555555555555E-2</v>
      </c>
      <c r="M231" s="21">
        <v>60.671111111111109</v>
      </c>
    </row>
    <row r="232" spans="1:13" x14ac:dyDescent="0.25">
      <c r="A232" s="19">
        <v>0.83518930957683746</v>
      </c>
      <c r="B232" s="19">
        <v>8.4632516703786187E-2</v>
      </c>
      <c r="C232" s="19">
        <v>7.3496659242761692E-2</v>
      </c>
      <c r="D232" s="20">
        <v>97</v>
      </c>
      <c r="E232" s="20">
        <v>369</v>
      </c>
      <c r="F232" s="20">
        <v>142</v>
      </c>
      <c r="G232" s="20">
        <v>2</v>
      </c>
      <c r="H232" s="20">
        <v>610</v>
      </c>
      <c r="I232" s="23">
        <v>0.15901639344262294</v>
      </c>
      <c r="J232" s="23">
        <v>0.60491803278688527</v>
      </c>
      <c r="K232" s="23">
        <v>0.23278688524590163</v>
      </c>
      <c r="L232" s="23">
        <v>3.2786885245901639E-3</v>
      </c>
      <c r="M232" s="21">
        <v>38.501639344262294</v>
      </c>
    </row>
    <row r="233" spans="1:13" x14ac:dyDescent="0.25">
      <c r="A233" s="19">
        <v>0.7870967741935484</v>
      </c>
      <c r="B233" s="19">
        <v>0.1032258064516129</v>
      </c>
      <c r="C233" s="19">
        <v>0.10967741935483871</v>
      </c>
      <c r="D233" s="20">
        <v>150</v>
      </c>
      <c r="E233" s="20">
        <v>290</v>
      </c>
      <c r="F233" s="20">
        <v>168</v>
      </c>
      <c r="G233" s="20">
        <v>3</v>
      </c>
      <c r="H233" s="20">
        <v>611</v>
      </c>
      <c r="I233" s="23">
        <v>0.24549918166939444</v>
      </c>
      <c r="J233" s="23">
        <v>0.4746317512274959</v>
      </c>
      <c r="K233" s="23">
        <v>0.27495908346972175</v>
      </c>
      <c r="L233" s="23">
        <v>4.9099836333878887E-3</v>
      </c>
      <c r="M233" s="21">
        <v>23.846153846153847</v>
      </c>
    </row>
    <row r="234" spans="1:13" x14ac:dyDescent="0.25">
      <c r="A234" s="19">
        <v>0.87982832618025753</v>
      </c>
      <c r="B234" s="19">
        <v>1.2875536480686695E-2</v>
      </c>
      <c r="C234" s="19">
        <v>8.5836909871244635E-2</v>
      </c>
      <c r="D234" s="20">
        <v>10</v>
      </c>
      <c r="E234" s="20">
        <v>183</v>
      </c>
      <c r="F234" s="20">
        <v>180</v>
      </c>
      <c r="G234" s="20">
        <v>7</v>
      </c>
      <c r="H234" s="20">
        <v>380</v>
      </c>
      <c r="I234" s="23">
        <v>2.6315789473684209E-2</v>
      </c>
      <c r="J234" s="23">
        <v>0.48157894736842105</v>
      </c>
      <c r="K234" s="23">
        <v>0.47368421052631576</v>
      </c>
      <c r="L234" s="23">
        <v>1.8421052631578946E-2</v>
      </c>
      <c r="M234" s="21">
        <v>69.555263157894743</v>
      </c>
    </row>
    <row r="235" spans="1:13" x14ac:dyDescent="0.25">
      <c r="A235" s="19">
        <v>0.92281879194630867</v>
      </c>
      <c r="B235" s="19">
        <v>2.3489932885906041E-2</v>
      </c>
      <c r="C235" s="19">
        <v>5.0335570469798654E-2</v>
      </c>
      <c r="D235" s="20">
        <v>12</v>
      </c>
      <c r="E235" s="20">
        <v>194</v>
      </c>
      <c r="F235" s="20">
        <v>169</v>
      </c>
      <c r="G235" s="20">
        <v>5</v>
      </c>
      <c r="H235" s="20">
        <v>380</v>
      </c>
      <c r="I235" s="23">
        <v>3.1578947368421054E-2</v>
      </c>
      <c r="J235" s="23">
        <v>0.51052631578947372</v>
      </c>
      <c r="K235" s="23">
        <v>0.44473684210526315</v>
      </c>
      <c r="L235" s="23">
        <v>1.3157894736842105E-2</v>
      </c>
      <c r="M235" s="21">
        <v>61.044736842105266</v>
      </c>
    </row>
    <row r="236" spans="1:13" x14ac:dyDescent="0.25">
      <c r="A236" s="19">
        <v>0.95205479452054798</v>
      </c>
      <c r="B236" s="19">
        <v>1.0273972602739725E-2</v>
      </c>
      <c r="C236" s="19">
        <v>3.0821917808219176E-2</v>
      </c>
      <c r="D236" s="20">
        <v>21</v>
      </c>
      <c r="E236" s="20">
        <v>369</v>
      </c>
      <c r="F236" s="20">
        <v>257</v>
      </c>
      <c r="G236" s="20">
        <v>5</v>
      </c>
      <c r="H236" s="20">
        <v>652</v>
      </c>
      <c r="I236" s="23">
        <v>3.2208588957055216E-2</v>
      </c>
      <c r="J236" s="23">
        <v>0.56595092024539873</v>
      </c>
      <c r="K236" s="23">
        <v>0.39417177914110429</v>
      </c>
      <c r="L236" s="23">
        <v>7.6687116564417178E-3</v>
      </c>
      <c r="M236" s="21">
        <v>49.521472392638039</v>
      </c>
    </row>
    <row r="237" spans="1:13" x14ac:dyDescent="0.25">
      <c r="A237" s="19">
        <v>0.94197292069632499</v>
      </c>
      <c r="B237" s="19">
        <v>1.160541586073501E-2</v>
      </c>
      <c r="C237" s="19">
        <v>3.6750483558994199E-2</v>
      </c>
      <c r="D237" s="20">
        <v>29</v>
      </c>
      <c r="E237" s="20">
        <v>360</v>
      </c>
      <c r="F237" s="20">
        <v>258</v>
      </c>
      <c r="G237" s="20">
        <v>5</v>
      </c>
      <c r="H237" s="20">
        <v>652</v>
      </c>
      <c r="I237" s="23">
        <v>4.4478527607361963E-2</v>
      </c>
      <c r="J237" s="23">
        <v>0.55214723926380371</v>
      </c>
      <c r="K237" s="23">
        <v>0.39570552147239263</v>
      </c>
      <c r="L237" s="23">
        <v>7.6687116564417178E-3</v>
      </c>
      <c r="M237" s="21">
        <v>38.95092024539877</v>
      </c>
    </row>
    <row r="238" spans="1:13" x14ac:dyDescent="0.25">
      <c r="A238" s="19">
        <v>0.9498069498069498</v>
      </c>
      <c r="B238" s="19">
        <v>2.3166023166023165E-2</v>
      </c>
      <c r="C238" s="19">
        <v>2.7027027027027029E-2</v>
      </c>
      <c r="D238" s="20">
        <v>50</v>
      </c>
      <c r="E238" s="20">
        <v>348</v>
      </c>
      <c r="F238" s="20">
        <v>247</v>
      </c>
      <c r="G238" s="20">
        <v>7</v>
      </c>
      <c r="H238" s="20">
        <v>652</v>
      </c>
      <c r="I238" s="23">
        <v>7.6687116564417179E-2</v>
      </c>
      <c r="J238" s="23">
        <v>0.53374233128834359</v>
      </c>
      <c r="K238" s="23">
        <v>0.37883435582822084</v>
      </c>
      <c r="L238" s="23">
        <v>1.0736196319018405E-2</v>
      </c>
      <c r="M238" s="21">
        <v>31.219325153374232</v>
      </c>
    </row>
    <row r="239" spans="1:13" x14ac:dyDescent="0.25">
      <c r="A239" s="19">
        <v>0.93581780538302273</v>
      </c>
      <c r="B239" s="19">
        <v>1.8633540372670808E-2</v>
      </c>
      <c r="C239" s="19">
        <v>4.3478260869565216E-2</v>
      </c>
      <c r="D239" s="20">
        <v>55</v>
      </c>
      <c r="E239" s="20">
        <v>356</v>
      </c>
      <c r="F239" s="20">
        <v>240</v>
      </c>
      <c r="G239" s="20">
        <v>1</v>
      </c>
      <c r="H239" s="20">
        <v>652</v>
      </c>
      <c r="I239" s="23">
        <v>8.4355828220858894E-2</v>
      </c>
      <c r="J239" s="23">
        <v>0.54601226993865026</v>
      </c>
      <c r="K239" s="23">
        <v>0.36809815950920244</v>
      </c>
      <c r="L239" s="23">
        <v>1.5337423312883436E-3</v>
      </c>
      <c r="M239" s="21">
        <v>23.042944785276074</v>
      </c>
    </row>
    <row r="240" spans="1:13" x14ac:dyDescent="0.25">
      <c r="A240" s="19">
        <v>0.94199999999999995</v>
      </c>
      <c r="B240" s="19">
        <v>2.1999999999999999E-2</v>
      </c>
      <c r="C240" s="19">
        <v>3.5999999999999997E-2</v>
      </c>
      <c r="D240" s="20">
        <v>9</v>
      </c>
      <c r="E240" s="20">
        <v>297</v>
      </c>
      <c r="F240" s="20">
        <v>67</v>
      </c>
      <c r="G240" s="20">
        <v>7</v>
      </c>
      <c r="H240" s="20">
        <v>380</v>
      </c>
      <c r="I240" s="23">
        <v>2.368421052631579E-2</v>
      </c>
      <c r="J240" s="23">
        <v>0.78157894736842104</v>
      </c>
      <c r="K240" s="23">
        <v>0.1763157894736842</v>
      </c>
      <c r="L240" s="23">
        <v>1.8421052631578946E-2</v>
      </c>
      <c r="M240" s="21">
        <v>73.368421052631575</v>
      </c>
    </row>
    <row r="241" spans="1:13" x14ac:dyDescent="0.25">
      <c r="A241" s="19">
        <v>0.92600422832980978</v>
      </c>
      <c r="B241" s="19">
        <v>2.3255813953488372E-2</v>
      </c>
      <c r="C241" s="19">
        <v>3.8054968287526428E-2</v>
      </c>
      <c r="D241" s="20">
        <v>8</v>
      </c>
      <c r="E241" s="20">
        <v>310</v>
      </c>
      <c r="F241" s="20">
        <v>60</v>
      </c>
      <c r="G241" s="20">
        <v>2</v>
      </c>
      <c r="H241" s="20">
        <v>380</v>
      </c>
      <c r="I241" s="23">
        <v>2.1052631578947368E-2</v>
      </c>
      <c r="J241" s="23">
        <v>0.81578947368421051</v>
      </c>
      <c r="K241" s="23">
        <v>0.15789473684210525</v>
      </c>
      <c r="L241" s="23">
        <v>5.263157894736842E-3</v>
      </c>
      <c r="M241" s="21">
        <v>69.315789473684205</v>
      </c>
    </row>
    <row r="242" spans="1:13" x14ac:dyDescent="0.25">
      <c r="A242" s="19">
        <v>0.95411089866156784</v>
      </c>
      <c r="B242" s="19">
        <v>1.9120458891013385E-2</v>
      </c>
      <c r="C242" s="19">
        <v>2.2944550669216062E-2</v>
      </c>
      <c r="D242" s="20">
        <v>10</v>
      </c>
      <c r="E242" s="20">
        <v>321</v>
      </c>
      <c r="F242" s="20">
        <v>45</v>
      </c>
      <c r="G242" s="20">
        <v>4</v>
      </c>
      <c r="H242" s="20">
        <v>380</v>
      </c>
      <c r="I242" s="23">
        <v>2.6315789473684209E-2</v>
      </c>
      <c r="J242" s="23">
        <v>0.84473684210526312</v>
      </c>
      <c r="K242" s="23">
        <v>0.11842105263157894</v>
      </c>
      <c r="L242" s="23">
        <v>1.0526315789473684E-2</v>
      </c>
      <c r="M242" s="21">
        <v>62.8</v>
      </c>
    </row>
    <row r="243" spans="1:13" x14ac:dyDescent="0.25">
      <c r="A243" s="19">
        <v>0.94839857651245552</v>
      </c>
      <c r="B243" s="19">
        <v>2.491103202846975E-2</v>
      </c>
      <c r="C243" s="19">
        <v>2.1352313167259787E-2</v>
      </c>
      <c r="D243" s="20">
        <v>5</v>
      </c>
      <c r="E243" s="20">
        <v>591</v>
      </c>
      <c r="F243" s="20">
        <v>86</v>
      </c>
      <c r="G243" s="20">
        <v>7</v>
      </c>
      <c r="H243" s="20">
        <v>689</v>
      </c>
      <c r="I243" s="23">
        <v>7.2568940493468797E-3</v>
      </c>
      <c r="J243" s="23">
        <v>0.85776487663280121</v>
      </c>
      <c r="K243" s="23">
        <v>0.12481857764876633</v>
      </c>
      <c r="L243" s="23">
        <v>1.0159651669085631E-2</v>
      </c>
      <c r="M243" s="21">
        <v>56.29898403483309</v>
      </c>
    </row>
    <row r="244" spans="1:13" x14ac:dyDescent="0.25">
      <c r="A244" s="19">
        <v>0.85251798561151082</v>
      </c>
      <c r="B244" s="19">
        <v>2.8776978417266189E-2</v>
      </c>
      <c r="C244" s="19">
        <v>0.10431654676258993</v>
      </c>
      <c r="D244" s="20">
        <v>14</v>
      </c>
      <c r="E244" s="20">
        <v>583</v>
      </c>
      <c r="F244" s="20">
        <v>84</v>
      </c>
      <c r="G244" s="20">
        <v>8</v>
      </c>
      <c r="H244" s="20">
        <v>689</v>
      </c>
      <c r="I244" s="23">
        <v>2.0319303338171262E-2</v>
      </c>
      <c r="J244" s="23">
        <v>0.84615384615384615</v>
      </c>
      <c r="K244" s="23">
        <v>0.12191582002902758</v>
      </c>
      <c r="L244" s="23">
        <v>1.1611030478955007E-2</v>
      </c>
      <c r="M244" s="21">
        <v>49.062409288824384</v>
      </c>
    </row>
    <row r="245" spans="1:13" x14ac:dyDescent="0.25">
      <c r="A245" s="19">
        <v>0.91874999999999996</v>
      </c>
      <c r="B245" s="19">
        <v>2.1874999999999999E-2</v>
      </c>
      <c r="C245" s="19">
        <v>5.6250000000000001E-2</v>
      </c>
      <c r="D245" s="20">
        <v>25</v>
      </c>
      <c r="E245" s="20">
        <v>607</v>
      </c>
      <c r="F245" s="20">
        <v>55</v>
      </c>
      <c r="G245" s="20">
        <v>2</v>
      </c>
      <c r="H245" s="20">
        <v>689</v>
      </c>
      <c r="I245" s="23">
        <v>3.6284470246734396E-2</v>
      </c>
      <c r="J245" s="23">
        <v>0.88098693759071123</v>
      </c>
      <c r="K245" s="23">
        <v>7.982583454281568E-2</v>
      </c>
      <c r="L245" s="23">
        <v>2.9027576197387518E-3</v>
      </c>
      <c r="M245" s="21">
        <v>42.613933236574745</v>
      </c>
    </row>
    <row r="246" spans="1:13" x14ac:dyDescent="0.25">
      <c r="A246" s="19">
        <v>0.93320610687022898</v>
      </c>
      <c r="B246" s="19">
        <v>1.5267175572519083E-2</v>
      </c>
      <c r="C246" s="19">
        <v>4.9618320610687022E-2</v>
      </c>
      <c r="D246" s="20">
        <v>29</v>
      </c>
      <c r="E246" s="20">
        <v>560</v>
      </c>
      <c r="F246" s="20">
        <v>97</v>
      </c>
      <c r="G246" s="20">
        <v>3</v>
      </c>
      <c r="H246" s="20">
        <v>689</v>
      </c>
      <c r="I246" s="23">
        <v>4.2089985486211901E-2</v>
      </c>
      <c r="J246" s="23">
        <v>0.81277213352685052</v>
      </c>
      <c r="K246" s="23">
        <v>0.14078374455732948</v>
      </c>
      <c r="L246" s="23">
        <v>4.3541364296081275E-3</v>
      </c>
      <c r="M246" s="21">
        <v>36.978229317851962</v>
      </c>
    </row>
    <row r="247" spans="1:13" x14ac:dyDescent="0.25">
      <c r="A247" s="19">
        <v>0.92213114754098358</v>
      </c>
      <c r="B247" s="19">
        <v>3.2786885245901641E-2</v>
      </c>
      <c r="C247" s="19">
        <v>4.3032786885245901E-2</v>
      </c>
      <c r="D247" s="20">
        <v>24</v>
      </c>
      <c r="E247" s="20">
        <v>586</v>
      </c>
      <c r="F247" s="20">
        <v>76</v>
      </c>
      <c r="G247" s="20">
        <v>3</v>
      </c>
      <c r="H247" s="20">
        <v>689</v>
      </c>
      <c r="I247" s="23">
        <v>3.483309143686502E-2</v>
      </c>
      <c r="J247" s="23">
        <v>0.85050798258345428</v>
      </c>
      <c r="K247" s="23">
        <v>0.11030478955007257</v>
      </c>
      <c r="L247" s="23">
        <v>4.3541364296081275E-3</v>
      </c>
      <c r="M247" s="21">
        <v>31.624092888243833</v>
      </c>
    </row>
    <row r="248" spans="1:13" x14ac:dyDescent="0.25">
      <c r="A248" s="19">
        <v>0.92177589852008457</v>
      </c>
      <c r="B248" s="19">
        <v>2.748414376321353E-2</v>
      </c>
      <c r="C248" s="19">
        <v>4.8625792811839326E-2</v>
      </c>
      <c r="D248" s="20">
        <v>21</v>
      </c>
      <c r="E248" s="20">
        <v>592</v>
      </c>
      <c r="F248" s="20">
        <v>73</v>
      </c>
      <c r="G248" s="20">
        <v>3</v>
      </c>
      <c r="H248" s="20">
        <v>689</v>
      </c>
      <c r="I248" s="23">
        <v>3.0478955007256895E-2</v>
      </c>
      <c r="J248" s="23">
        <v>0.85921625544267055</v>
      </c>
      <c r="K248" s="23">
        <v>0.10595065312046444</v>
      </c>
      <c r="L248" s="23">
        <v>4.3541364296081275E-3</v>
      </c>
      <c r="M248" s="21">
        <v>26.576197387518143</v>
      </c>
    </row>
    <row r="249" spans="1:13" x14ac:dyDescent="0.25">
      <c r="A249" s="19">
        <v>0.92692307692307696</v>
      </c>
      <c r="B249" s="19">
        <v>2.8846153846153848E-2</v>
      </c>
      <c r="C249" s="19">
        <v>4.4230769230769233E-2</v>
      </c>
      <c r="D249" s="20">
        <v>23</v>
      </c>
      <c r="E249" s="20">
        <v>591</v>
      </c>
      <c r="F249" s="20">
        <v>75</v>
      </c>
      <c r="G249" s="20">
        <v>0</v>
      </c>
      <c r="H249" s="20">
        <v>689</v>
      </c>
      <c r="I249" s="23">
        <v>3.3381712626995644E-2</v>
      </c>
      <c r="J249" s="23">
        <v>0.85776487663280121</v>
      </c>
      <c r="K249" s="23">
        <v>0.10885341074020319</v>
      </c>
      <c r="L249" s="23">
        <v>0</v>
      </c>
      <c r="M249" s="21">
        <v>21.110304789550071</v>
      </c>
    </row>
    <row r="250" spans="1:13" x14ac:dyDescent="0.25">
      <c r="A250" s="19">
        <v>0.93133047210300424</v>
      </c>
      <c r="B250" s="19">
        <v>4.2918454935622317E-3</v>
      </c>
      <c r="C250" s="19">
        <v>5.1502145922746781E-2</v>
      </c>
      <c r="D250" s="20">
        <v>9</v>
      </c>
      <c r="E250" s="20">
        <v>313</v>
      </c>
      <c r="F250" s="20">
        <v>51</v>
      </c>
      <c r="G250" s="20">
        <v>7</v>
      </c>
      <c r="H250" s="20">
        <v>380</v>
      </c>
      <c r="I250" s="23">
        <v>2.368421052631579E-2</v>
      </c>
      <c r="J250" s="23">
        <v>0.8236842105263158</v>
      </c>
      <c r="K250" s="23">
        <v>0.13421052631578947</v>
      </c>
      <c r="L250" s="23">
        <v>1.8421052631578946E-2</v>
      </c>
      <c r="M250" s="21">
        <v>72.607894736842098</v>
      </c>
    </row>
    <row r="251" spans="1:13" x14ac:dyDescent="0.25">
      <c r="A251" s="19">
        <v>0.94</v>
      </c>
      <c r="B251" s="19">
        <v>0.01</v>
      </c>
      <c r="C251" s="19">
        <v>0.05</v>
      </c>
      <c r="D251" s="20">
        <v>9</v>
      </c>
      <c r="E251" s="20">
        <v>306</v>
      </c>
      <c r="F251" s="20">
        <v>59</v>
      </c>
      <c r="G251" s="20">
        <v>6</v>
      </c>
      <c r="H251" s="20">
        <v>380</v>
      </c>
      <c r="I251" s="23">
        <v>2.368421052631579E-2</v>
      </c>
      <c r="J251" s="23">
        <v>0.80526315789473679</v>
      </c>
      <c r="K251" s="23">
        <v>0.15526315789473685</v>
      </c>
      <c r="L251" s="23">
        <v>1.5789473684210527E-2</v>
      </c>
      <c r="M251" s="21">
        <v>61.481578947368419</v>
      </c>
    </row>
    <row r="252" spans="1:13" x14ac:dyDescent="0.25">
      <c r="A252" s="19">
        <v>0.94078947368421051</v>
      </c>
      <c r="B252" s="19">
        <v>1.7543859649122806E-2</v>
      </c>
      <c r="C252" s="19">
        <v>4.1666666666666664E-2</v>
      </c>
      <c r="D252" s="20">
        <v>15</v>
      </c>
      <c r="E252" s="20">
        <v>511</v>
      </c>
      <c r="F252" s="20">
        <v>66</v>
      </c>
      <c r="G252" s="20">
        <v>10</v>
      </c>
      <c r="H252" s="20">
        <v>602</v>
      </c>
      <c r="I252" s="23">
        <v>2.4916943521594685E-2</v>
      </c>
      <c r="J252" s="23">
        <v>0.84883720930232553</v>
      </c>
      <c r="K252" s="23">
        <v>0.10963455149501661</v>
      </c>
      <c r="L252" s="23">
        <v>1.6611295681063124E-2</v>
      </c>
      <c r="M252" s="21">
        <v>51.303986710963457</v>
      </c>
    </row>
    <row r="253" spans="1:13" x14ac:dyDescent="0.25">
      <c r="A253" s="19">
        <v>0.92576419213973804</v>
      </c>
      <c r="B253" s="19">
        <v>2.8384279475982533E-2</v>
      </c>
      <c r="C253" s="19">
        <v>4.3668122270742356E-2</v>
      </c>
      <c r="D253" s="20">
        <v>30</v>
      </c>
      <c r="E253" s="20">
        <v>494</v>
      </c>
      <c r="F253" s="20">
        <v>74</v>
      </c>
      <c r="G253" s="20">
        <v>5</v>
      </c>
      <c r="H253" s="20">
        <v>603</v>
      </c>
      <c r="I253" s="23">
        <v>4.975124378109453E-2</v>
      </c>
      <c r="J253" s="23">
        <v>0.8192371475953566</v>
      </c>
      <c r="K253" s="23">
        <v>0.12271973466003316</v>
      </c>
      <c r="L253" s="23">
        <v>8.291873963515755E-3</v>
      </c>
      <c r="M253" s="21">
        <v>41.086235489220563</v>
      </c>
    </row>
    <row r="254" spans="1:13" x14ac:dyDescent="0.25">
      <c r="A254" s="19">
        <v>0.94252873563218387</v>
      </c>
      <c r="B254" s="19">
        <v>2.0689655172413793E-2</v>
      </c>
      <c r="C254" s="19">
        <v>3.2183908045977011E-2</v>
      </c>
      <c r="D254" s="20">
        <v>34</v>
      </c>
      <c r="E254" s="20">
        <v>485</v>
      </c>
      <c r="F254" s="20">
        <v>82</v>
      </c>
      <c r="G254" s="20">
        <v>2</v>
      </c>
      <c r="H254" s="20">
        <v>603</v>
      </c>
      <c r="I254" s="23">
        <v>5.6384742951907131E-2</v>
      </c>
      <c r="J254" s="23">
        <v>0.80431177446102819</v>
      </c>
      <c r="K254" s="23">
        <v>0.13598673300165837</v>
      </c>
      <c r="L254" s="23">
        <v>3.3167495854063019E-3</v>
      </c>
      <c r="M254" s="21">
        <v>32.203980099502488</v>
      </c>
    </row>
    <row r="255" spans="1:13" x14ac:dyDescent="0.25">
      <c r="A255" s="19">
        <v>0.93506493506493504</v>
      </c>
      <c r="B255" s="19">
        <v>3.2467532467532464E-2</v>
      </c>
      <c r="C255" s="19">
        <v>2.813852813852814E-2</v>
      </c>
      <c r="D255" s="20">
        <v>36</v>
      </c>
      <c r="E255" s="20">
        <v>464</v>
      </c>
      <c r="F255" s="20">
        <v>100</v>
      </c>
      <c r="G255" s="20">
        <v>3</v>
      </c>
      <c r="H255" s="20">
        <v>603</v>
      </c>
      <c r="I255" s="23">
        <v>5.9701492537313432E-2</v>
      </c>
      <c r="J255" s="23">
        <v>0.76948590381426207</v>
      </c>
      <c r="K255" s="23">
        <v>0.16583747927031509</v>
      </c>
      <c r="L255" s="23">
        <v>4.9751243781094526E-3</v>
      </c>
      <c r="M255" s="21">
        <v>23.102819237147596</v>
      </c>
    </row>
    <row r="256" spans="1:13" x14ac:dyDescent="0.25">
      <c r="A256" s="19">
        <v>0.89823008849557517</v>
      </c>
      <c r="B256" s="19">
        <v>2.6548672566371681E-2</v>
      </c>
      <c r="C256" s="19">
        <v>6.1946902654867256E-2</v>
      </c>
      <c r="D256" s="20">
        <v>3</v>
      </c>
      <c r="E256" s="20">
        <v>321</v>
      </c>
      <c r="F256" s="20">
        <v>50</v>
      </c>
      <c r="G256" s="20">
        <v>6</v>
      </c>
      <c r="H256" s="20">
        <v>380</v>
      </c>
      <c r="I256" s="23">
        <v>7.8947368421052634E-3</v>
      </c>
      <c r="J256" s="23">
        <v>0.84473684210526312</v>
      </c>
      <c r="K256" s="23">
        <v>0.13157894736842105</v>
      </c>
      <c r="L256" s="23">
        <v>1.5789473684210527E-2</v>
      </c>
      <c r="M256" s="21">
        <v>76.005263157894731</v>
      </c>
    </row>
    <row r="257" spans="1:13" x14ac:dyDescent="0.25">
      <c r="A257" s="19">
        <v>0.93939393939393945</v>
      </c>
      <c r="B257" s="19">
        <v>1.3468013468013467E-2</v>
      </c>
      <c r="C257" s="19">
        <v>4.7138047138047139E-2</v>
      </c>
      <c r="D257" s="20">
        <v>8</v>
      </c>
      <c r="E257" s="20">
        <v>326</v>
      </c>
      <c r="F257" s="20">
        <v>42</v>
      </c>
      <c r="G257" s="20">
        <v>4</v>
      </c>
      <c r="H257" s="20">
        <v>380</v>
      </c>
      <c r="I257" s="23">
        <v>2.1052631578947368E-2</v>
      </c>
      <c r="J257" s="23">
        <v>0.85789473684210527</v>
      </c>
      <c r="K257" s="23">
        <v>0.11052631578947368</v>
      </c>
      <c r="L257" s="23">
        <v>1.0526315789473684E-2</v>
      </c>
      <c r="M257" s="21">
        <v>66.702631578947361</v>
      </c>
    </row>
    <row r="258" spans="1:13" x14ac:dyDescent="0.25">
      <c r="A258" s="19">
        <v>0.93687707641196016</v>
      </c>
      <c r="B258" s="19">
        <v>1.3289036544850499E-2</v>
      </c>
      <c r="C258" s="19">
        <v>3.9867109634551492E-2</v>
      </c>
      <c r="D258" s="20">
        <v>11</v>
      </c>
      <c r="E258" s="20">
        <v>323</v>
      </c>
      <c r="F258" s="20">
        <v>45</v>
      </c>
      <c r="G258" s="20">
        <v>1</v>
      </c>
      <c r="H258" s="20">
        <v>380</v>
      </c>
      <c r="I258" s="23">
        <v>2.8947368421052631E-2</v>
      </c>
      <c r="J258" s="23">
        <v>0.85</v>
      </c>
      <c r="K258" s="23">
        <v>0.11842105263157894</v>
      </c>
      <c r="L258" s="23">
        <v>2.631578947368421E-3</v>
      </c>
      <c r="M258" s="21">
        <v>59.323684210526316</v>
      </c>
    </row>
    <row r="259" spans="1:13" x14ac:dyDescent="0.25">
      <c r="A259" s="19">
        <v>0.92307692307692313</v>
      </c>
      <c r="B259" s="19">
        <v>3.2967032967032968E-2</v>
      </c>
      <c r="C259" s="19">
        <v>3.5164835164835165E-2</v>
      </c>
      <c r="D259" s="20">
        <v>32</v>
      </c>
      <c r="E259" s="20">
        <v>506</v>
      </c>
      <c r="F259" s="20">
        <v>59</v>
      </c>
      <c r="G259" s="20">
        <v>6</v>
      </c>
      <c r="H259" s="20">
        <v>603</v>
      </c>
      <c r="I259" s="23">
        <v>5.306799336650083E-2</v>
      </c>
      <c r="J259" s="23">
        <v>0.83913764510779432</v>
      </c>
      <c r="K259" s="23">
        <v>9.7844112769485903E-2</v>
      </c>
      <c r="L259" s="23">
        <v>9.9502487562189053E-3</v>
      </c>
      <c r="M259" s="21">
        <v>49.99336650082919</v>
      </c>
    </row>
    <row r="260" spans="1:13" x14ac:dyDescent="0.25">
      <c r="A260" s="19">
        <v>0.92380952380952386</v>
      </c>
      <c r="B260" s="19">
        <v>3.0952380952380953E-2</v>
      </c>
      <c r="C260" s="19">
        <v>4.5238095238095237E-2</v>
      </c>
      <c r="D260" s="20">
        <v>50</v>
      </c>
      <c r="E260" s="20">
        <v>478</v>
      </c>
      <c r="F260" s="20">
        <v>73</v>
      </c>
      <c r="G260" s="20">
        <v>3</v>
      </c>
      <c r="H260" s="20">
        <v>604</v>
      </c>
      <c r="I260" s="23">
        <v>8.2781456953642391E-2</v>
      </c>
      <c r="J260" s="23">
        <v>0.79139072847682124</v>
      </c>
      <c r="K260" s="23">
        <v>0.12086092715231789</v>
      </c>
      <c r="L260" s="23">
        <v>4.9668874172185433E-3</v>
      </c>
      <c r="M260" s="21">
        <v>40.562913907284766</v>
      </c>
    </row>
    <row r="261" spans="1:13" x14ac:dyDescent="0.25">
      <c r="A261" s="19">
        <v>0.92048192771084336</v>
      </c>
      <c r="B261" s="19">
        <v>3.3734939759036145E-2</v>
      </c>
      <c r="C261" s="19">
        <v>4.3373493975903614E-2</v>
      </c>
      <c r="D261" s="20">
        <v>59</v>
      </c>
      <c r="E261" s="20">
        <v>460</v>
      </c>
      <c r="F261" s="20">
        <v>83</v>
      </c>
      <c r="G261" s="20">
        <v>2</v>
      </c>
      <c r="H261" s="20">
        <v>604</v>
      </c>
      <c r="I261" s="23">
        <v>9.7682119205298013E-2</v>
      </c>
      <c r="J261" s="23">
        <v>0.76158940397350994</v>
      </c>
      <c r="K261" s="23">
        <v>0.13741721854304637</v>
      </c>
      <c r="L261" s="23">
        <v>3.3112582781456954E-3</v>
      </c>
      <c r="M261" s="21">
        <v>32.253311258278146</v>
      </c>
    </row>
    <row r="262" spans="1:13" x14ac:dyDescent="0.25">
      <c r="A262" s="19">
        <v>0.86486486486486491</v>
      </c>
      <c r="B262" s="19">
        <v>8.9397089397089402E-2</v>
      </c>
      <c r="C262" s="19">
        <v>4.5738045738045741E-2</v>
      </c>
      <c r="D262" s="20">
        <v>116</v>
      </c>
      <c r="E262" s="20">
        <v>389</v>
      </c>
      <c r="F262" s="20">
        <v>99</v>
      </c>
      <c r="G262" s="20">
        <v>0</v>
      </c>
      <c r="H262" s="20">
        <v>604</v>
      </c>
      <c r="I262" s="23">
        <v>0.19205298013245034</v>
      </c>
      <c r="J262" s="23">
        <v>0.64403973509933776</v>
      </c>
      <c r="K262" s="23">
        <v>0.16390728476821192</v>
      </c>
      <c r="L262" s="23">
        <v>0</v>
      </c>
      <c r="M262" s="21">
        <v>22.890728476821192</v>
      </c>
    </row>
    <row r="263" spans="1:13" x14ac:dyDescent="0.25">
      <c r="A263" s="19">
        <v>0.82727272727272727</v>
      </c>
      <c r="B263" s="19">
        <v>4.0909090909090909E-2</v>
      </c>
      <c r="C263" s="19">
        <v>9.5454545454545459E-2</v>
      </c>
      <c r="D263" s="20">
        <v>0</v>
      </c>
      <c r="E263" s="20">
        <v>355</v>
      </c>
      <c r="F263" s="20">
        <v>23</v>
      </c>
      <c r="G263" s="20">
        <v>2</v>
      </c>
      <c r="H263" s="20">
        <v>380</v>
      </c>
      <c r="I263" s="23">
        <v>0</v>
      </c>
      <c r="J263" s="23">
        <v>0.93421052631578949</v>
      </c>
      <c r="K263" s="23">
        <v>6.0526315789473685E-2</v>
      </c>
      <c r="L263" s="23">
        <v>5.263157894736842E-3</v>
      </c>
      <c r="M263" s="21">
        <v>76.813157894736847</v>
      </c>
    </row>
    <row r="264" spans="1:13" x14ac:dyDescent="0.25">
      <c r="A264" s="19">
        <v>0.90972222222222221</v>
      </c>
      <c r="B264" s="19">
        <v>2.7777777777777776E-2</v>
      </c>
      <c r="C264" s="19">
        <v>5.2083333333333336E-2</v>
      </c>
      <c r="D264" s="20">
        <v>2</v>
      </c>
      <c r="E264" s="20">
        <v>364</v>
      </c>
      <c r="F264" s="20">
        <v>13</v>
      </c>
      <c r="G264" s="20">
        <v>1</v>
      </c>
      <c r="H264" s="20">
        <v>380</v>
      </c>
      <c r="I264" s="23">
        <v>5.263157894736842E-3</v>
      </c>
      <c r="J264" s="23">
        <v>0.95789473684210524</v>
      </c>
      <c r="K264" s="23">
        <v>3.4210526315789476E-2</v>
      </c>
      <c r="L264" s="23">
        <v>2.631578947368421E-3</v>
      </c>
      <c r="M264" s="21">
        <v>69.502631578947373</v>
      </c>
    </row>
    <row r="265" spans="1:13" x14ac:dyDescent="0.25">
      <c r="A265" s="19">
        <v>0.9375</v>
      </c>
      <c r="B265" s="19">
        <v>1.8749999999999999E-2</v>
      </c>
      <c r="C265" s="19">
        <v>4.3749999999999997E-2</v>
      </c>
      <c r="D265" s="20">
        <v>1</v>
      </c>
      <c r="E265" s="20">
        <v>356</v>
      </c>
      <c r="F265" s="20">
        <v>22</v>
      </c>
      <c r="G265" s="20">
        <v>1</v>
      </c>
      <c r="H265" s="20">
        <v>380</v>
      </c>
      <c r="I265" s="23">
        <v>2.631578947368421E-3</v>
      </c>
      <c r="J265" s="23">
        <v>0.93684210526315792</v>
      </c>
      <c r="K265" s="23">
        <v>5.7894736842105263E-2</v>
      </c>
      <c r="L265" s="23">
        <v>2.631578947368421E-3</v>
      </c>
      <c r="M265" s="21">
        <v>62.202631578947368</v>
      </c>
    </row>
    <row r="266" spans="1:13" x14ac:dyDescent="0.25">
      <c r="A266" s="19">
        <v>0.93055555555555558</v>
      </c>
      <c r="B266" s="19">
        <v>1.6203703703703703E-2</v>
      </c>
      <c r="C266" s="19">
        <v>4.3981481481481483E-2</v>
      </c>
      <c r="D266" s="20">
        <v>3</v>
      </c>
      <c r="E266" s="20">
        <v>495</v>
      </c>
      <c r="F266" s="20">
        <v>29</v>
      </c>
      <c r="G266" s="20">
        <v>3</v>
      </c>
      <c r="H266" s="20">
        <v>530</v>
      </c>
      <c r="I266" s="23">
        <v>5.6603773584905656E-3</v>
      </c>
      <c r="J266" s="23">
        <v>0.93396226415094341</v>
      </c>
      <c r="K266" s="23">
        <v>5.4716981132075473E-2</v>
      </c>
      <c r="L266" s="23">
        <v>5.6603773584905656E-3</v>
      </c>
      <c r="M266" s="21">
        <v>54.194339622641508</v>
      </c>
    </row>
    <row r="267" spans="1:13" x14ac:dyDescent="0.25">
      <c r="A267" s="19">
        <v>0.94417475728155342</v>
      </c>
      <c r="B267" s="19">
        <v>9.7087378640776691E-3</v>
      </c>
      <c r="C267" s="19">
        <v>4.3689320388349516E-2</v>
      </c>
      <c r="D267" s="20">
        <v>3</v>
      </c>
      <c r="E267" s="20">
        <v>486</v>
      </c>
      <c r="F267" s="20">
        <v>41</v>
      </c>
      <c r="G267" s="20">
        <v>1</v>
      </c>
      <c r="H267" s="20">
        <v>531</v>
      </c>
      <c r="I267" s="23">
        <v>5.6497175141242938E-3</v>
      </c>
      <c r="J267" s="23">
        <v>0.9152542372881356</v>
      </c>
      <c r="K267" s="23">
        <v>7.7212806026365349E-2</v>
      </c>
      <c r="L267" s="23">
        <v>1.8832391713747645E-3</v>
      </c>
      <c r="M267" s="21">
        <v>43.529190207156311</v>
      </c>
    </row>
    <row r="268" spans="1:13" x14ac:dyDescent="0.25">
      <c r="A268" s="19">
        <v>0.95704057279236276</v>
      </c>
      <c r="B268" s="19">
        <v>9.5465393794749408E-3</v>
      </c>
      <c r="C268" s="19">
        <v>2.8639618138424822E-2</v>
      </c>
      <c r="D268" s="20">
        <v>20</v>
      </c>
      <c r="E268" s="20">
        <v>439</v>
      </c>
      <c r="F268" s="20">
        <v>70</v>
      </c>
      <c r="G268" s="20">
        <v>2</v>
      </c>
      <c r="H268" s="20">
        <v>531</v>
      </c>
      <c r="I268" s="23">
        <v>3.7664783427495289E-2</v>
      </c>
      <c r="J268" s="23">
        <v>0.82674199623352163</v>
      </c>
      <c r="K268" s="23">
        <v>0.13182674199623351</v>
      </c>
      <c r="L268" s="23">
        <v>3.766478342749529E-3</v>
      </c>
      <c r="M268" s="21">
        <v>27.783427495291903</v>
      </c>
    </row>
    <row r="269" spans="1:13" x14ac:dyDescent="0.25">
      <c r="A269" s="19">
        <v>0.44791666666666669</v>
      </c>
      <c r="B269" s="19">
        <v>9.7222222222222224E-2</v>
      </c>
      <c r="C269" s="19">
        <v>0.41319444444444442</v>
      </c>
      <c r="D269" s="20">
        <v>164</v>
      </c>
      <c r="E269" s="20">
        <v>40</v>
      </c>
      <c r="F269" s="20">
        <v>163</v>
      </c>
      <c r="G269" s="20">
        <v>3</v>
      </c>
      <c r="H269" s="20">
        <v>370</v>
      </c>
      <c r="I269" s="23">
        <v>0.44324324324324327</v>
      </c>
      <c r="J269" s="23">
        <v>0.10810810810810811</v>
      </c>
      <c r="K269" s="23">
        <v>0.44054054054054054</v>
      </c>
      <c r="L269" s="23">
        <v>8.1081081081081086E-3</v>
      </c>
      <c r="M269" s="21">
        <v>64.689189189189193</v>
      </c>
    </row>
    <row r="270" spans="1:13" x14ac:dyDescent="0.25">
      <c r="A270" s="19">
        <v>0.49367088607594939</v>
      </c>
      <c r="B270" s="19">
        <v>0.12974683544303797</v>
      </c>
      <c r="C270" s="19">
        <v>0.36075949367088606</v>
      </c>
      <c r="D270" s="20">
        <v>179</v>
      </c>
      <c r="E270" s="20">
        <v>34</v>
      </c>
      <c r="F270" s="20">
        <v>156</v>
      </c>
      <c r="G270" s="20">
        <v>1</v>
      </c>
      <c r="H270" s="20">
        <v>370</v>
      </c>
      <c r="I270" s="23">
        <v>0.48378378378378378</v>
      </c>
      <c r="J270" s="23">
        <v>9.1891891891891897E-2</v>
      </c>
      <c r="K270" s="23">
        <v>0.42162162162162165</v>
      </c>
      <c r="L270" s="23">
        <v>2.7027027027027029E-3</v>
      </c>
      <c r="M270" s="21">
        <v>59.378378378378379</v>
      </c>
    </row>
    <row r="271" spans="1:13" x14ac:dyDescent="0.25">
      <c r="A271" s="19">
        <v>0.57414448669201523</v>
      </c>
      <c r="B271" s="19">
        <v>0.17110266159695817</v>
      </c>
      <c r="C271" s="19">
        <v>0.2414448669201521</v>
      </c>
      <c r="D271" s="20">
        <v>243</v>
      </c>
      <c r="E271" s="20">
        <v>81</v>
      </c>
      <c r="F271" s="20">
        <v>308</v>
      </c>
      <c r="G271" s="20">
        <v>8</v>
      </c>
      <c r="H271" s="20">
        <v>640</v>
      </c>
      <c r="I271" s="23">
        <v>0.37968750000000001</v>
      </c>
      <c r="J271" s="23">
        <v>0.12656249999999999</v>
      </c>
      <c r="K271" s="23">
        <v>0.48125000000000001</v>
      </c>
      <c r="L271" s="23">
        <v>1.2500000000000001E-2</v>
      </c>
      <c r="M271" s="21">
        <v>48.670312500000001</v>
      </c>
    </row>
    <row r="272" spans="1:13" x14ac:dyDescent="0.25">
      <c r="A272" s="19">
        <v>0.60685483870967738</v>
      </c>
      <c r="B272" s="19">
        <v>0.17137096774193547</v>
      </c>
      <c r="C272" s="19">
        <v>0.20564516129032259</v>
      </c>
      <c r="D272" s="20">
        <v>270</v>
      </c>
      <c r="E272" s="20">
        <v>76</v>
      </c>
      <c r="F272" s="20">
        <v>292</v>
      </c>
      <c r="G272" s="20">
        <v>2</v>
      </c>
      <c r="H272" s="20">
        <v>640</v>
      </c>
      <c r="I272" s="23">
        <v>0.421875</v>
      </c>
      <c r="J272" s="23">
        <v>0.11874999999999999</v>
      </c>
      <c r="K272" s="23">
        <v>0.45624999999999999</v>
      </c>
      <c r="L272" s="23">
        <v>3.1250000000000002E-3</v>
      </c>
      <c r="M272" s="21">
        <v>37.589062499999997</v>
      </c>
    </row>
    <row r="273" spans="1:13" x14ac:dyDescent="0.25">
      <c r="A273" s="19">
        <v>0.51307847082494973</v>
      </c>
      <c r="B273" s="19">
        <v>0.25352112676056338</v>
      </c>
      <c r="C273" s="19">
        <v>0.22937625754527163</v>
      </c>
      <c r="D273" s="20">
        <v>338</v>
      </c>
      <c r="E273" s="20">
        <v>48</v>
      </c>
      <c r="F273" s="20">
        <v>253</v>
      </c>
      <c r="G273" s="20">
        <v>1</v>
      </c>
      <c r="H273" s="20">
        <v>640</v>
      </c>
      <c r="I273" s="23">
        <v>0.52812499999999996</v>
      </c>
      <c r="J273" s="23">
        <v>7.4999999999999997E-2</v>
      </c>
      <c r="K273" s="23">
        <v>0.39531250000000001</v>
      </c>
      <c r="L273" s="23">
        <v>1.5625000000000001E-3</v>
      </c>
      <c r="M273" s="21">
        <v>29.595312499999999</v>
      </c>
    </row>
    <row r="274" spans="1:13" x14ac:dyDescent="0.25">
      <c r="A274" s="19">
        <v>0.51544401544401541</v>
      </c>
      <c r="B274" s="19">
        <v>0.2857142857142857</v>
      </c>
      <c r="C274" s="19">
        <v>0.19498069498069498</v>
      </c>
      <c r="D274" s="20">
        <v>350</v>
      </c>
      <c r="E274" s="20">
        <v>29</v>
      </c>
      <c r="F274" s="20">
        <v>262</v>
      </c>
      <c r="G274" s="20">
        <v>0</v>
      </c>
      <c r="H274" s="20">
        <v>641</v>
      </c>
      <c r="I274" s="23">
        <v>0.54602184087363492</v>
      </c>
      <c r="J274" s="23">
        <v>4.5241809672386897E-2</v>
      </c>
      <c r="K274" s="23">
        <v>0.40873634945397813</v>
      </c>
      <c r="L274" s="23">
        <v>0</v>
      </c>
      <c r="M274" s="21">
        <v>22.13260530421217</v>
      </c>
    </row>
    <row r="275" spans="1:13" x14ac:dyDescent="0.25">
      <c r="A275" s="19">
        <v>0.65437788018433185</v>
      </c>
      <c r="B275" s="19">
        <v>0.10138248847926268</v>
      </c>
      <c r="C275" s="19">
        <v>0.2304147465437788</v>
      </c>
      <c r="D275" s="20">
        <v>33</v>
      </c>
      <c r="E275" s="20">
        <v>213</v>
      </c>
      <c r="F275" s="20">
        <v>131</v>
      </c>
      <c r="G275" s="20">
        <v>3</v>
      </c>
      <c r="H275" s="20">
        <v>380</v>
      </c>
      <c r="I275" s="23">
        <v>8.6842105263157901E-2</v>
      </c>
      <c r="J275" s="23">
        <v>0.56052631578947365</v>
      </c>
      <c r="K275" s="23">
        <v>0.34473684210526317</v>
      </c>
      <c r="L275" s="23">
        <v>7.8947368421052634E-3</v>
      </c>
      <c r="M275" s="21">
        <v>64.221052631578942</v>
      </c>
    </row>
    <row r="276" spans="1:13" x14ac:dyDescent="0.25">
      <c r="A276" s="19">
        <v>0.63917525773195871</v>
      </c>
      <c r="B276" s="19">
        <v>7.903780068728522E-2</v>
      </c>
      <c r="C276" s="19">
        <v>0.27491408934707906</v>
      </c>
      <c r="D276" s="20">
        <v>22</v>
      </c>
      <c r="E276" s="20">
        <v>247</v>
      </c>
      <c r="F276" s="20">
        <v>108</v>
      </c>
      <c r="G276" s="20">
        <v>3</v>
      </c>
      <c r="H276" s="20">
        <v>380</v>
      </c>
      <c r="I276" s="23">
        <v>5.7894736842105263E-2</v>
      </c>
      <c r="J276" s="23">
        <v>0.65</v>
      </c>
      <c r="K276" s="23">
        <v>0.28421052631578947</v>
      </c>
      <c r="L276" s="23">
        <v>7.8947368421052634E-3</v>
      </c>
      <c r="M276" s="21">
        <v>52.19736842105263</v>
      </c>
    </row>
    <row r="277" spans="1:13" x14ac:dyDescent="0.25">
      <c r="A277" s="19">
        <v>0.5727554179566563</v>
      </c>
      <c r="B277" s="19">
        <v>0.11145510835913312</v>
      </c>
      <c r="C277" s="19">
        <v>0.30650154798761609</v>
      </c>
      <c r="D277" s="20">
        <v>29</v>
      </c>
      <c r="E277" s="20">
        <v>221</v>
      </c>
      <c r="F277" s="20">
        <v>126</v>
      </c>
      <c r="G277" s="20">
        <v>4</v>
      </c>
      <c r="H277" s="20">
        <v>380</v>
      </c>
      <c r="I277" s="23">
        <v>7.6315789473684212E-2</v>
      </c>
      <c r="J277" s="23">
        <v>0.58157894736842108</v>
      </c>
      <c r="K277" s="23">
        <v>0.33157894736842103</v>
      </c>
      <c r="L277" s="23">
        <v>1.0526315789473684E-2</v>
      </c>
      <c r="M277" s="21">
        <v>43.271052631578947</v>
      </c>
    </row>
    <row r="278" spans="1:13" x14ac:dyDescent="0.25">
      <c r="A278" s="19">
        <v>0.50156739811912221</v>
      </c>
      <c r="B278" s="19">
        <v>0.109717868338558</v>
      </c>
      <c r="C278" s="19">
        <v>0.36990595611285265</v>
      </c>
      <c r="D278" s="20">
        <v>42</v>
      </c>
      <c r="E278" s="20">
        <v>236</v>
      </c>
      <c r="F278" s="20">
        <v>102</v>
      </c>
      <c r="G278" s="20">
        <v>0</v>
      </c>
      <c r="H278" s="20">
        <v>380</v>
      </c>
      <c r="I278" s="23">
        <v>0.11052631578947368</v>
      </c>
      <c r="J278" s="23">
        <v>0.62105263157894741</v>
      </c>
      <c r="K278" s="23">
        <v>0.26842105263157895</v>
      </c>
      <c r="L278" s="23">
        <v>0</v>
      </c>
      <c r="M278" s="21">
        <v>36.744736842105262</v>
      </c>
    </row>
    <row r="279" spans="1:13" x14ac:dyDescent="0.25">
      <c r="A279" s="19">
        <v>0.5907590759075908</v>
      </c>
      <c r="B279" s="19">
        <v>0.14521452145214522</v>
      </c>
      <c r="C279" s="19">
        <v>0.25742574257425743</v>
      </c>
      <c r="D279" s="20">
        <v>60</v>
      </c>
      <c r="E279" s="20">
        <v>397</v>
      </c>
      <c r="F279" s="20">
        <v>128</v>
      </c>
      <c r="G279" s="20">
        <v>1</v>
      </c>
      <c r="H279" s="20">
        <v>586</v>
      </c>
      <c r="I279" s="23">
        <v>0.10238907849829351</v>
      </c>
      <c r="J279" s="23">
        <v>0.6774744027303754</v>
      </c>
      <c r="K279" s="23">
        <v>0.21843003412969283</v>
      </c>
      <c r="L279" s="23">
        <v>1.7064846416382253E-3</v>
      </c>
      <c r="M279" s="21">
        <v>29.286689419795223</v>
      </c>
    </row>
    <row r="280" spans="1:13" x14ac:dyDescent="0.25">
      <c r="A280" s="19">
        <v>0.68849557522123894</v>
      </c>
      <c r="B280" s="19">
        <v>9.3805309734513273E-2</v>
      </c>
      <c r="C280" s="19">
        <v>0.21238938053097345</v>
      </c>
      <c r="D280" s="20">
        <v>67</v>
      </c>
      <c r="E280" s="20">
        <v>385</v>
      </c>
      <c r="F280" s="20">
        <v>134</v>
      </c>
      <c r="G280" s="20">
        <v>0</v>
      </c>
      <c r="H280" s="20">
        <v>586</v>
      </c>
      <c r="I280" s="23">
        <v>0.11433447098976109</v>
      </c>
      <c r="J280" s="23">
        <v>0.65699658703071673</v>
      </c>
      <c r="K280" s="23">
        <v>0.22866894197952217</v>
      </c>
      <c r="L280" s="23">
        <v>0</v>
      </c>
      <c r="M280" s="21">
        <v>21.569965870307168</v>
      </c>
    </row>
    <row r="281" spans="1:13" x14ac:dyDescent="0.25">
      <c r="A281" s="19">
        <v>0.73476702508960579</v>
      </c>
      <c r="B281" s="19">
        <v>0.1003584229390681</v>
      </c>
      <c r="C281" s="19">
        <v>0.14157706093189965</v>
      </c>
      <c r="D281" s="20">
        <v>80</v>
      </c>
      <c r="E281" s="20">
        <v>158</v>
      </c>
      <c r="F281" s="20">
        <v>129</v>
      </c>
      <c r="G281" s="20">
        <v>3</v>
      </c>
      <c r="H281" s="20">
        <v>370</v>
      </c>
      <c r="I281" s="23">
        <v>0.21621621621621623</v>
      </c>
      <c r="J281" s="23">
        <v>0.42702702702702705</v>
      </c>
      <c r="K281" s="23">
        <v>0.34864864864864864</v>
      </c>
      <c r="L281" s="23">
        <v>8.1081081081081086E-3</v>
      </c>
      <c r="M281" s="21">
        <v>58.908108108108109</v>
      </c>
    </row>
    <row r="282" spans="1:13" x14ac:dyDescent="0.25">
      <c r="A282" s="19">
        <v>0.74311926605504586</v>
      </c>
      <c r="B282" s="19">
        <v>0.10275229357798166</v>
      </c>
      <c r="C282" s="19">
        <v>0.14862385321100918</v>
      </c>
      <c r="D282" s="20">
        <v>111</v>
      </c>
      <c r="E282" s="20">
        <v>159</v>
      </c>
      <c r="F282" s="20">
        <v>99</v>
      </c>
      <c r="G282" s="20">
        <v>1</v>
      </c>
      <c r="H282" s="20">
        <v>370</v>
      </c>
      <c r="I282" s="23">
        <v>0.3</v>
      </c>
      <c r="J282" s="23">
        <v>0.42972972972972973</v>
      </c>
      <c r="K282" s="23">
        <v>0.26756756756756755</v>
      </c>
      <c r="L282" s="23">
        <v>2.7027027027027029E-3</v>
      </c>
      <c r="M282" s="21">
        <v>70.921621621621625</v>
      </c>
    </row>
    <row r="283" spans="1:13" x14ac:dyDescent="0.25">
      <c r="A283" s="19">
        <v>0.77449168207024033</v>
      </c>
      <c r="B283" s="19">
        <v>9.4269870609981515E-2</v>
      </c>
      <c r="C283" s="19">
        <v>0.12199630314232902</v>
      </c>
      <c r="D283" s="20">
        <v>159</v>
      </c>
      <c r="E283" s="20">
        <v>133</v>
      </c>
      <c r="F283" s="20">
        <v>74</v>
      </c>
      <c r="G283" s="20">
        <v>4</v>
      </c>
      <c r="H283" s="20">
        <v>370</v>
      </c>
      <c r="I283" s="23">
        <v>0.42972972972972973</v>
      </c>
      <c r="J283" s="23">
        <v>0.35945945945945945</v>
      </c>
      <c r="K283" s="23">
        <v>0.2</v>
      </c>
      <c r="L283" s="23">
        <v>1.0810810810810811E-2</v>
      </c>
      <c r="M283" s="21">
        <v>65.254054054054052</v>
      </c>
    </row>
    <row r="284" spans="1:13" x14ac:dyDescent="0.25">
      <c r="A284" s="19">
        <v>0.75600000000000001</v>
      </c>
      <c r="B284" s="19">
        <v>9.4E-2</v>
      </c>
      <c r="C284" s="19">
        <v>0.14000000000000001</v>
      </c>
      <c r="D284" s="20">
        <v>183</v>
      </c>
      <c r="E284" s="20">
        <v>111</v>
      </c>
      <c r="F284" s="20">
        <v>73</v>
      </c>
      <c r="G284" s="20">
        <v>3</v>
      </c>
      <c r="H284" s="20">
        <v>370</v>
      </c>
      <c r="I284" s="23">
        <v>0.49459459459459459</v>
      </c>
      <c r="J284" s="23">
        <v>0.3</v>
      </c>
      <c r="K284" s="23">
        <v>0.19729729729729731</v>
      </c>
      <c r="L284" s="23">
        <v>8.1081081081081086E-3</v>
      </c>
      <c r="M284" s="21">
        <v>62.02162162162162</v>
      </c>
    </row>
    <row r="285" spans="1:13" x14ac:dyDescent="0.25">
      <c r="A285" s="19">
        <v>0.73006134969325154</v>
      </c>
      <c r="B285" s="19">
        <v>0.13496932515337423</v>
      </c>
      <c r="C285" s="19">
        <v>0.130879345603272</v>
      </c>
      <c r="D285" s="20">
        <v>153</v>
      </c>
      <c r="E285" s="20">
        <v>127</v>
      </c>
      <c r="F285" s="20">
        <v>88</v>
      </c>
      <c r="G285" s="20">
        <v>2</v>
      </c>
      <c r="H285" s="20">
        <v>370</v>
      </c>
      <c r="I285" s="23">
        <v>0.41351351351351351</v>
      </c>
      <c r="J285" s="23">
        <v>0.34324324324324323</v>
      </c>
      <c r="K285" s="23">
        <v>0.23783783783783785</v>
      </c>
      <c r="L285" s="23">
        <v>5.4054054054054057E-3</v>
      </c>
      <c r="M285" s="21">
        <v>59.678378378378376</v>
      </c>
    </row>
    <row r="286" spans="1:13" x14ac:dyDescent="0.25">
      <c r="A286" s="19">
        <v>0.64360587002096437</v>
      </c>
      <c r="B286" s="19">
        <v>0.21383647798742139</v>
      </c>
      <c r="C286" s="19">
        <v>0.14046121593291405</v>
      </c>
      <c r="D286" s="20">
        <v>203</v>
      </c>
      <c r="E286" s="20">
        <v>271</v>
      </c>
      <c r="F286" s="20">
        <v>190</v>
      </c>
      <c r="G286" s="20">
        <v>9</v>
      </c>
      <c r="H286" s="20">
        <v>673</v>
      </c>
      <c r="I286" s="23">
        <v>0.30163447251114411</v>
      </c>
      <c r="J286" s="23">
        <v>0.40267459138187223</v>
      </c>
      <c r="K286" s="23">
        <v>0.28231797919762258</v>
      </c>
      <c r="L286" s="23">
        <v>1.3372956909361069E-2</v>
      </c>
      <c r="M286" s="21">
        <v>56.419019316493312</v>
      </c>
    </row>
    <row r="287" spans="1:13" x14ac:dyDescent="0.25">
      <c r="A287" s="19">
        <v>0.64075630252100846</v>
      </c>
      <c r="B287" s="19">
        <v>0.21008403361344538</v>
      </c>
      <c r="C287" s="19">
        <v>0.14705882352941177</v>
      </c>
      <c r="D287" s="20">
        <v>161</v>
      </c>
      <c r="E287" s="20">
        <v>288</v>
      </c>
      <c r="F287" s="20">
        <v>219</v>
      </c>
      <c r="G287" s="20">
        <v>5</v>
      </c>
      <c r="H287" s="20">
        <v>673</v>
      </c>
      <c r="I287" s="23">
        <v>0.23922734026745915</v>
      </c>
      <c r="J287" s="23">
        <v>0.42793462109955421</v>
      </c>
      <c r="K287" s="23">
        <v>0.32540861812778604</v>
      </c>
      <c r="L287" s="23">
        <v>7.429420505200594E-3</v>
      </c>
      <c r="M287" s="21">
        <v>52.420505200594356</v>
      </c>
    </row>
    <row r="288" spans="1:13" x14ac:dyDescent="0.25">
      <c r="A288" s="19">
        <v>0.59591836734693882</v>
      </c>
      <c r="B288" s="19">
        <v>0.22857142857142856</v>
      </c>
      <c r="C288" s="19">
        <v>0.17346938775510204</v>
      </c>
      <c r="D288" s="20">
        <v>146</v>
      </c>
      <c r="E288" s="20">
        <v>282</v>
      </c>
      <c r="F288" s="20">
        <v>235</v>
      </c>
      <c r="G288" s="20">
        <v>10</v>
      </c>
      <c r="H288" s="20">
        <v>673</v>
      </c>
      <c r="I288" s="23">
        <v>0.21693907875185736</v>
      </c>
      <c r="J288" s="23">
        <v>0.41901931649331353</v>
      </c>
      <c r="K288" s="23">
        <v>0.34918276374442792</v>
      </c>
      <c r="L288" s="23">
        <v>1.4858841010401188E-2</v>
      </c>
      <c r="M288" s="21">
        <v>48.846953937592865</v>
      </c>
    </row>
    <row r="289" spans="1:13" x14ac:dyDescent="0.25">
      <c r="A289" s="19">
        <v>0.62815126050420167</v>
      </c>
      <c r="B289" s="19">
        <v>0.20588235294117646</v>
      </c>
      <c r="C289" s="19">
        <v>0.15966386554621848</v>
      </c>
      <c r="D289" s="20">
        <v>143</v>
      </c>
      <c r="E289" s="20">
        <v>300</v>
      </c>
      <c r="F289" s="20">
        <v>217</v>
      </c>
      <c r="G289" s="20">
        <v>13</v>
      </c>
      <c r="H289" s="20">
        <v>673</v>
      </c>
      <c r="I289" s="23">
        <v>0.21248142644873699</v>
      </c>
      <c r="J289" s="23">
        <v>0.44576523031203569</v>
      </c>
      <c r="K289" s="23">
        <v>0.32243684992570582</v>
      </c>
      <c r="L289" s="23">
        <v>1.9316493313521546E-2</v>
      </c>
      <c r="M289" s="21">
        <v>45.65378900445765</v>
      </c>
    </row>
    <row r="290" spans="1:13" x14ac:dyDescent="0.25">
      <c r="A290" s="19">
        <v>0.59599999999999997</v>
      </c>
      <c r="B290" s="19">
        <v>0.216</v>
      </c>
      <c r="C290" s="19">
        <v>0.182</v>
      </c>
      <c r="D290" s="20">
        <v>150</v>
      </c>
      <c r="E290" s="20">
        <v>300</v>
      </c>
      <c r="F290" s="20">
        <v>211</v>
      </c>
      <c r="G290" s="20">
        <v>12</v>
      </c>
      <c r="H290" s="20">
        <v>673</v>
      </c>
      <c r="I290" s="23">
        <v>0.22288261515601784</v>
      </c>
      <c r="J290" s="23">
        <v>0.44576523031203569</v>
      </c>
      <c r="K290" s="23">
        <v>0.31352154531946508</v>
      </c>
      <c r="L290" s="23">
        <v>1.7830609212481426E-2</v>
      </c>
      <c r="M290" s="21">
        <v>42.496285289747398</v>
      </c>
    </row>
    <row r="291" spans="1:13" x14ac:dyDescent="0.25">
      <c r="A291" s="19">
        <v>0.62040816326530612</v>
      </c>
      <c r="B291" s="19">
        <v>0.22857142857142856</v>
      </c>
      <c r="C291" s="19">
        <v>0.1489795918367347</v>
      </c>
      <c r="D291" s="20">
        <v>205</v>
      </c>
      <c r="E291" s="20">
        <v>266</v>
      </c>
      <c r="F291" s="20">
        <v>195</v>
      </c>
      <c r="G291" s="20">
        <v>7</v>
      </c>
      <c r="H291" s="20">
        <v>673</v>
      </c>
      <c r="I291" s="23">
        <v>0.30460624071322434</v>
      </c>
      <c r="J291" s="23">
        <v>0.3952451708766716</v>
      </c>
      <c r="K291" s="23">
        <v>0.28974739970282321</v>
      </c>
      <c r="L291" s="23">
        <v>1.0401188707280832E-2</v>
      </c>
      <c r="M291" s="21">
        <v>39.453194650817238</v>
      </c>
    </row>
    <row r="292" spans="1:13" x14ac:dyDescent="0.25">
      <c r="A292" s="19">
        <v>0.6324626865671642</v>
      </c>
      <c r="B292" s="19">
        <v>0.21082089552238806</v>
      </c>
      <c r="C292" s="19">
        <v>0.14365671641791045</v>
      </c>
      <c r="D292" s="20">
        <v>277</v>
      </c>
      <c r="E292" s="20">
        <v>234</v>
      </c>
      <c r="F292" s="20">
        <v>154</v>
      </c>
      <c r="G292" s="20">
        <v>8</v>
      </c>
      <c r="H292" s="20">
        <v>673</v>
      </c>
      <c r="I292" s="23">
        <v>0.41158989598811291</v>
      </c>
      <c r="J292" s="23">
        <v>0.3476968796433878</v>
      </c>
      <c r="K292" s="23">
        <v>0.2288261515601783</v>
      </c>
      <c r="L292" s="23">
        <v>1.188707280832095E-2</v>
      </c>
      <c r="M292" s="21">
        <v>36.794947994056464</v>
      </c>
    </row>
    <row r="293" spans="1:13" x14ac:dyDescent="0.25">
      <c r="A293" s="19">
        <v>0.6440366972477064</v>
      </c>
      <c r="B293" s="19">
        <v>0.19266055045871561</v>
      </c>
      <c r="C293" s="19">
        <v>0.15963302752293579</v>
      </c>
      <c r="D293" s="20">
        <v>293</v>
      </c>
      <c r="E293" s="20">
        <v>217</v>
      </c>
      <c r="F293" s="20">
        <v>153</v>
      </c>
      <c r="G293" s="20">
        <v>10</v>
      </c>
      <c r="H293" s="20">
        <v>673</v>
      </c>
      <c r="I293" s="23">
        <v>0.43536404160475484</v>
      </c>
      <c r="J293" s="23">
        <v>0.32243684992570582</v>
      </c>
      <c r="K293" s="23">
        <v>0.22734026745913818</v>
      </c>
      <c r="L293" s="23">
        <v>1.4858841010401188E-2</v>
      </c>
      <c r="M293" s="21">
        <v>34.416047548291232</v>
      </c>
    </row>
    <row r="294" spans="1:13" x14ac:dyDescent="0.25">
      <c r="A294" s="19">
        <v>0.66238532110091741</v>
      </c>
      <c r="B294" s="19">
        <v>0.1889908256880734</v>
      </c>
      <c r="C294" s="19">
        <v>0.13761467889908258</v>
      </c>
      <c r="D294" s="20">
        <v>296</v>
      </c>
      <c r="E294" s="20">
        <v>206</v>
      </c>
      <c r="F294" s="20">
        <v>166</v>
      </c>
      <c r="G294" s="20">
        <v>5</v>
      </c>
      <c r="H294" s="20">
        <v>673</v>
      </c>
      <c r="I294" s="23">
        <v>0.43982169390787518</v>
      </c>
      <c r="J294" s="23">
        <v>0.30609212481426451</v>
      </c>
      <c r="K294" s="23">
        <v>0.24665676077265974</v>
      </c>
      <c r="L294" s="23">
        <v>7.429420505200594E-3</v>
      </c>
      <c r="M294" s="21">
        <v>32.20950965824666</v>
      </c>
    </row>
    <row r="295" spans="1:13" x14ac:dyDescent="0.25">
      <c r="A295" s="19">
        <v>0.66482504604051562</v>
      </c>
      <c r="B295" s="19">
        <v>0.18784530386740331</v>
      </c>
      <c r="C295" s="19">
        <v>0.13996316758747698</v>
      </c>
      <c r="D295" s="20">
        <v>292</v>
      </c>
      <c r="E295" s="20">
        <v>204</v>
      </c>
      <c r="F295" s="20">
        <v>172</v>
      </c>
      <c r="G295" s="20">
        <v>6</v>
      </c>
      <c r="H295" s="20">
        <v>674</v>
      </c>
      <c r="I295" s="23">
        <v>0.43323442136498519</v>
      </c>
      <c r="J295" s="23">
        <v>0.30267062314540061</v>
      </c>
      <c r="K295" s="23">
        <v>0.25519287833827892</v>
      </c>
      <c r="L295" s="23">
        <v>8.9020771513353119E-3</v>
      </c>
      <c r="M295" s="21">
        <v>30.415430267062316</v>
      </c>
    </row>
    <row r="296" spans="1:13" x14ac:dyDescent="0.25">
      <c r="A296" s="19">
        <v>0.65845070422535212</v>
      </c>
      <c r="B296" s="19">
        <v>0.20422535211267606</v>
      </c>
      <c r="C296" s="19">
        <v>0.12676056338028169</v>
      </c>
      <c r="D296" s="20">
        <v>296</v>
      </c>
      <c r="E296" s="20">
        <v>201</v>
      </c>
      <c r="F296" s="20">
        <v>170</v>
      </c>
      <c r="G296" s="20">
        <v>7</v>
      </c>
      <c r="H296" s="20">
        <v>674</v>
      </c>
      <c r="I296" s="23">
        <v>0.43916913946587538</v>
      </c>
      <c r="J296" s="23">
        <v>0.29821958456973297</v>
      </c>
      <c r="K296" s="23">
        <v>0.25222551928783382</v>
      </c>
      <c r="L296" s="23">
        <v>1.0385756676557863E-2</v>
      </c>
      <c r="M296" s="21">
        <v>28.590504451038576</v>
      </c>
    </row>
    <row r="297" spans="1:13" x14ac:dyDescent="0.25">
      <c r="A297" s="19">
        <v>0.80701754385964908</v>
      </c>
      <c r="B297" s="19">
        <v>3.8596491228070177E-2</v>
      </c>
      <c r="C297" s="19">
        <v>0.14385964912280702</v>
      </c>
      <c r="D297" s="20">
        <v>295</v>
      </c>
      <c r="E297" s="20">
        <v>203</v>
      </c>
      <c r="F297" s="20">
        <v>171</v>
      </c>
      <c r="G297" s="20">
        <v>5</v>
      </c>
      <c r="H297" s="20">
        <v>674</v>
      </c>
      <c r="I297" s="23">
        <v>0.43768545994065283</v>
      </c>
      <c r="J297" s="23">
        <v>0.30118694362017806</v>
      </c>
      <c r="K297" s="23">
        <v>0.25370919881305637</v>
      </c>
      <c r="L297" s="23">
        <v>7.4183976261127599E-3</v>
      </c>
      <c r="M297" s="21">
        <v>26.781899109792285</v>
      </c>
    </row>
    <row r="298" spans="1:13" x14ac:dyDescent="0.25">
      <c r="A298" s="19">
        <v>0.89438943894389444</v>
      </c>
      <c r="B298" s="19">
        <v>3.6303630363036306E-2</v>
      </c>
      <c r="C298" s="19">
        <v>5.9405940594059403E-2</v>
      </c>
      <c r="D298" s="20">
        <v>283</v>
      </c>
      <c r="E298" s="20">
        <v>211</v>
      </c>
      <c r="F298" s="20">
        <v>175</v>
      </c>
      <c r="G298" s="20">
        <v>5</v>
      </c>
      <c r="H298" s="20">
        <v>674</v>
      </c>
      <c r="I298" s="23">
        <v>0.41988130563798221</v>
      </c>
      <c r="J298" s="23">
        <v>0.31305637982195844</v>
      </c>
      <c r="K298" s="23">
        <v>0.25964391691394662</v>
      </c>
      <c r="L298" s="23">
        <v>7.4183976261127599E-3</v>
      </c>
      <c r="M298" s="21">
        <v>25.215133531157271</v>
      </c>
    </row>
    <row r="299" spans="1:13" x14ac:dyDescent="0.25">
      <c r="A299" s="19">
        <v>0.92096219931271472</v>
      </c>
      <c r="B299" s="19">
        <v>3.0927835051546393E-2</v>
      </c>
      <c r="C299" s="19">
        <v>4.8109965635738834E-2</v>
      </c>
      <c r="D299" s="20">
        <v>292</v>
      </c>
      <c r="E299" s="20">
        <v>193</v>
      </c>
      <c r="F299" s="20">
        <v>185</v>
      </c>
      <c r="G299" s="20">
        <v>4</v>
      </c>
      <c r="H299" s="20">
        <v>674</v>
      </c>
      <c r="I299" s="23">
        <v>0.43323442136498519</v>
      </c>
      <c r="J299" s="23">
        <v>0.28635014836795253</v>
      </c>
      <c r="K299" s="23">
        <v>0.27448071216617209</v>
      </c>
      <c r="L299" s="23">
        <v>5.9347181008902079E-3</v>
      </c>
      <c r="M299" s="21">
        <v>23.575667655786351</v>
      </c>
    </row>
    <row r="300" spans="1:13" x14ac:dyDescent="0.25">
      <c r="A300" s="19">
        <v>0.88043478260869568</v>
      </c>
      <c r="B300" s="19">
        <v>4.710144927536232E-2</v>
      </c>
      <c r="C300" s="19">
        <v>7.2463768115942032E-2</v>
      </c>
      <c r="D300" s="20">
        <v>273</v>
      </c>
      <c r="E300" s="20">
        <v>193</v>
      </c>
      <c r="F300" s="20">
        <v>202</v>
      </c>
      <c r="G300" s="20">
        <v>6</v>
      </c>
      <c r="H300" s="20">
        <v>674</v>
      </c>
      <c r="I300" s="23">
        <v>0.40504451038575667</v>
      </c>
      <c r="J300" s="23">
        <v>0.28635014836795253</v>
      </c>
      <c r="K300" s="23">
        <v>0.29970326409495551</v>
      </c>
      <c r="L300" s="23">
        <v>8.9020771513353119E-3</v>
      </c>
      <c r="M300" s="21">
        <v>22.090504451038576</v>
      </c>
    </row>
    <row r="301" spans="1:13" x14ac:dyDescent="0.25">
      <c r="A301" s="19">
        <v>0.89819004524886881</v>
      </c>
      <c r="B301" s="19">
        <v>4.7511312217194568E-2</v>
      </c>
      <c r="C301" s="19">
        <v>5.2036199095022627E-2</v>
      </c>
      <c r="D301" s="20">
        <v>260</v>
      </c>
      <c r="E301" s="20">
        <v>215</v>
      </c>
      <c r="F301" s="20">
        <v>195</v>
      </c>
      <c r="G301" s="20">
        <v>4</v>
      </c>
      <c r="H301" s="20">
        <v>674</v>
      </c>
      <c r="I301" s="23">
        <v>0.3857566765578635</v>
      </c>
      <c r="J301" s="23">
        <v>0.31899109792284869</v>
      </c>
      <c r="K301" s="23">
        <v>0.28931750741839762</v>
      </c>
      <c r="L301" s="23">
        <v>5.9347181008902079E-3</v>
      </c>
      <c r="M301" s="21">
        <v>20.473293768545993</v>
      </c>
    </row>
    <row r="302" spans="1:13" x14ac:dyDescent="0.25">
      <c r="A302" s="19">
        <v>0.91163793103448276</v>
      </c>
      <c r="B302" s="19">
        <v>3.4482758620689655E-2</v>
      </c>
      <c r="C302" s="19">
        <v>4.9568965517241381E-2</v>
      </c>
      <c r="D302" s="20">
        <v>264</v>
      </c>
      <c r="E302" s="20">
        <v>210</v>
      </c>
      <c r="F302" s="20">
        <v>192</v>
      </c>
      <c r="G302" s="20">
        <v>8</v>
      </c>
      <c r="H302" s="20">
        <v>674</v>
      </c>
      <c r="I302" s="23">
        <v>0.39169139465875369</v>
      </c>
      <c r="J302" s="23">
        <v>0.31157270029673589</v>
      </c>
      <c r="K302" s="23">
        <v>0.28486646884272998</v>
      </c>
      <c r="L302" s="23">
        <v>1.1869436201780416E-2</v>
      </c>
      <c r="M302" s="21">
        <v>18.744807121661722</v>
      </c>
    </row>
    <row r="303" spans="1:13" x14ac:dyDescent="0.25">
      <c r="A303" s="19">
        <v>0.5962264150943396</v>
      </c>
      <c r="B303" s="19">
        <v>9.4339622641509441E-2</v>
      </c>
      <c r="C303" s="19">
        <v>0.25660377358490566</v>
      </c>
      <c r="D303" s="20">
        <v>119</v>
      </c>
      <c r="E303" s="20">
        <v>62</v>
      </c>
      <c r="F303" s="20">
        <v>177</v>
      </c>
      <c r="G303" s="20">
        <v>2</v>
      </c>
      <c r="H303" s="20">
        <v>360</v>
      </c>
      <c r="I303" s="23">
        <v>0.33055555555555555</v>
      </c>
      <c r="J303" s="23">
        <v>0.17222222222222222</v>
      </c>
      <c r="K303" s="23">
        <v>0.49166666666666664</v>
      </c>
      <c r="L303" s="23">
        <v>5.5555555555555558E-3</v>
      </c>
      <c r="M303" s="21">
        <v>61.591666666666669</v>
      </c>
    </row>
    <row r="304" spans="1:13" x14ac:dyDescent="0.25">
      <c r="A304" s="19">
        <v>0.71844660194174759</v>
      </c>
      <c r="B304" s="19">
        <v>0.11003236245954692</v>
      </c>
      <c r="C304" s="19">
        <v>0.14563106796116504</v>
      </c>
      <c r="D304" s="20">
        <v>90</v>
      </c>
      <c r="E304" s="20">
        <v>67</v>
      </c>
      <c r="F304" s="20">
        <v>201</v>
      </c>
      <c r="G304" s="20">
        <v>2</v>
      </c>
      <c r="H304" s="20">
        <v>360</v>
      </c>
      <c r="I304" s="23">
        <v>0.25</v>
      </c>
      <c r="J304" s="23">
        <v>0.18611111111111112</v>
      </c>
      <c r="K304" s="23">
        <v>0.55833333333333335</v>
      </c>
      <c r="L304" s="23">
        <v>5.5555555555555558E-3</v>
      </c>
      <c r="M304" s="21">
        <v>54.922222222222224</v>
      </c>
    </row>
    <row r="305" spans="1:13" x14ac:dyDescent="0.25">
      <c r="A305" s="19">
        <v>0.76950354609929073</v>
      </c>
      <c r="B305" s="19">
        <v>0.11702127659574468</v>
      </c>
      <c r="C305" s="19">
        <v>0.1099290780141844</v>
      </c>
      <c r="D305" s="20">
        <v>92</v>
      </c>
      <c r="E305" s="20">
        <v>95</v>
      </c>
      <c r="F305" s="20">
        <v>172</v>
      </c>
      <c r="G305" s="20">
        <v>1</v>
      </c>
      <c r="H305" s="20">
        <v>360</v>
      </c>
      <c r="I305" s="23">
        <v>0.25555555555555554</v>
      </c>
      <c r="J305" s="23">
        <v>0.2638888888888889</v>
      </c>
      <c r="K305" s="23">
        <v>0.4777777777777778</v>
      </c>
      <c r="L305" s="23">
        <v>2.7777777777777779E-3</v>
      </c>
      <c r="M305" s="21">
        <v>46.952777777777776</v>
      </c>
    </row>
    <row r="306" spans="1:13" x14ac:dyDescent="0.25">
      <c r="A306" s="19">
        <v>0.74812030075187974</v>
      </c>
      <c r="B306" s="19">
        <v>9.9624060150375934E-2</v>
      </c>
      <c r="C306" s="19">
        <v>0.15037593984962405</v>
      </c>
      <c r="D306" s="20">
        <v>172</v>
      </c>
      <c r="E306" s="20">
        <v>128</v>
      </c>
      <c r="F306" s="20">
        <v>390</v>
      </c>
      <c r="G306" s="20">
        <v>0</v>
      </c>
      <c r="H306" s="20">
        <v>690</v>
      </c>
      <c r="I306" s="23">
        <v>0.24927536231884059</v>
      </c>
      <c r="J306" s="23">
        <v>0.1855072463768116</v>
      </c>
      <c r="K306" s="23">
        <v>0.56521739130434778</v>
      </c>
      <c r="L306" s="23">
        <v>0</v>
      </c>
      <c r="M306" s="21">
        <v>38.918840579710142</v>
      </c>
    </row>
    <row r="307" spans="1:13" x14ac:dyDescent="0.25">
      <c r="A307" s="19">
        <v>0.67472118959107807</v>
      </c>
      <c r="B307" s="19">
        <v>0.17657992565055763</v>
      </c>
      <c r="C307" s="19">
        <v>0.13940520446096655</v>
      </c>
      <c r="D307" s="20">
        <v>264</v>
      </c>
      <c r="E307" s="20">
        <v>90</v>
      </c>
      <c r="F307" s="20">
        <v>335</v>
      </c>
      <c r="G307" s="20">
        <v>1</v>
      </c>
      <c r="H307" s="20">
        <v>690</v>
      </c>
      <c r="I307" s="23">
        <v>0.38260869565217392</v>
      </c>
      <c r="J307" s="23">
        <v>0.13043478260869565</v>
      </c>
      <c r="K307" s="23">
        <v>0.48550724637681159</v>
      </c>
      <c r="L307" s="23">
        <v>1.4492753623188406E-3</v>
      </c>
      <c r="M307" s="21">
        <v>29.378260869565217</v>
      </c>
    </row>
    <row r="308" spans="1:13" x14ac:dyDescent="0.25">
      <c r="A308" s="19">
        <v>0.64640883977900554</v>
      </c>
      <c r="B308" s="19">
        <v>0.17495395948434622</v>
      </c>
      <c r="C308" s="19">
        <v>0.16206261510128914</v>
      </c>
      <c r="D308" s="20">
        <v>269</v>
      </c>
      <c r="E308" s="20">
        <v>108</v>
      </c>
      <c r="F308" s="20">
        <v>314</v>
      </c>
      <c r="G308" s="20">
        <v>0</v>
      </c>
      <c r="H308" s="20">
        <v>691</v>
      </c>
      <c r="I308" s="23">
        <v>0.38929088277858176</v>
      </c>
      <c r="J308" s="23">
        <v>0.15629522431259044</v>
      </c>
      <c r="K308" s="23">
        <v>0.45441389290882778</v>
      </c>
      <c r="L308" s="23">
        <v>0</v>
      </c>
      <c r="M308" s="21">
        <v>21.515195369030391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0211-9C2C-4D96-B1ED-A7E890569B5B}">
  <dimension ref="A1:Z327"/>
  <sheetViews>
    <sheetView workbookViewId="0">
      <pane xSplit="3" ySplit="1" topLeftCell="S296" activePane="bottomRight" state="frozen"/>
      <selection pane="topRight" activeCell="D1" sqref="D1"/>
      <selection pane="bottomLeft" activeCell="A2" sqref="A2"/>
      <selection pane="bottomRight" activeCell="Z260" sqref="Z260:Z318"/>
    </sheetView>
  </sheetViews>
  <sheetFormatPr defaultRowHeight="13.2" x14ac:dyDescent="0.25"/>
  <cols>
    <col min="1" max="1" width="8.44140625" bestFit="1" customWidth="1"/>
    <col min="2" max="2" width="38.44140625" bestFit="1" customWidth="1"/>
    <col min="3" max="3" width="89.21875" bestFit="1" customWidth="1"/>
    <col min="4" max="4" width="6.5546875" bestFit="1" customWidth="1"/>
    <col min="5" max="5" width="24.44140625" bestFit="1" customWidth="1"/>
    <col min="6" max="8" width="6" bestFit="1" customWidth="1"/>
    <col min="9" max="9" width="22" bestFit="1" customWidth="1"/>
    <col min="10" max="10" width="29.21875" bestFit="1" customWidth="1"/>
    <col min="11" max="11" width="10.44140625" bestFit="1" customWidth="1"/>
    <col min="12" max="12" width="19.109375" bestFit="1" customWidth="1"/>
    <col min="13" max="18" width="6" bestFit="1" customWidth="1"/>
    <col min="19" max="19" width="5" bestFit="1" customWidth="1"/>
    <col min="20" max="20" width="7" bestFit="1" customWidth="1"/>
    <col min="21" max="24" width="6" bestFit="1" customWidth="1"/>
    <col min="25" max="25" width="7.33203125" bestFit="1" customWidth="1"/>
  </cols>
  <sheetData>
    <row r="1" spans="1:26" x14ac:dyDescent="0.25">
      <c r="A1" s="18" t="s">
        <v>136</v>
      </c>
      <c r="B1" s="18" t="s">
        <v>153</v>
      </c>
      <c r="C1" s="18" t="s">
        <v>137</v>
      </c>
      <c r="D1" s="18" t="s">
        <v>154</v>
      </c>
      <c r="E1" s="18" t="s">
        <v>155</v>
      </c>
      <c r="F1" s="18" t="s">
        <v>133</v>
      </c>
      <c r="G1" s="18" t="s">
        <v>134</v>
      </c>
      <c r="H1" s="18" t="s">
        <v>135</v>
      </c>
      <c r="I1" s="18" t="s">
        <v>138</v>
      </c>
      <c r="J1" s="18" t="s">
        <v>151</v>
      </c>
      <c r="K1" s="18" t="s">
        <v>245</v>
      </c>
      <c r="L1" s="18" t="s">
        <v>152</v>
      </c>
      <c r="M1" s="18" t="s">
        <v>246</v>
      </c>
      <c r="N1" s="18" t="s">
        <v>247</v>
      </c>
      <c r="O1" s="18" t="s">
        <v>248</v>
      </c>
      <c r="P1" s="18" t="s">
        <v>337</v>
      </c>
      <c r="Q1" s="18" t="s">
        <v>338</v>
      </c>
      <c r="R1" s="18" t="s">
        <v>339</v>
      </c>
      <c r="S1" s="18" t="s">
        <v>340</v>
      </c>
      <c r="T1" s="18" t="s">
        <v>341</v>
      </c>
      <c r="U1" s="18" t="s">
        <v>342</v>
      </c>
      <c r="V1" s="18" t="s">
        <v>343</v>
      </c>
      <c r="W1" s="18" t="s">
        <v>344</v>
      </c>
      <c r="X1" s="18" t="s">
        <v>345</v>
      </c>
      <c r="Y1" s="18" t="s">
        <v>346</v>
      </c>
      <c r="Z1" s="19" t="s">
        <v>353</v>
      </c>
    </row>
    <row r="2" spans="1:26" s="33" customFormat="1" x14ac:dyDescent="0.25">
      <c r="A2" s="29">
        <v>1</v>
      </c>
      <c r="B2" s="29" t="s">
        <v>139</v>
      </c>
      <c r="C2" s="29"/>
      <c r="D2" s="29"/>
      <c r="E2" s="29">
        <v>2119</v>
      </c>
      <c r="F2" s="29">
        <v>541</v>
      </c>
      <c r="G2" s="29">
        <v>332</v>
      </c>
      <c r="H2" s="29">
        <v>860</v>
      </c>
      <c r="I2" s="29">
        <v>1733</v>
      </c>
      <c r="J2" s="29">
        <v>61</v>
      </c>
      <c r="K2" s="29">
        <f>J2+I2</f>
        <v>1794</v>
      </c>
      <c r="L2" s="29">
        <v>325</v>
      </c>
      <c r="M2" s="30">
        <f>H2/K2</f>
        <v>0.47937569676700109</v>
      </c>
      <c r="N2" s="30">
        <f>G2/K2</f>
        <v>0.18506131549609811</v>
      </c>
      <c r="O2" s="30">
        <f>F2/K2</f>
        <v>0.30156075808249722</v>
      </c>
      <c r="P2" s="31">
        <v>20</v>
      </c>
      <c r="Q2" s="31">
        <v>9</v>
      </c>
      <c r="R2" s="31">
        <v>5</v>
      </c>
      <c r="S2" s="31">
        <v>2</v>
      </c>
      <c r="T2" s="31">
        <v>36</v>
      </c>
      <c r="U2" s="32">
        <v>0.55555555555555558</v>
      </c>
      <c r="V2" s="32">
        <v>0.25</v>
      </c>
      <c r="W2" s="32">
        <v>0.1388888888888889</v>
      </c>
      <c r="X2" s="32">
        <v>5.5555555555555552E-2</v>
      </c>
      <c r="Y2" s="34">
        <v>38.32261904761905</v>
      </c>
      <c r="Z2" s="30">
        <f>K2/T2</f>
        <v>49.833333333333336</v>
      </c>
    </row>
    <row r="3" spans="1:26" s="33" customFormat="1" x14ac:dyDescent="0.25">
      <c r="A3" s="29">
        <v>2</v>
      </c>
      <c r="B3" s="29" t="s">
        <v>140</v>
      </c>
      <c r="C3" s="29" t="s">
        <v>141</v>
      </c>
      <c r="D3" s="29">
        <v>1</v>
      </c>
      <c r="E3" s="29">
        <v>10</v>
      </c>
      <c r="F3" s="29">
        <v>5</v>
      </c>
      <c r="G3" s="29">
        <v>3</v>
      </c>
      <c r="H3" s="29">
        <v>2</v>
      </c>
      <c r="I3" s="29">
        <v>10</v>
      </c>
      <c r="J3" s="29">
        <v>0</v>
      </c>
      <c r="K3" s="29">
        <f t="shared" ref="K3:K66" si="0">J3+I3</f>
        <v>10</v>
      </c>
      <c r="L3" s="29">
        <v>0</v>
      </c>
      <c r="M3" s="30">
        <f t="shared" ref="M3:M66" si="1">H3/K3</f>
        <v>0.2</v>
      </c>
      <c r="N3" s="30">
        <f t="shared" ref="N3:N66" si="2">G3/K3</f>
        <v>0.3</v>
      </c>
      <c r="O3" s="30">
        <f t="shared" ref="O3:O66" si="3">F3/K3</f>
        <v>0.5</v>
      </c>
      <c r="P3" s="31">
        <v>10</v>
      </c>
      <c r="Q3" s="31">
        <v>0</v>
      </c>
      <c r="R3" s="31">
        <v>1</v>
      </c>
      <c r="S3" s="31">
        <v>1</v>
      </c>
      <c r="T3" s="31">
        <v>12</v>
      </c>
      <c r="U3" s="32">
        <v>0.83333333333333337</v>
      </c>
      <c r="V3" s="32">
        <v>0</v>
      </c>
      <c r="W3" s="32">
        <v>8.3333333333333329E-2</v>
      </c>
      <c r="X3" s="32">
        <v>8.3333333333333329E-2</v>
      </c>
      <c r="Y3" s="34">
        <v>38.5</v>
      </c>
      <c r="Z3" s="30">
        <f t="shared" ref="Z3:Z66" si="4">K3/T3</f>
        <v>0.83333333333333337</v>
      </c>
    </row>
    <row r="4" spans="1:26" s="33" customFormat="1" x14ac:dyDescent="0.25">
      <c r="A4" s="29">
        <v>3</v>
      </c>
      <c r="B4" s="29" t="s">
        <v>142</v>
      </c>
      <c r="C4" s="29" t="s">
        <v>143</v>
      </c>
      <c r="D4" s="29">
        <v>1</v>
      </c>
      <c r="E4" s="29">
        <v>296</v>
      </c>
      <c r="F4" s="29">
        <v>165</v>
      </c>
      <c r="G4" s="29">
        <v>114</v>
      </c>
      <c r="H4" s="29">
        <v>15</v>
      </c>
      <c r="I4" s="29">
        <v>294</v>
      </c>
      <c r="J4" s="29">
        <v>2</v>
      </c>
      <c r="K4" s="29">
        <f t="shared" si="0"/>
        <v>296</v>
      </c>
      <c r="L4" s="29">
        <v>0</v>
      </c>
      <c r="M4" s="30">
        <f t="shared" si="1"/>
        <v>5.0675675675675678E-2</v>
      </c>
      <c r="N4" s="30">
        <f t="shared" si="2"/>
        <v>0.38513513513513514</v>
      </c>
      <c r="O4" s="30">
        <f t="shared" si="3"/>
        <v>0.55743243243243246</v>
      </c>
      <c r="P4" s="31">
        <v>281</v>
      </c>
      <c r="Q4" s="31">
        <v>6</v>
      </c>
      <c r="R4" s="31">
        <v>10</v>
      </c>
      <c r="S4" s="31">
        <v>20</v>
      </c>
      <c r="T4" s="31">
        <v>317</v>
      </c>
      <c r="U4" s="32">
        <v>0.88643533123028395</v>
      </c>
      <c r="V4" s="32">
        <v>1.8927444794952682E-2</v>
      </c>
      <c r="W4" s="32">
        <v>3.1545741324921134E-2</v>
      </c>
      <c r="X4" s="32">
        <v>6.3091482649842268E-2</v>
      </c>
      <c r="Y4" s="34">
        <v>38.5993690851735</v>
      </c>
      <c r="Z4" s="30">
        <f t="shared" si="4"/>
        <v>0.93375394321766558</v>
      </c>
    </row>
    <row r="5" spans="1:26" s="33" customFormat="1" x14ac:dyDescent="0.25">
      <c r="A5" s="29"/>
      <c r="B5" s="29"/>
      <c r="C5" s="29"/>
      <c r="D5" s="29">
        <v>2</v>
      </c>
      <c r="E5" s="29">
        <v>300</v>
      </c>
      <c r="F5" s="29">
        <v>164</v>
      </c>
      <c r="G5" s="29">
        <v>115</v>
      </c>
      <c r="H5" s="29">
        <v>19</v>
      </c>
      <c r="I5" s="29">
        <v>298</v>
      </c>
      <c r="J5" s="29">
        <v>2</v>
      </c>
      <c r="K5" s="29">
        <f t="shared" si="0"/>
        <v>300</v>
      </c>
      <c r="L5" s="29">
        <v>0</v>
      </c>
      <c r="M5" s="30">
        <f t="shared" si="1"/>
        <v>6.3333333333333339E-2</v>
      </c>
      <c r="N5" s="30">
        <f t="shared" si="2"/>
        <v>0.38333333333333336</v>
      </c>
      <c r="O5" s="30">
        <f t="shared" si="3"/>
        <v>0.54666666666666663</v>
      </c>
      <c r="P5" s="31">
        <v>285</v>
      </c>
      <c r="Q5" s="31">
        <v>5</v>
      </c>
      <c r="R5" s="31">
        <v>20</v>
      </c>
      <c r="S5" s="31">
        <v>8</v>
      </c>
      <c r="T5" s="31">
        <v>318</v>
      </c>
      <c r="U5" s="32">
        <v>0.89622641509433965</v>
      </c>
      <c r="V5" s="32">
        <v>1.5723270440251572E-2</v>
      </c>
      <c r="W5" s="32">
        <v>6.2893081761006289E-2</v>
      </c>
      <c r="X5" s="32">
        <v>2.5157232704402517E-2</v>
      </c>
      <c r="Y5" s="34">
        <v>36.751572327044023</v>
      </c>
      <c r="Z5" s="30">
        <f t="shared" si="4"/>
        <v>0.94339622641509435</v>
      </c>
    </row>
    <row r="6" spans="1:26" s="33" customFormat="1" x14ac:dyDescent="0.25">
      <c r="A6" s="29">
        <v>4</v>
      </c>
      <c r="B6" s="29" t="s">
        <v>144</v>
      </c>
      <c r="C6" s="29" t="s">
        <v>145</v>
      </c>
      <c r="D6" s="29">
        <v>1</v>
      </c>
      <c r="E6" s="29">
        <v>37</v>
      </c>
      <c r="F6" s="29">
        <v>16</v>
      </c>
      <c r="G6" s="29">
        <v>19</v>
      </c>
      <c r="H6" s="29">
        <v>2</v>
      </c>
      <c r="I6" s="29">
        <v>37</v>
      </c>
      <c r="J6" s="29">
        <v>0</v>
      </c>
      <c r="K6" s="29">
        <f t="shared" si="0"/>
        <v>37</v>
      </c>
      <c r="L6" s="29">
        <v>0</v>
      </c>
      <c r="M6" s="30">
        <f t="shared" si="1"/>
        <v>5.4054054054054057E-2</v>
      </c>
      <c r="N6" s="30">
        <f t="shared" si="2"/>
        <v>0.51351351351351349</v>
      </c>
      <c r="O6" s="30">
        <f t="shared" si="3"/>
        <v>0.43243243243243246</v>
      </c>
      <c r="P6" s="31">
        <v>42</v>
      </c>
      <c r="Q6" s="31">
        <v>0</v>
      </c>
      <c r="R6" s="31">
        <v>2</v>
      </c>
      <c r="S6" s="31">
        <v>1</v>
      </c>
      <c r="T6" s="31">
        <v>45</v>
      </c>
      <c r="U6" s="32">
        <v>0.93333333333333335</v>
      </c>
      <c r="V6" s="32">
        <v>0</v>
      </c>
      <c r="W6" s="32">
        <v>4.4444444444444446E-2</v>
      </c>
      <c r="X6" s="32">
        <v>2.2222222222222223E-2</v>
      </c>
      <c r="Y6" s="34">
        <v>35.155555555555559</v>
      </c>
      <c r="Z6" s="30">
        <f t="shared" si="4"/>
        <v>0.82222222222222219</v>
      </c>
    </row>
    <row r="7" spans="1:26" s="33" customFormat="1" x14ac:dyDescent="0.25">
      <c r="A7" s="29"/>
      <c r="B7" s="29"/>
      <c r="C7" s="29" t="s">
        <v>146</v>
      </c>
      <c r="D7" s="29">
        <v>1</v>
      </c>
      <c r="E7" s="29">
        <v>316</v>
      </c>
      <c r="F7" s="29">
        <v>126</v>
      </c>
      <c r="G7" s="29">
        <v>156</v>
      </c>
      <c r="H7" s="29">
        <v>28</v>
      </c>
      <c r="I7" s="29">
        <v>310</v>
      </c>
      <c r="J7" s="29">
        <v>6</v>
      </c>
      <c r="K7" s="29">
        <f t="shared" si="0"/>
        <v>316</v>
      </c>
      <c r="L7" s="29">
        <v>0</v>
      </c>
      <c r="M7" s="30">
        <f t="shared" si="1"/>
        <v>8.8607594936708861E-2</v>
      </c>
      <c r="N7" s="30">
        <f t="shared" si="2"/>
        <v>0.49367088607594939</v>
      </c>
      <c r="O7" s="30">
        <f t="shared" si="3"/>
        <v>0.39873417721518989</v>
      </c>
      <c r="P7" s="31">
        <v>360</v>
      </c>
      <c r="Q7" s="31">
        <v>5</v>
      </c>
      <c r="R7" s="31">
        <v>12</v>
      </c>
      <c r="S7" s="31">
        <v>28</v>
      </c>
      <c r="T7" s="31">
        <v>405</v>
      </c>
      <c r="U7" s="32">
        <v>0.88888888888888884</v>
      </c>
      <c r="V7" s="32">
        <v>1.2345679012345678E-2</v>
      </c>
      <c r="W7" s="32">
        <v>2.9629629629629631E-2</v>
      </c>
      <c r="X7" s="32">
        <v>6.9135802469135796E-2</v>
      </c>
      <c r="Y7" s="34">
        <v>31.661728395061729</v>
      </c>
      <c r="Z7" s="30">
        <f t="shared" si="4"/>
        <v>0.78024691358024689</v>
      </c>
    </row>
    <row r="8" spans="1:26" s="33" customFormat="1" x14ac:dyDescent="0.25">
      <c r="A8" s="29"/>
      <c r="B8" s="29"/>
      <c r="C8" s="29"/>
      <c r="D8" s="29">
        <v>2</v>
      </c>
      <c r="E8" s="29">
        <v>333</v>
      </c>
      <c r="F8" s="29">
        <v>151</v>
      </c>
      <c r="G8" s="29">
        <v>162</v>
      </c>
      <c r="H8" s="29">
        <v>12</v>
      </c>
      <c r="I8" s="29">
        <v>325</v>
      </c>
      <c r="J8" s="29">
        <v>8</v>
      </c>
      <c r="K8" s="29">
        <f t="shared" si="0"/>
        <v>333</v>
      </c>
      <c r="L8" s="29">
        <v>0</v>
      </c>
      <c r="M8" s="30">
        <f t="shared" si="1"/>
        <v>3.6036036036036036E-2</v>
      </c>
      <c r="N8" s="30">
        <f t="shared" si="2"/>
        <v>0.48648648648648651</v>
      </c>
      <c r="O8" s="30">
        <f t="shared" si="3"/>
        <v>0.45345345345345345</v>
      </c>
      <c r="P8" s="31">
        <v>403</v>
      </c>
      <c r="Q8" s="31">
        <v>0</v>
      </c>
      <c r="R8" s="31">
        <v>1</v>
      </c>
      <c r="S8" s="31">
        <v>1</v>
      </c>
      <c r="T8" s="31">
        <v>405</v>
      </c>
      <c r="U8" s="32">
        <v>0.99506172839506168</v>
      </c>
      <c r="V8" s="32">
        <v>0</v>
      </c>
      <c r="W8" s="32">
        <v>2.4691358024691358E-3</v>
      </c>
      <c r="X8" s="32">
        <v>2.4691358024691358E-3</v>
      </c>
      <c r="Y8" s="34">
        <v>31.886419753086418</v>
      </c>
      <c r="Z8" s="30">
        <f t="shared" si="4"/>
        <v>0.82222222222222219</v>
      </c>
    </row>
    <row r="9" spans="1:26" s="33" customFormat="1" x14ac:dyDescent="0.25">
      <c r="A9" s="29"/>
      <c r="B9" s="29"/>
      <c r="C9" s="29"/>
      <c r="D9" s="29">
        <v>3</v>
      </c>
      <c r="E9" s="29">
        <v>339</v>
      </c>
      <c r="F9" s="29">
        <v>160</v>
      </c>
      <c r="G9" s="29">
        <v>154</v>
      </c>
      <c r="H9" s="29">
        <v>25</v>
      </c>
      <c r="I9" s="29">
        <v>339</v>
      </c>
      <c r="J9" s="29">
        <v>0</v>
      </c>
      <c r="K9" s="29">
        <f t="shared" si="0"/>
        <v>339</v>
      </c>
      <c r="L9" s="29">
        <v>0</v>
      </c>
      <c r="M9" s="30">
        <f t="shared" si="1"/>
        <v>7.3746312684365781E-2</v>
      </c>
      <c r="N9" s="30">
        <f t="shared" si="2"/>
        <v>0.45427728613569324</v>
      </c>
      <c r="O9" s="30">
        <f t="shared" si="3"/>
        <v>0.471976401179941</v>
      </c>
      <c r="P9" s="31">
        <v>377</v>
      </c>
      <c r="Q9" s="31">
        <v>0</v>
      </c>
      <c r="R9" s="31">
        <v>8</v>
      </c>
      <c r="S9" s="31">
        <v>21</v>
      </c>
      <c r="T9" s="31">
        <v>406</v>
      </c>
      <c r="U9" s="32">
        <v>0.9285714285714286</v>
      </c>
      <c r="V9" s="32">
        <v>0</v>
      </c>
      <c r="W9" s="32">
        <v>1.9704433497536946E-2</v>
      </c>
      <c r="X9" s="32">
        <v>5.1724137931034482E-2</v>
      </c>
      <c r="Y9" s="34">
        <v>31.7807881773399</v>
      </c>
      <c r="Z9" s="30">
        <f t="shared" si="4"/>
        <v>0.83497536945812811</v>
      </c>
    </row>
    <row r="10" spans="1:26" s="33" customFormat="1" x14ac:dyDescent="0.25">
      <c r="A10" s="29"/>
      <c r="B10" s="29"/>
      <c r="C10" s="29"/>
      <c r="D10" s="29">
        <v>4</v>
      </c>
      <c r="E10" s="29">
        <v>370</v>
      </c>
      <c r="F10" s="29">
        <v>153</v>
      </c>
      <c r="G10" s="29">
        <v>185</v>
      </c>
      <c r="H10" s="29">
        <v>29</v>
      </c>
      <c r="I10" s="29">
        <v>367</v>
      </c>
      <c r="J10" s="29">
        <v>3</v>
      </c>
      <c r="K10" s="29">
        <f t="shared" si="0"/>
        <v>370</v>
      </c>
      <c r="L10" s="29">
        <v>0</v>
      </c>
      <c r="M10" s="30">
        <f t="shared" si="1"/>
        <v>7.8378378378378383E-2</v>
      </c>
      <c r="N10" s="30">
        <f t="shared" si="2"/>
        <v>0.5</v>
      </c>
      <c r="O10" s="30">
        <f t="shared" si="3"/>
        <v>0.41351351351351351</v>
      </c>
      <c r="P10" s="31">
        <v>380</v>
      </c>
      <c r="Q10" s="31">
        <v>1</v>
      </c>
      <c r="R10" s="31">
        <v>5</v>
      </c>
      <c r="S10" s="31">
        <v>20</v>
      </c>
      <c r="T10" s="31">
        <v>406</v>
      </c>
      <c r="U10" s="32">
        <v>0.93596059113300489</v>
      </c>
      <c r="V10" s="32">
        <v>2.4630541871921183E-3</v>
      </c>
      <c r="W10" s="32">
        <v>1.2315270935960592E-2</v>
      </c>
      <c r="X10" s="32">
        <v>4.9261083743842367E-2</v>
      </c>
      <c r="Y10" s="34">
        <v>34.238916256157637</v>
      </c>
      <c r="Z10" s="30">
        <f t="shared" si="4"/>
        <v>0.91133004926108374</v>
      </c>
    </row>
    <row r="11" spans="1:26" s="33" customFormat="1" x14ac:dyDescent="0.25">
      <c r="A11" s="29">
        <v>5</v>
      </c>
      <c r="B11" s="29" t="s">
        <v>147</v>
      </c>
      <c r="C11" s="29" t="s">
        <v>148</v>
      </c>
      <c r="D11" s="29">
        <v>1</v>
      </c>
      <c r="E11" s="29">
        <v>19</v>
      </c>
      <c r="F11" s="29">
        <v>16</v>
      </c>
      <c r="G11" s="29">
        <v>3</v>
      </c>
      <c r="H11" s="29">
        <v>0</v>
      </c>
      <c r="I11" s="29">
        <v>19</v>
      </c>
      <c r="J11" s="29">
        <v>0</v>
      </c>
      <c r="K11" s="29">
        <f t="shared" si="0"/>
        <v>19</v>
      </c>
      <c r="L11" s="29">
        <v>0</v>
      </c>
      <c r="M11" s="30">
        <f t="shared" si="1"/>
        <v>0</v>
      </c>
      <c r="N11" s="30">
        <f t="shared" si="2"/>
        <v>0.15789473684210525</v>
      </c>
      <c r="O11" s="30">
        <f t="shared" si="3"/>
        <v>0.84210526315789469</v>
      </c>
      <c r="P11" s="31">
        <v>22</v>
      </c>
      <c r="Q11" s="31">
        <v>0</v>
      </c>
      <c r="R11" s="31">
        <v>0</v>
      </c>
      <c r="S11" s="31">
        <v>1</v>
      </c>
      <c r="T11" s="31">
        <v>23</v>
      </c>
      <c r="U11" s="32">
        <v>0.95652173913043481</v>
      </c>
      <c r="V11" s="32">
        <v>0</v>
      </c>
      <c r="W11" s="32">
        <v>0</v>
      </c>
      <c r="X11" s="32">
        <v>4.3478260869565216E-2</v>
      </c>
      <c r="Y11" s="34">
        <v>35.652173913043477</v>
      </c>
      <c r="Z11" s="30">
        <f t="shared" si="4"/>
        <v>0.82608695652173914</v>
      </c>
    </row>
    <row r="12" spans="1:26" x14ac:dyDescent="0.25">
      <c r="A12" s="18">
        <v>6</v>
      </c>
      <c r="B12" s="18" t="s">
        <v>149</v>
      </c>
      <c r="C12" s="18" t="s">
        <v>150</v>
      </c>
      <c r="D12" s="18">
        <v>1</v>
      </c>
      <c r="E12" s="18">
        <v>281</v>
      </c>
      <c r="F12" s="18">
        <v>165</v>
      </c>
      <c r="G12" s="18">
        <v>81</v>
      </c>
      <c r="H12" s="18">
        <v>33</v>
      </c>
      <c r="I12" s="18">
        <v>279</v>
      </c>
      <c r="J12" s="18">
        <v>2</v>
      </c>
      <c r="K12" s="18">
        <f t="shared" si="0"/>
        <v>281</v>
      </c>
      <c r="L12" s="18">
        <v>0</v>
      </c>
      <c r="M12" s="19">
        <f t="shared" si="1"/>
        <v>0.11743772241992882</v>
      </c>
      <c r="N12" s="19">
        <f t="shared" si="2"/>
        <v>0.28825622775800713</v>
      </c>
      <c r="O12" s="19">
        <f t="shared" si="3"/>
        <v>0.58718861209964412</v>
      </c>
      <c r="P12" s="20">
        <v>343</v>
      </c>
      <c r="Q12" s="20">
        <v>1</v>
      </c>
      <c r="R12" s="20">
        <v>3</v>
      </c>
      <c r="S12" s="20">
        <v>3</v>
      </c>
      <c r="T12" s="20">
        <v>350</v>
      </c>
      <c r="U12" s="23">
        <v>0.98</v>
      </c>
      <c r="V12" s="23">
        <v>2.8571428571428571E-3</v>
      </c>
      <c r="W12" s="23">
        <v>8.5714285714285719E-3</v>
      </c>
      <c r="X12" s="23">
        <v>8.5714285714285719E-3</v>
      </c>
      <c r="Y12" s="35">
        <v>59.191428571428574</v>
      </c>
      <c r="Z12" s="19">
        <f t="shared" si="4"/>
        <v>0.80285714285714282</v>
      </c>
    </row>
    <row r="13" spans="1:26" x14ac:dyDescent="0.25">
      <c r="A13" s="18"/>
      <c r="B13" s="18"/>
      <c r="C13" s="18"/>
      <c r="D13" s="18">
        <v>2</v>
      </c>
      <c r="E13" s="18">
        <v>392</v>
      </c>
      <c r="F13" s="18">
        <v>139</v>
      </c>
      <c r="G13" s="18">
        <v>197</v>
      </c>
      <c r="H13" s="18">
        <v>51</v>
      </c>
      <c r="I13" s="18">
        <v>387</v>
      </c>
      <c r="J13" s="18">
        <v>5</v>
      </c>
      <c r="K13" s="18">
        <f t="shared" si="0"/>
        <v>392</v>
      </c>
      <c r="L13" s="18">
        <v>0</v>
      </c>
      <c r="M13" s="19">
        <f t="shared" si="1"/>
        <v>0.13010204081632654</v>
      </c>
      <c r="N13" s="19">
        <f t="shared" si="2"/>
        <v>0.50255102040816324</v>
      </c>
      <c r="O13" s="19">
        <f t="shared" si="3"/>
        <v>0.35459183673469385</v>
      </c>
      <c r="P13" s="20">
        <v>478</v>
      </c>
      <c r="Q13" s="20">
        <v>0</v>
      </c>
      <c r="R13" s="20">
        <v>6</v>
      </c>
      <c r="S13" s="20">
        <v>2</v>
      </c>
      <c r="T13" s="20">
        <v>486</v>
      </c>
      <c r="U13" s="23">
        <v>0.98353909465020573</v>
      </c>
      <c r="V13" s="23">
        <v>0</v>
      </c>
      <c r="W13" s="23">
        <v>1.2345679012345678E-2</v>
      </c>
      <c r="X13" s="23">
        <v>4.11522633744856E-3</v>
      </c>
      <c r="Y13" s="35">
        <v>38.794238683127574</v>
      </c>
      <c r="Z13" s="19">
        <f t="shared" si="4"/>
        <v>0.80658436213991769</v>
      </c>
    </row>
    <row r="14" spans="1:26" x14ac:dyDescent="0.25">
      <c r="A14" s="18"/>
      <c r="B14" s="18"/>
      <c r="C14" s="18"/>
      <c r="D14" s="18">
        <v>3</v>
      </c>
      <c r="E14" s="18">
        <v>415</v>
      </c>
      <c r="F14" s="18">
        <v>124</v>
      </c>
      <c r="G14" s="18">
        <v>219</v>
      </c>
      <c r="H14" s="18">
        <v>72</v>
      </c>
      <c r="I14" s="18">
        <v>415</v>
      </c>
      <c r="J14" s="18">
        <v>0</v>
      </c>
      <c r="K14" s="18">
        <f t="shared" si="0"/>
        <v>415</v>
      </c>
      <c r="L14" s="18">
        <v>0</v>
      </c>
      <c r="M14" s="19">
        <f t="shared" si="1"/>
        <v>0.17349397590361446</v>
      </c>
      <c r="N14" s="19">
        <f t="shared" si="2"/>
        <v>0.52771084337349394</v>
      </c>
      <c r="O14" s="19">
        <f t="shared" si="3"/>
        <v>0.29879518072289157</v>
      </c>
      <c r="P14" s="20">
        <v>483</v>
      </c>
      <c r="Q14" s="20">
        <v>0</v>
      </c>
      <c r="R14" s="20">
        <v>3</v>
      </c>
      <c r="S14" s="20">
        <v>0</v>
      </c>
      <c r="T14" s="20">
        <v>486</v>
      </c>
      <c r="U14" s="23">
        <v>0.99382716049382713</v>
      </c>
      <c r="V14" s="23">
        <v>0</v>
      </c>
      <c r="W14" s="23">
        <v>6.1728395061728392E-3</v>
      </c>
      <c r="X14" s="23">
        <v>0</v>
      </c>
      <c r="Y14" s="35">
        <v>23.358024691358025</v>
      </c>
      <c r="Z14" s="19">
        <f t="shared" si="4"/>
        <v>0.85390946502057619</v>
      </c>
    </row>
    <row r="15" spans="1:26" x14ac:dyDescent="0.25">
      <c r="A15" s="18">
        <v>6</v>
      </c>
      <c r="B15" s="18" t="s">
        <v>149</v>
      </c>
      <c r="C15" s="18" t="s">
        <v>156</v>
      </c>
      <c r="D15" s="18">
        <v>1</v>
      </c>
      <c r="E15" s="18">
        <v>276</v>
      </c>
      <c r="F15" s="18">
        <v>62</v>
      </c>
      <c r="G15" s="18">
        <v>53</v>
      </c>
      <c r="H15" s="18">
        <v>153</v>
      </c>
      <c r="I15" s="18">
        <v>268</v>
      </c>
      <c r="J15" s="18">
        <v>8</v>
      </c>
      <c r="K15" s="18">
        <f t="shared" si="0"/>
        <v>276</v>
      </c>
      <c r="L15" s="18">
        <v>0</v>
      </c>
      <c r="M15" s="19">
        <f t="shared" si="1"/>
        <v>0.55434782608695654</v>
      </c>
      <c r="N15" s="19">
        <f t="shared" si="2"/>
        <v>0.19202898550724637</v>
      </c>
      <c r="O15" s="19">
        <f t="shared" si="3"/>
        <v>0.22463768115942029</v>
      </c>
      <c r="P15" s="20">
        <v>142</v>
      </c>
      <c r="Q15" s="20">
        <v>55</v>
      </c>
      <c r="R15" s="20">
        <v>167</v>
      </c>
      <c r="S15" s="20">
        <v>6</v>
      </c>
      <c r="T15" s="20">
        <v>370</v>
      </c>
      <c r="U15" s="23">
        <v>0.38378378378378381</v>
      </c>
      <c r="V15" s="23">
        <v>0.14864864864864866</v>
      </c>
      <c r="W15" s="23">
        <v>0.45135135135135135</v>
      </c>
      <c r="X15" s="23">
        <v>1.6216216216216217E-2</v>
      </c>
      <c r="Y15" s="35">
        <v>59.354054054054053</v>
      </c>
      <c r="Z15" s="19">
        <f t="shared" si="4"/>
        <v>0.74594594594594599</v>
      </c>
    </row>
    <row r="16" spans="1:26" x14ac:dyDescent="0.25">
      <c r="A16" s="18"/>
      <c r="B16" s="18"/>
      <c r="C16" s="18"/>
      <c r="D16" s="18">
        <v>2</v>
      </c>
      <c r="E16" s="18">
        <v>313</v>
      </c>
      <c r="F16" s="18">
        <v>59</v>
      </c>
      <c r="G16" s="18">
        <v>106</v>
      </c>
      <c r="H16" s="18">
        <v>147</v>
      </c>
      <c r="I16" s="18">
        <v>312</v>
      </c>
      <c r="J16" s="18">
        <v>1</v>
      </c>
      <c r="K16" s="18">
        <f t="shared" si="0"/>
        <v>313</v>
      </c>
      <c r="L16" s="18">
        <v>0</v>
      </c>
      <c r="M16" s="19">
        <f t="shared" si="1"/>
        <v>0.46964856230031948</v>
      </c>
      <c r="N16" s="19">
        <f t="shared" si="2"/>
        <v>0.33865814696485624</v>
      </c>
      <c r="O16" s="19">
        <f t="shared" si="3"/>
        <v>0.18849840255591055</v>
      </c>
      <c r="P16" s="20">
        <v>211</v>
      </c>
      <c r="Q16" s="20">
        <v>37</v>
      </c>
      <c r="R16" s="20">
        <v>115</v>
      </c>
      <c r="S16" s="20">
        <v>7</v>
      </c>
      <c r="T16" s="20">
        <v>370</v>
      </c>
      <c r="U16" s="23">
        <v>0.57027027027027022</v>
      </c>
      <c r="V16" s="23">
        <v>0.1</v>
      </c>
      <c r="W16" s="23">
        <v>0.3108108108108108</v>
      </c>
      <c r="X16" s="23">
        <v>1.891891891891892E-2</v>
      </c>
      <c r="Y16" s="35">
        <v>53.243243243243242</v>
      </c>
      <c r="Z16" s="19">
        <f t="shared" si="4"/>
        <v>0.84594594594594597</v>
      </c>
    </row>
    <row r="17" spans="1:26" x14ac:dyDescent="0.25">
      <c r="A17" s="18"/>
      <c r="B17" s="18"/>
      <c r="C17" s="18"/>
      <c r="D17" s="18">
        <v>3</v>
      </c>
      <c r="E17" s="18">
        <v>298</v>
      </c>
      <c r="F17" s="18">
        <v>44</v>
      </c>
      <c r="G17" s="18">
        <v>96</v>
      </c>
      <c r="H17" s="18">
        <v>158</v>
      </c>
      <c r="I17" s="18">
        <v>298</v>
      </c>
      <c r="J17" s="18">
        <v>0</v>
      </c>
      <c r="K17" s="18">
        <f t="shared" si="0"/>
        <v>298</v>
      </c>
      <c r="L17" s="18">
        <v>0</v>
      </c>
      <c r="M17" s="19">
        <f t="shared" si="1"/>
        <v>0.53020134228187921</v>
      </c>
      <c r="N17" s="19">
        <f t="shared" si="2"/>
        <v>0.32214765100671139</v>
      </c>
      <c r="O17" s="19">
        <f t="shared" si="3"/>
        <v>0.1476510067114094</v>
      </c>
      <c r="P17" s="20">
        <v>208</v>
      </c>
      <c r="Q17" s="20">
        <v>29</v>
      </c>
      <c r="R17" s="20">
        <v>129</v>
      </c>
      <c r="S17" s="20">
        <v>4</v>
      </c>
      <c r="T17" s="20">
        <v>370</v>
      </c>
      <c r="U17" s="23">
        <v>0.56216216216216219</v>
      </c>
      <c r="V17" s="23">
        <v>7.8378378378378383E-2</v>
      </c>
      <c r="W17" s="23">
        <v>0.34864864864864864</v>
      </c>
      <c r="X17" s="23">
        <v>1.0810810810810811E-2</v>
      </c>
      <c r="Y17" s="35">
        <v>46.729729729729726</v>
      </c>
      <c r="Z17" s="19">
        <f t="shared" si="4"/>
        <v>0.80540540540540539</v>
      </c>
    </row>
    <row r="18" spans="1:26" x14ac:dyDescent="0.25">
      <c r="A18" s="18"/>
      <c r="B18" s="18"/>
      <c r="C18" s="18"/>
      <c r="D18" s="18">
        <v>4</v>
      </c>
      <c r="E18" s="18">
        <v>562</v>
      </c>
      <c r="F18" s="18">
        <v>60</v>
      </c>
      <c r="G18" s="18">
        <v>155</v>
      </c>
      <c r="H18" s="18">
        <v>343</v>
      </c>
      <c r="I18" s="18">
        <v>558</v>
      </c>
      <c r="J18" s="18">
        <v>4</v>
      </c>
      <c r="K18" s="18">
        <f t="shared" si="0"/>
        <v>562</v>
      </c>
      <c r="L18" s="18">
        <v>0</v>
      </c>
      <c r="M18" s="19">
        <f t="shared" si="1"/>
        <v>0.61032028469750887</v>
      </c>
      <c r="N18" s="19">
        <f t="shared" si="2"/>
        <v>0.27580071174377224</v>
      </c>
      <c r="O18" s="19">
        <f t="shared" si="3"/>
        <v>0.10676156583629894</v>
      </c>
      <c r="P18" s="20">
        <v>332</v>
      </c>
      <c r="Q18" s="20">
        <v>45</v>
      </c>
      <c r="R18" s="20">
        <v>347</v>
      </c>
      <c r="S18" s="20">
        <v>6</v>
      </c>
      <c r="T18" s="20">
        <v>730</v>
      </c>
      <c r="U18" s="23">
        <v>0.45479452054794522</v>
      </c>
      <c r="V18" s="23">
        <v>6.1643835616438353E-2</v>
      </c>
      <c r="W18" s="23">
        <v>0.47534246575342465</v>
      </c>
      <c r="X18" s="23">
        <v>8.21917808219178E-3</v>
      </c>
      <c r="Y18" s="35">
        <v>39.232876712328768</v>
      </c>
      <c r="Z18" s="19">
        <f t="shared" si="4"/>
        <v>0.76986301369863008</v>
      </c>
    </row>
    <row r="19" spans="1:26" x14ac:dyDescent="0.25">
      <c r="A19" s="18"/>
      <c r="B19" s="18"/>
      <c r="C19" s="18"/>
      <c r="D19" s="18">
        <v>5</v>
      </c>
      <c r="E19" s="18">
        <v>530</v>
      </c>
      <c r="F19" s="18">
        <v>53</v>
      </c>
      <c r="G19" s="18">
        <v>173</v>
      </c>
      <c r="H19" s="18">
        <v>302</v>
      </c>
      <c r="I19" s="18">
        <v>528</v>
      </c>
      <c r="J19" s="18">
        <v>2</v>
      </c>
      <c r="K19" s="18">
        <f t="shared" si="0"/>
        <v>530</v>
      </c>
      <c r="L19" s="18">
        <v>0</v>
      </c>
      <c r="M19" s="19">
        <f t="shared" si="1"/>
        <v>0.56981132075471697</v>
      </c>
      <c r="N19" s="19">
        <f t="shared" si="2"/>
        <v>0.32641509433962262</v>
      </c>
      <c r="O19" s="19">
        <f t="shared" si="3"/>
        <v>0.1</v>
      </c>
      <c r="P19" s="20">
        <v>408</v>
      </c>
      <c r="Q19" s="20">
        <v>53</v>
      </c>
      <c r="R19" s="20">
        <v>257</v>
      </c>
      <c r="S19" s="20">
        <v>13</v>
      </c>
      <c r="T19" s="20">
        <v>731</v>
      </c>
      <c r="U19" s="23">
        <v>0.55813953488372092</v>
      </c>
      <c r="V19" s="23">
        <v>7.2503419972640218E-2</v>
      </c>
      <c r="W19" s="23">
        <v>0.35157318741450067</v>
      </c>
      <c r="X19" s="23">
        <v>1.7783857729138167E-2</v>
      </c>
      <c r="Y19" s="35">
        <v>30.172366621067031</v>
      </c>
      <c r="Z19" s="19">
        <f t="shared" si="4"/>
        <v>0.72503419972640215</v>
      </c>
    </row>
    <row r="20" spans="1:26" x14ac:dyDescent="0.25">
      <c r="A20" s="18"/>
      <c r="B20" s="18"/>
      <c r="C20" s="18"/>
      <c r="D20" s="18">
        <v>6</v>
      </c>
      <c r="E20" s="18">
        <v>584</v>
      </c>
      <c r="F20" s="18">
        <v>60</v>
      </c>
      <c r="G20" s="18">
        <v>231</v>
      </c>
      <c r="H20" s="18">
        <v>292</v>
      </c>
      <c r="I20" s="18">
        <v>583</v>
      </c>
      <c r="J20" s="18">
        <v>1</v>
      </c>
      <c r="K20" s="18">
        <f t="shared" si="0"/>
        <v>584</v>
      </c>
      <c r="L20" s="18">
        <v>0</v>
      </c>
      <c r="M20" s="19">
        <f t="shared" si="1"/>
        <v>0.5</v>
      </c>
      <c r="N20" s="19">
        <f t="shared" si="2"/>
        <v>0.39554794520547948</v>
      </c>
      <c r="O20" s="19">
        <f t="shared" si="3"/>
        <v>0.10273972602739725</v>
      </c>
      <c r="P20" s="20">
        <v>492</v>
      </c>
      <c r="Q20" s="20">
        <v>50</v>
      </c>
      <c r="R20" s="20">
        <v>185</v>
      </c>
      <c r="S20" s="20">
        <v>4</v>
      </c>
      <c r="T20" s="20">
        <v>731</v>
      </c>
      <c r="U20" s="23">
        <v>0.67305061559507529</v>
      </c>
      <c r="V20" s="23">
        <v>6.8399452804377564E-2</v>
      </c>
      <c r="W20" s="23">
        <v>0.25307797537619697</v>
      </c>
      <c r="X20" s="23">
        <v>5.4719562243502051E-3</v>
      </c>
      <c r="Y20" s="35">
        <v>24.101231190150479</v>
      </c>
      <c r="Z20" s="19">
        <f t="shared" si="4"/>
        <v>0.79890560875512995</v>
      </c>
    </row>
    <row r="21" spans="1:26" x14ac:dyDescent="0.25">
      <c r="A21" s="18"/>
      <c r="B21" s="18"/>
      <c r="C21" s="18"/>
      <c r="D21" s="18">
        <v>7</v>
      </c>
      <c r="E21" s="18">
        <v>602</v>
      </c>
      <c r="F21" s="18">
        <v>55</v>
      </c>
      <c r="G21" s="18">
        <v>279</v>
      </c>
      <c r="H21" s="18">
        <v>266</v>
      </c>
      <c r="I21" s="18">
        <v>600</v>
      </c>
      <c r="J21" s="18">
        <v>2</v>
      </c>
      <c r="K21" s="18">
        <f t="shared" si="0"/>
        <v>602</v>
      </c>
      <c r="L21" s="18">
        <v>0</v>
      </c>
      <c r="M21" s="19">
        <f t="shared" si="1"/>
        <v>0.44186046511627908</v>
      </c>
      <c r="N21" s="19">
        <f t="shared" si="2"/>
        <v>0.46345514950166111</v>
      </c>
      <c r="O21" s="19">
        <f t="shared" si="3"/>
        <v>9.1362126245847178E-2</v>
      </c>
      <c r="P21" s="20">
        <v>506</v>
      </c>
      <c r="Q21" s="20">
        <v>42</v>
      </c>
      <c r="R21" s="20">
        <v>182</v>
      </c>
      <c r="S21" s="20">
        <v>1</v>
      </c>
      <c r="T21" s="20">
        <v>731</v>
      </c>
      <c r="U21" s="23">
        <v>0.69220246238030092</v>
      </c>
      <c r="V21" s="23">
        <v>5.7455540355677154E-2</v>
      </c>
      <c r="W21" s="23">
        <v>0.24897400820793433</v>
      </c>
      <c r="X21" s="23">
        <v>1.3679890560875513E-3</v>
      </c>
      <c r="Y21" s="35">
        <v>19.783857729138166</v>
      </c>
      <c r="Z21" s="19">
        <f t="shared" si="4"/>
        <v>0.82352941176470584</v>
      </c>
    </row>
    <row r="22" spans="1:26" x14ac:dyDescent="0.25">
      <c r="A22" s="18"/>
      <c r="B22" s="18"/>
      <c r="C22" s="18" t="s">
        <v>157</v>
      </c>
      <c r="D22" s="18">
        <v>1</v>
      </c>
      <c r="E22" s="18">
        <v>265</v>
      </c>
      <c r="F22" s="18">
        <v>158</v>
      </c>
      <c r="G22" s="18">
        <v>54</v>
      </c>
      <c r="H22" s="18">
        <v>44</v>
      </c>
      <c r="I22" s="18">
        <v>256</v>
      </c>
      <c r="J22" s="18">
        <v>9</v>
      </c>
      <c r="K22" s="18">
        <f t="shared" si="0"/>
        <v>265</v>
      </c>
      <c r="L22" s="18">
        <v>0</v>
      </c>
      <c r="M22" s="19">
        <f t="shared" si="1"/>
        <v>0.16603773584905659</v>
      </c>
      <c r="N22" s="19">
        <f t="shared" si="2"/>
        <v>0.20377358490566039</v>
      </c>
      <c r="O22" s="19">
        <f t="shared" si="3"/>
        <v>0.5962264150943396</v>
      </c>
      <c r="P22" s="20">
        <v>336</v>
      </c>
      <c r="Q22" s="20">
        <v>1</v>
      </c>
      <c r="R22" s="20">
        <v>12</v>
      </c>
      <c r="S22" s="20">
        <v>1</v>
      </c>
      <c r="T22" s="20">
        <v>350</v>
      </c>
      <c r="U22" s="23">
        <v>0.96</v>
      </c>
      <c r="V22" s="23">
        <v>2.8571428571428571E-3</v>
      </c>
      <c r="W22" s="23">
        <v>3.4285714285714287E-2</v>
      </c>
      <c r="X22" s="23">
        <v>2.8571428571428571E-3</v>
      </c>
      <c r="Y22" s="35">
        <v>61.782857142857139</v>
      </c>
      <c r="Z22" s="19">
        <f t="shared" si="4"/>
        <v>0.75714285714285712</v>
      </c>
    </row>
    <row r="23" spans="1:26" x14ac:dyDescent="0.25">
      <c r="A23" s="18"/>
      <c r="B23" s="18"/>
      <c r="C23" s="18"/>
      <c r="D23" s="18">
        <v>2</v>
      </c>
      <c r="E23" s="18">
        <v>275</v>
      </c>
      <c r="F23" s="18">
        <v>125</v>
      </c>
      <c r="G23" s="18">
        <v>95</v>
      </c>
      <c r="H23" s="18">
        <v>51</v>
      </c>
      <c r="I23" s="18">
        <v>271</v>
      </c>
      <c r="J23" s="18">
        <v>4</v>
      </c>
      <c r="K23" s="18">
        <f t="shared" si="0"/>
        <v>275</v>
      </c>
      <c r="L23" s="18">
        <v>0</v>
      </c>
      <c r="M23" s="19">
        <f t="shared" si="1"/>
        <v>0.18545454545454546</v>
      </c>
      <c r="N23" s="19">
        <f t="shared" si="2"/>
        <v>0.34545454545454546</v>
      </c>
      <c r="O23" s="19">
        <f t="shared" si="3"/>
        <v>0.45454545454545453</v>
      </c>
      <c r="P23" s="20">
        <v>332</v>
      </c>
      <c r="Q23" s="20">
        <v>2</v>
      </c>
      <c r="R23" s="20">
        <v>28</v>
      </c>
      <c r="S23" s="20">
        <v>1</v>
      </c>
      <c r="T23" s="20">
        <v>363</v>
      </c>
      <c r="U23" s="23">
        <v>0.91460055096418735</v>
      </c>
      <c r="V23" s="23">
        <v>5.5096418732782371E-3</v>
      </c>
      <c r="W23" s="23">
        <v>7.7134986225895319E-2</v>
      </c>
      <c r="X23" s="23">
        <v>2.7548209366391185E-3</v>
      </c>
      <c r="Y23" s="35">
        <v>41.319559228650135</v>
      </c>
      <c r="Z23" s="19">
        <f t="shared" si="4"/>
        <v>0.75757575757575757</v>
      </c>
    </row>
    <row r="24" spans="1:26" x14ac:dyDescent="0.25">
      <c r="A24" s="18"/>
      <c r="B24" s="18"/>
      <c r="C24" s="18"/>
      <c r="D24" s="18">
        <v>3</v>
      </c>
      <c r="E24" s="18">
        <v>308</v>
      </c>
      <c r="F24" s="18">
        <v>117</v>
      </c>
      <c r="G24" s="18">
        <v>131</v>
      </c>
      <c r="H24" s="18">
        <v>59</v>
      </c>
      <c r="I24" s="18">
        <v>307</v>
      </c>
      <c r="J24" s="18">
        <v>1</v>
      </c>
      <c r="K24" s="18">
        <f t="shared" si="0"/>
        <v>308</v>
      </c>
      <c r="L24" s="18">
        <v>0</v>
      </c>
      <c r="M24" s="19">
        <f t="shared" si="1"/>
        <v>0.19155844155844157</v>
      </c>
      <c r="N24" s="19">
        <f t="shared" si="2"/>
        <v>0.42532467532467533</v>
      </c>
      <c r="O24" s="19">
        <f t="shared" si="3"/>
        <v>0.37987012987012986</v>
      </c>
      <c r="P24" s="20">
        <v>355</v>
      </c>
      <c r="Q24" s="20">
        <v>0</v>
      </c>
      <c r="R24" s="20">
        <v>8</v>
      </c>
      <c r="S24" s="20">
        <v>0</v>
      </c>
      <c r="T24" s="20">
        <v>363</v>
      </c>
      <c r="U24" s="23">
        <v>0.97796143250688705</v>
      </c>
      <c r="V24" s="23">
        <v>0</v>
      </c>
      <c r="W24" s="23">
        <v>2.2038567493112948E-2</v>
      </c>
      <c r="X24" s="23">
        <v>0</v>
      </c>
      <c r="Y24" s="35">
        <v>24.674931129476583</v>
      </c>
      <c r="Z24" s="19">
        <f t="shared" si="4"/>
        <v>0.84848484848484851</v>
      </c>
    </row>
    <row r="25" spans="1:26" x14ac:dyDescent="0.25">
      <c r="A25" s="18"/>
      <c r="B25" s="18"/>
      <c r="C25" s="18" t="s">
        <v>158</v>
      </c>
      <c r="D25" s="18">
        <v>1</v>
      </c>
      <c r="E25" s="18">
        <v>280</v>
      </c>
      <c r="F25" s="18">
        <v>85</v>
      </c>
      <c r="G25" s="18">
        <v>102</v>
      </c>
      <c r="H25" s="18">
        <v>91</v>
      </c>
      <c r="I25" s="18">
        <v>278</v>
      </c>
      <c r="J25" s="18">
        <v>2</v>
      </c>
      <c r="K25" s="18">
        <f t="shared" si="0"/>
        <v>280</v>
      </c>
      <c r="L25" s="18">
        <v>0</v>
      </c>
      <c r="M25" s="19">
        <f t="shared" si="1"/>
        <v>0.32500000000000001</v>
      </c>
      <c r="N25" s="19">
        <f t="shared" si="2"/>
        <v>0.36428571428571427</v>
      </c>
      <c r="O25" s="19">
        <f t="shared" si="3"/>
        <v>0.30357142857142855</v>
      </c>
      <c r="P25" s="20">
        <v>296</v>
      </c>
      <c r="Q25" s="20">
        <v>15</v>
      </c>
      <c r="R25" s="20">
        <v>59</v>
      </c>
      <c r="S25" s="20">
        <v>0</v>
      </c>
      <c r="T25" s="20">
        <v>370</v>
      </c>
      <c r="U25" s="23">
        <v>0.8</v>
      </c>
      <c r="V25" s="23">
        <v>4.0540540540540543E-2</v>
      </c>
      <c r="W25" s="23">
        <v>0.15945945945945947</v>
      </c>
      <c r="X25" s="23">
        <v>0</v>
      </c>
      <c r="Y25" s="35">
        <v>63.689189189189186</v>
      </c>
      <c r="Z25" s="19">
        <f t="shared" si="4"/>
        <v>0.7567567567567568</v>
      </c>
    </row>
    <row r="26" spans="1:26" x14ac:dyDescent="0.25">
      <c r="A26" s="18"/>
      <c r="B26" s="18"/>
      <c r="C26" s="18"/>
      <c r="D26" s="18">
        <v>2</v>
      </c>
      <c r="E26" s="18">
        <v>308</v>
      </c>
      <c r="F26" s="18">
        <v>92</v>
      </c>
      <c r="G26" s="18">
        <v>127</v>
      </c>
      <c r="H26" s="18">
        <v>85</v>
      </c>
      <c r="I26" s="18">
        <v>304</v>
      </c>
      <c r="J26" s="18">
        <v>4</v>
      </c>
      <c r="K26" s="18">
        <f t="shared" si="0"/>
        <v>308</v>
      </c>
      <c r="L26" s="18">
        <v>0</v>
      </c>
      <c r="M26" s="19">
        <f t="shared" si="1"/>
        <v>0.27597402597402598</v>
      </c>
      <c r="N26" s="19">
        <f t="shared" si="2"/>
        <v>0.41233766233766234</v>
      </c>
      <c r="O26" s="19">
        <f t="shared" si="3"/>
        <v>0.29870129870129869</v>
      </c>
      <c r="P26" s="20">
        <v>311</v>
      </c>
      <c r="Q26" s="20">
        <v>11</v>
      </c>
      <c r="R26" s="20">
        <v>43</v>
      </c>
      <c r="S26" s="20">
        <v>5</v>
      </c>
      <c r="T26" s="20">
        <v>370</v>
      </c>
      <c r="U26" s="23">
        <v>0.8405405405405405</v>
      </c>
      <c r="V26" s="23">
        <v>2.9729729729729731E-2</v>
      </c>
      <c r="W26" s="23">
        <v>0.11621621621621622</v>
      </c>
      <c r="X26" s="23">
        <v>1.3513513513513514E-2</v>
      </c>
      <c r="Y26" s="35">
        <v>56.205405405405408</v>
      </c>
      <c r="Z26" s="19">
        <f t="shared" si="4"/>
        <v>0.83243243243243248</v>
      </c>
    </row>
    <row r="27" spans="1:26" x14ac:dyDescent="0.25">
      <c r="A27" s="18"/>
      <c r="B27" s="18"/>
      <c r="C27" s="18"/>
      <c r="D27" s="18">
        <v>3</v>
      </c>
      <c r="E27" s="18">
        <v>533</v>
      </c>
      <c r="F27" s="18">
        <v>108</v>
      </c>
      <c r="G27" s="18">
        <v>295</v>
      </c>
      <c r="H27" s="18">
        <v>128</v>
      </c>
      <c r="I27" s="18">
        <v>531</v>
      </c>
      <c r="J27" s="18">
        <v>2</v>
      </c>
      <c r="K27" s="18">
        <f t="shared" si="0"/>
        <v>533</v>
      </c>
      <c r="L27" s="18">
        <v>0</v>
      </c>
      <c r="M27" s="19">
        <f t="shared" si="1"/>
        <v>0.24015009380863039</v>
      </c>
      <c r="N27" s="19">
        <f t="shared" si="2"/>
        <v>0.55347091932457781</v>
      </c>
      <c r="O27" s="19">
        <f t="shared" si="3"/>
        <v>0.20262664165103189</v>
      </c>
      <c r="P27" s="20">
        <v>637</v>
      </c>
      <c r="Q27" s="20">
        <v>8</v>
      </c>
      <c r="R27" s="20">
        <v>34</v>
      </c>
      <c r="S27" s="20">
        <v>6</v>
      </c>
      <c r="T27" s="20">
        <v>685</v>
      </c>
      <c r="U27" s="23">
        <v>0.92992700729927003</v>
      </c>
      <c r="V27" s="23">
        <v>1.167883211678832E-2</v>
      </c>
      <c r="W27" s="23">
        <v>4.9635036496350364E-2</v>
      </c>
      <c r="X27" s="23">
        <v>8.7591240875912416E-3</v>
      </c>
      <c r="Y27" s="35">
        <v>44.319708029197081</v>
      </c>
      <c r="Z27" s="19">
        <f t="shared" si="4"/>
        <v>0.77810218978102186</v>
      </c>
    </row>
    <row r="28" spans="1:26" x14ac:dyDescent="0.25">
      <c r="A28" s="18"/>
      <c r="B28" s="18"/>
      <c r="C28" s="18"/>
      <c r="D28" s="18">
        <v>4</v>
      </c>
      <c r="E28" s="18">
        <v>518</v>
      </c>
      <c r="F28" s="18">
        <v>104</v>
      </c>
      <c r="G28" s="18">
        <v>264</v>
      </c>
      <c r="H28" s="18">
        <v>149</v>
      </c>
      <c r="I28" s="18">
        <v>517</v>
      </c>
      <c r="J28" s="18">
        <v>1</v>
      </c>
      <c r="K28" s="18">
        <f t="shared" si="0"/>
        <v>518</v>
      </c>
      <c r="L28" s="18">
        <v>0</v>
      </c>
      <c r="M28" s="19">
        <f t="shared" si="1"/>
        <v>0.28764478764478763</v>
      </c>
      <c r="N28" s="19">
        <f t="shared" si="2"/>
        <v>0.50965250965250963</v>
      </c>
      <c r="O28" s="19">
        <f t="shared" si="3"/>
        <v>0.20077220077220076</v>
      </c>
      <c r="P28" s="20">
        <v>643</v>
      </c>
      <c r="Q28" s="20">
        <v>14</v>
      </c>
      <c r="R28" s="20">
        <v>25</v>
      </c>
      <c r="S28" s="20">
        <v>4</v>
      </c>
      <c r="T28" s="20">
        <v>686</v>
      </c>
      <c r="U28" s="23">
        <v>0.93731778425655976</v>
      </c>
      <c r="V28" s="23">
        <v>2.0408163265306121E-2</v>
      </c>
      <c r="W28" s="23">
        <v>3.6443148688046649E-2</v>
      </c>
      <c r="X28" s="23">
        <v>5.8309037900874635E-3</v>
      </c>
      <c r="Y28" s="35">
        <v>32.599125364431487</v>
      </c>
      <c r="Z28" s="19">
        <f t="shared" si="4"/>
        <v>0.75510204081632648</v>
      </c>
    </row>
    <row r="29" spans="1:26" x14ac:dyDescent="0.25">
      <c r="A29" s="18"/>
      <c r="B29" s="18"/>
      <c r="C29" s="18"/>
      <c r="D29" s="18">
        <v>5</v>
      </c>
      <c r="E29" s="18">
        <v>538</v>
      </c>
      <c r="F29" s="18">
        <v>95</v>
      </c>
      <c r="G29" s="18">
        <v>231</v>
      </c>
      <c r="H29" s="18">
        <v>211</v>
      </c>
      <c r="I29" s="18">
        <v>537</v>
      </c>
      <c r="J29" s="18">
        <v>1</v>
      </c>
      <c r="K29" s="18">
        <f t="shared" si="0"/>
        <v>538</v>
      </c>
      <c r="L29" s="18">
        <v>0</v>
      </c>
      <c r="M29" s="19">
        <f t="shared" si="1"/>
        <v>0.39219330855018586</v>
      </c>
      <c r="N29" s="19">
        <f t="shared" si="2"/>
        <v>0.42936802973977695</v>
      </c>
      <c r="O29" s="19">
        <f t="shared" si="3"/>
        <v>0.17657992565055763</v>
      </c>
      <c r="P29" s="20">
        <v>666</v>
      </c>
      <c r="Q29" s="20">
        <v>7</v>
      </c>
      <c r="R29" s="20">
        <v>12</v>
      </c>
      <c r="S29" s="20">
        <v>1</v>
      </c>
      <c r="T29" s="20">
        <v>686</v>
      </c>
      <c r="U29" s="23">
        <v>0.9708454810495627</v>
      </c>
      <c r="V29" s="23">
        <v>1.020408163265306E-2</v>
      </c>
      <c r="W29" s="23">
        <v>1.7492711370262391E-2</v>
      </c>
      <c r="X29" s="23">
        <v>1.4577259475218659E-3</v>
      </c>
      <c r="Y29" s="35">
        <v>25.450437317784257</v>
      </c>
      <c r="Z29" s="19">
        <f t="shared" si="4"/>
        <v>0.78425655976676389</v>
      </c>
    </row>
    <row r="30" spans="1:26" x14ac:dyDescent="0.25">
      <c r="A30" s="18"/>
      <c r="B30" s="18"/>
      <c r="C30" s="18"/>
      <c r="D30" s="18">
        <v>6</v>
      </c>
      <c r="E30" s="18">
        <v>575</v>
      </c>
      <c r="F30" s="18">
        <v>89</v>
      </c>
      <c r="G30" s="18">
        <v>277</v>
      </c>
      <c r="H30" s="18">
        <v>209</v>
      </c>
      <c r="I30" s="18">
        <v>575</v>
      </c>
      <c r="J30" s="18">
        <v>0</v>
      </c>
      <c r="K30" s="18">
        <f t="shared" si="0"/>
        <v>575</v>
      </c>
      <c r="L30" s="18">
        <v>0</v>
      </c>
      <c r="M30" s="19">
        <f t="shared" si="1"/>
        <v>0.3634782608695652</v>
      </c>
      <c r="N30" s="19">
        <f t="shared" si="2"/>
        <v>0.48173913043478261</v>
      </c>
      <c r="O30" s="19">
        <f t="shared" si="3"/>
        <v>0.15478260869565216</v>
      </c>
      <c r="P30" s="20">
        <v>676</v>
      </c>
      <c r="Q30" s="20">
        <v>1</v>
      </c>
      <c r="R30" s="20">
        <v>8</v>
      </c>
      <c r="S30" s="20">
        <v>1</v>
      </c>
      <c r="T30" s="20">
        <v>686</v>
      </c>
      <c r="U30" s="23">
        <v>0.98542274052478129</v>
      </c>
      <c r="V30" s="23">
        <v>1.4577259475218659E-3</v>
      </c>
      <c r="W30" s="23">
        <v>1.1661807580174927E-2</v>
      </c>
      <c r="X30" s="23">
        <v>1.4577259475218659E-3</v>
      </c>
      <c r="Y30" s="35">
        <v>20.309037900874635</v>
      </c>
      <c r="Z30" s="19">
        <f t="shared" si="4"/>
        <v>0.83819241982507287</v>
      </c>
    </row>
    <row r="31" spans="1:26" x14ac:dyDescent="0.25">
      <c r="A31" s="18"/>
      <c r="B31" s="18"/>
      <c r="C31" s="18" t="s">
        <v>159</v>
      </c>
      <c r="D31" s="18">
        <v>1</v>
      </c>
      <c r="E31" s="18">
        <v>315</v>
      </c>
      <c r="F31" s="18">
        <v>91</v>
      </c>
      <c r="G31" s="18">
        <v>138</v>
      </c>
      <c r="H31" s="18">
        <v>84</v>
      </c>
      <c r="I31" s="18">
        <v>313</v>
      </c>
      <c r="J31" s="18">
        <v>2</v>
      </c>
      <c r="K31" s="18">
        <f t="shared" si="0"/>
        <v>315</v>
      </c>
      <c r="L31" s="18">
        <v>0</v>
      </c>
      <c r="M31" s="19">
        <f t="shared" si="1"/>
        <v>0.26666666666666666</v>
      </c>
      <c r="N31" s="19">
        <f t="shared" si="2"/>
        <v>0.43809523809523809</v>
      </c>
      <c r="O31" s="19">
        <f t="shared" si="3"/>
        <v>0.28888888888888886</v>
      </c>
      <c r="P31" s="20">
        <v>352</v>
      </c>
      <c r="Q31" s="20">
        <v>4</v>
      </c>
      <c r="R31" s="20">
        <v>14</v>
      </c>
      <c r="S31" s="20">
        <v>0</v>
      </c>
      <c r="T31" s="20">
        <v>370</v>
      </c>
      <c r="U31" s="23">
        <v>0.9513513513513514</v>
      </c>
      <c r="V31" s="23">
        <v>1.0810810810810811E-2</v>
      </c>
      <c r="W31" s="23">
        <v>3.783783783783784E-2</v>
      </c>
      <c r="X31" s="23">
        <v>0</v>
      </c>
      <c r="Y31" s="35">
        <v>56.956756756756754</v>
      </c>
      <c r="Z31" s="19">
        <f t="shared" si="4"/>
        <v>0.85135135135135132</v>
      </c>
    </row>
    <row r="32" spans="1:26" x14ac:dyDescent="0.25">
      <c r="A32" s="18"/>
      <c r="B32" s="18"/>
      <c r="C32" s="18"/>
      <c r="D32" s="18">
        <v>2</v>
      </c>
      <c r="E32" s="18">
        <v>319</v>
      </c>
      <c r="F32" s="18">
        <v>71</v>
      </c>
      <c r="G32" s="18">
        <v>163</v>
      </c>
      <c r="H32" s="18">
        <v>84</v>
      </c>
      <c r="I32" s="18">
        <v>318</v>
      </c>
      <c r="J32" s="18">
        <v>1</v>
      </c>
      <c r="K32" s="18">
        <f t="shared" si="0"/>
        <v>319</v>
      </c>
      <c r="L32" s="18">
        <v>0</v>
      </c>
      <c r="M32" s="19">
        <f t="shared" si="1"/>
        <v>0.26332288401253917</v>
      </c>
      <c r="N32" s="19">
        <f t="shared" si="2"/>
        <v>0.5109717868338558</v>
      </c>
      <c r="O32" s="19">
        <f t="shared" si="3"/>
        <v>0.2225705329153605</v>
      </c>
      <c r="P32" s="20">
        <v>352</v>
      </c>
      <c r="Q32" s="20">
        <v>5</v>
      </c>
      <c r="R32" s="20">
        <v>9</v>
      </c>
      <c r="S32" s="20">
        <v>4</v>
      </c>
      <c r="T32" s="20">
        <v>370</v>
      </c>
      <c r="U32" s="23">
        <v>0.9513513513513514</v>
      </c>
      <c r="V32" s="23">
        <v>1.3513513513513514E-2</v>
      </c>
      <c r="W32" s="23">
        <v>2.4324324324324326E-2</v>
      </c>
      <c r="X32" s="23">
        <v>1.0810810810810811E-2</v>
      </c>
      <c r="Y32" s="35">
        <v>47.840540540540538</v>
      </c>
      <c r="Z32" s="19">
        <f t="shared" si="4"/>
        <v>0.86216216216216213</v>
      </c>
    </row>
    <row r="33" spans="1:26" x14ac:dyDescent="0.25">
      <c r="A33" s="18"/>
      <c r="B33" s="18"/>
      <c r="C33" s="18"/>
      <c r="D33" s="18">
        <v>3</v>
      </c>
      <c r="E33" s="18">
        <v>509</v>
      </c>
      <c r="F33" s="18">
        <v>105</v>
      </c>
      <c r="G33" s="18">
        <v>236</v>
      </c>
      <c r="H33" s="18">
        <v>164</v>
      </c>
      <c r="I33" s="18">
        <v>505</v>
      </c>
      <c r="J33" s="18">
        <v>4</v>
      </c>
      <c r="K33" s="18">
        <f t="shared" si="0"/>
        <v>509</v>
      </c>
      <c r="L33" s="18">
        <v>0</v>
      </c>
      <c r="M33" s="19">
        <f t="shared" si="1"/>
        <v>0.32220039292730845</v>
      </c>
      <c r="N33" s="19">
        <f t="shared" si="2"/>
        <v>0.46365422396856582</v>
      </c>
      <c r="O33" s="19">
        <f t="shared" si="3"/>
        <v>0.206286836935167</v>
      </c>
      <c r="P33" s="20">
        <v>596</v>
      </c>
      <c r="Q33" s="20">
        <v>6</v>
      </c>
      <c r="R33" s="20">
        <v>17</v>
      </c>
      <c r="S33" s="20">
        <v>4</v>
      </c>
      <c r="T33" s="20">
        <v>623</v>
      </c>
      <c r="U33" s="23">
        <v>0.956661316211878</v>
      </c>
      <c r="V33" s="23">
        <v>9.630818619582664E-3</v>
      </c>
      <c r="W33" s="23">
        <v>2.7287319422150885E-2</v>
      </c>
      <c r="X33" s="23">
        <v>6.420545746388443E-3</v>
      </c>
      <c r="Y33" s="35">
        <v>33.361155698234349</v>
      </c>
      <c r="Z33" s="19">
        <f t="shared" si="4"/>
        <v>0.8170144462279294</v>
      </c>
    </row>
    <row r="34" spans="1:26" x14ac:dyDescent="0.25">
      <c r="A34" s="18"/>
      <c r="B34" s="18"/>
      <c r="C34" s="18"/>
      <c r="D34" s="18">
        <v>4</v>
      </c>
      <c r="E34" s="18">
        <v>520</v>
      </c>
      <c r="F34" s="18">
        <v>63</v>
      </c>
      <c r="G34" s="18">
        <v>214</v>
      </c>
      <c r="H34" s="18">
        <v>243</v>
      </c>
      <c r="I34" s="18">
        <v>520</v>
      </c>
      <c r="J34" s="18">
        <v>0</v>
      </c>
      <c r="K34" s="18">
        <f t="shared" si="0"/>
        <v>520</v>
      </c>
      <c r="L34" s="18">
        <v>0</v>
      </c>
      <c r="M34" s="19">
        <f t="shared" si="1"/>
        <v>0.46730769230769231</v>
      </c>
      <c r="N34" s="19">
        <f t="shared" si="2"/>
        <v>0.41153846153846152</v>
      </c>
      <c r="O34" s="19">
        <f t="shared" si="3"/>
        <v>0.12115384615384615</v>
      </c>
      <c r="P34" s="20">
        <v>613</v>
      </c>
      <c r="Q34" s="20">
        <v>1</v>
      </c>
      <c r="R34" s="20">
        <v>9</v>
      </c>
      <c r="S34" s="20">
        <v>0</v>
      </c>
      <c r="T34" s="20">
        <v>623</v>
      </c>
      <c r="U34" s="23">
        <v>0.9839486356340289</v>
      </c>
      <c r="V34" s="23">
        <v>1.6051364365971107E-3</v>
      </c>
      <c r="W34" s="23">
        <v>1.4446227929373997E-2</v>
      </c>
      <c r="X34" s="23">
        <v>0</v>
      </c>
      <c r="Y34" s="35">
        <v>25.086677367576243</v>
      </c>
      <c r="Z34" s="19">
        <f t="shared" si="4"/>
        <v>0.8346709470304976</v>
      </c>
    </row>
    <row r="35" spans="1:26" x14ac:dyDescent="0.25">
      <c r="A35" s="18"/>
      <c r="B35" s="18"/>
      <c r="C35" s="18"/>
      <c r="D35" s="18">
        <v>5</v>
      </c>
      <c r="E35" s="18">
        <v>535</v>
      </c>
      <c r="F35" s="18">
        <v>63</v>
      </c>
      <c r="G35" s="18">
        <v>274</v>
      </c>
      <c r="H35" s="18">
        <v>196</v>
      </c>
      <c r="I35" s="18">
        <v>533</v>
      </c>
      <c r="J35" s="18">
        <v>2</v>
      </c>
      <c r="K35" s="18">
        <f t="shared" si="0"/>
        <v>535</v>
      </c>
      <c r="L35" s="18">
        <v>0</v>
      </c>
      <c r="M35" s="19">
        <f t="shared" si="1"/>
        <v>0.3663551401869159</v>
      </c>
      <c r="N35" s="19">
        <f t="shared" si="2"/>
        <v>0.51214953271028041</v>
      </c>
      <c r="O35" s="19">
        <f t="shared" si="3"/>
        <v>0.11775700934579439</v>
      </c>
      <c r="P35" s="20">
        <v>610</v>
      </c>
      <c r="Q35" s="20">
        <v>2</v>
      </c>
      <c r="R35" s="20">
        <v>11</v>
      </c>
      <c r="S35" s="20">
        <v>0</v>
      </c>
      <c r="T35" s="20">
        <v>623</v>
      </c>
      <c r="U35" s="23">
        <v>0.9791332263242376</v>
      </c>
      <c r="V35" s="23">
        <v>3.2102728731942215E-3</v>
      </c>
      <c r="W35" s="23">
        <v>1.7656500802568219E-2</v>
      </c>
      <c r="X35" s="23">
        <v>0</v>
      </c>
      <c r="Y35" s="35">
        <v>20.142857142857142</v>
      </c>
      <c r="Z35" s="19">
        <f t="shared" si="4"/>
        <v>0.85874799357945431</v>
      </c>
    </row>
    <row r="36" spans="1:26" x14ac:dyDescent="0.25">
      <c r="A36" s="18">
        <v>7</v>
      </c>
      <c r="B36" s="18" t="s">
        <v>160</v>
      </c>
      <c r="C36" s="18" t="s">
        <v>161</v>
      </c>
      <c r="D36" s="18">
        <v>1</v>
      </c>
      <c r="E36" s="18">
        <v>284</v>
      </c>
      <c r="F36" s="18">
        <v>157</v>
      </c>
      <c r="G36" s="18">
        <v>54</v>
      </c>
      <c r="H36" s="18">
        <v>61</v>
      </c>
      <c r="I36" s="18">
        <v>272</v>
      </c>
      <c r="J36" s="18">
        <v>12</v>
      </c>
      <c r="K36" s="18">
        <f t="shared" si="0"/>
        <v>284</v>
      </c>
      <c r="L36" s="18">
        <v>0</v>
      </c>
      <c r="M36" s="19">
        <f t="shared" si="1"/>
        <v>0.21478873239436619</v>
      </c>
      <c r="N36" s="19">
        <f t="shared" si="2"/>
        <v>0.19014084507042253</v>
      </c>
      <c r="O36" s="19">
        <f t="shared" si="3"/>
        <v>0.55281690140845074</v>
      </c>
      <c r="P36" s="20">
        <v>286</v>
      </c>
      <c r="Q36" s="20">
        <v>29</v>
      </c>
      <c r="R36" s="20">
        <v>43</v>
      </c>
      <c r="S36" s="20">
        <v>2</v>
      </c>
      <c r="T36" s="20">
        <v>360</v>
      </c>
      <c r="U36" s="23">
        <v>0.7944444444444444</v>
      </c>
      <c r="V36" s="23">
        <v>8.0555555555555561E-2</v>
      </c>
      <c r="W36" s="23">
        <v>0.11944444444444445</v>
      </c>
      <c r="X36" s="23">
        <v>5.5555555555555558E-3</v>
      </c>
      <c r="Y36" s="35">
        <v>68.625</v>
      </c>
      <c r="Z36" s="19">
        <f t="shared" si="4"/>
        <v>0.78888888888888886</v>
      </c>
    </row>
    <row r="37" spans="1:26" x14ac:dyDescent="0.25">
      <c r="A37" s="18"/>
      <c r="B37" s="18"/>
      <c r="C37" s="18"/>
      <c r="D37" s="18">
        <v>2</v>
      </c>
      <c r="E37" s="18">
        <v>320</v>
      </c>
      <c r="F37" s="18">
        <v>125</v>
      </c>
      <c r="G37" s="18">
        <v>94</v>
      </c>
      <c r="H37" s="18">
        <v>97</v>
      </c>
      <c r="I37" s="18">
        <v>316</v>
      </c>
      <c r="J37" s="18">
        <v>4</v>
      </c>
      <c r="K37" s="18">
        <f t="shared" si="0"/>
        <v>320</v>
      </c>
      <c r="L37" s="18">
        <v>0</v>
      </c>
      <c r="M37" s="19">
        <f t="shared" si="1"/>
        <v>0.30312499999999998</v>
      </c>
      <c r="N37" s="19">
        <f t="shared" si="2"/>
        <v>0.29375000000000001</v>
      </c>
      <c r="O37" s="19">
        <f t="shared" si="3"/>
        <v>0.390625</v>
      </c>
      <c r="P37" s="20">
        <v>296</v>
      </c>
      <c r="Q37" s="20">
        <v>12</v>
      </c>
      <c r="R37" s="20">
        <v>47</v>
      </c>
      <c r="S37" s="20">
        <v>5</v>
      </c>
      <c r="T37" s="20">
        <v>360</v>
      </c>
      <c r="U37" s="23">
        <v>0.82222222222222219</v>
      </c>
      <c r="V37" s="23">
        <v>3.3333333333333333E-2</v>
      </c>
      <c r="W37" s="23">
        <v>0.13055555555555556</v>
      </c>
      <c r="X37" s="23">
        <v>1.3888888888888888E-2</v>
      </c>
      <c r="Y37" s="35">
        <v>58.177777777777777</v>
      </c>
      <c r="Z37" s="19">
        <f t="shared" si="4"/>
        <v>0.88888888888888884</v>
      </c>
    </row>
    <row r="38" spans="1:26" x14ac:dyDescent="0.25">
      <c r="A38" s="18"/>
      <c r="B38" s="18"/>
      <c r="C38" s="18"/>
      <c r="D38" s="18">
        <v>3</v>
      </c>
      <c r="E38" s="18">
        <v>394</v>
      </c>
      <c r="F38" s="18">
        <v>154</v>
      </c>
      <c r="G38" s="18">
        <v>152</v>
      </c>
      <c r="H38" s="18">
        <v>87</v>
      </c>
      <c r="I38" s="18">
        <v>393</v>
      </c>
      <c r="J38" s="18">
        <v>1</v>
      </c>
      <c r="K38" s="18">
        <f t="shared" si="0"/>
        <v>394</v>
      </c>
      <c r="L38" s="18">
        <v>0</v>
      </c>
      <c r="M38" s="19">
        <f t="shared" si="1"/>
        <v>0.22081218274111675</v>
      </c>
      <c r="N38" s="19">
        <f t="shared" si="2"/>
        <v>0.38578680203045684</v>
      </c>
      <c r="O38" s="19">
        <f t="shared" si="3"/>
        <v>0.39086294416243655</v>
      </c>
      <c r="P38" s="20">
        <v>443</v>
      </c>
      <c r="Q38" s="20">
        <v>14</v>
      </c>
      <c r="R38" s="20">
        <v>39</v>
      </c>
      <c r="S38" s="20">
        <v>5</v>
      </c>
      <c r="T38" s="20">
        <v>501</v>
      </c>
      <c r="U38" s="23">
        <v>0.88423153692614775</v>
      </c>
      <c r="V38" s="23">
        <v>2.7944111776447105E-2</v>
      </c>
      <c r="W38" s="23">
        <v>7.7844311377245512E-2</v>
      </c>
      <c r="X38" s="23">
        <v>9.9800399201596807E-3</v>
      </c>
      <c r="Y38" s="35">
        <v>46.0439121756487</v>
      </c>
      <c r="Z38" s="19">
        <f t="shared" si="4"/>
        <v>0.78642714570858285</v>
      </c>
    </row>
    <row r="39" spans="1:26" x14ac:dyDescent="0.25">
      <c r="A39" s="18"/>
      <c r="B39" s="18"/>
      <c r="C39" s="18"/>
      <c r="D39" s="18">
        <v>4</v>
      </c>
      <c r="E39" s="18">
        <v>398</v>
      </c>
      <c r="F39" s="18">
        <v>137</v>
      </c>
      <c r="G39" s="18">
        <v>174</v>
      </c>
      <c r="H39" s="18">
        <v>84</v>
      </c>
      <c r="I39" s="18">
        <v>395</v>
      </c>
      <c r="J39" s="18">
        <v>3</v>
      </c>
      <c r="K39" s="18">
        <f t="shared" si="0"/>
        <v>398</v>
      </c>
      <c r="L39" s="18">
        <v>0</v>
      </c>
      <c r="M39" s="19">
        <f t="shared" si="1"/>
        <v>0.21105527638190955</v>
      </c>
      <c r="N39" s="19">
        <f t="shared" si="2"/>
        <v>0.43718592964824121</v>
      </c>
      <c r="O39" s="19">
        <f t="shared" si="3"/>
        <v>0.34422110552763818</v>
      </c>
      <c r="P39" s="20">
        <v>452</v>
      </c>
      <c r="Q39" s="20">
        <v>18</v>
      </c>
      <c r="R39" s="20">
        <v>25</v>
      </c>
      <c r="S39" s="20">
        <v>6</v>
      </c>
      <c r="T39" s="20">
        <v>501</v>
      </c>
      <c r="U39" s="23">
        <v>0.9021956087824351</v>
      </c>
      <c r="V39" s="23">
        <v>3.5928143712574849E-2</v>
      </c>
      <c r="W39" s="23">
        <v>4.9900199600798403E-2</v>
      </c>
      <c r="X39" s="23">
        <v>1.1976047904191617E-2</v>
      </c>
      <c r="Y39" s="35">
        <v>33.674650698602797</v>
      </c>
      <c r="Z39" s="19">
        <f t="shared" si="4"/>
        <v>0.79441117764471059</v>
      </c>
    </row>
    <row r="40" spans="1:26" x14ac:dyDescent="0.25">
      <c r="A40" s="18"/>
      <c r="B40" s="18"/>
      <c r="C40" s="18"/>
      <c r="D40" s="18">
        <v>5</v>
      </c>
      <c r="E40" s="18">
        <v>428</v>
      </c>
      <c r="F40" s="18">
        <v>148</v>
      </c>
      <c r="G40" s="18">
        <v>186</v>
      </c>
      <c r="H40" s="18">
        <v>93</v>
      </c>
      <c r="I40" s="18">
        <v>427</v>
      </c>
      <c r="J40" s="18">
        <v>1</v>
      </c>
      <c r="K40" s="18">
        <f t="shared" si="0"/>
        <v>428</v>
      </c>
      <c r="L40" s="18">
        <v>0</v>
      </c>
      <c r="M40" s="19">
        <f t="shared" si="1"/>
        <v>0.21728971962616822</v>
      </c>
      <c r="N40" s="19">
        <f t="shared" si="2"/>
        <v>0.43457943925233644</v>
      </c>
      <c r="O40" s="19">
        <f t="shared" si="3"/>
        <v>0.34579439252336447</v>
      </c>
      <c r="P40" s="20">
        <v>477</v>
      </c>
      <c r="Q40" s="20">
        <v>9</v>
      </c>
      <c r="R40" s="20">
        <v>15</v>
      </c>
      <c r="S40" s="20">
        <v>0</v>
      </c>
      <c r="T40" s="20">
        <v>501</v>
      </c>
      <c r="U40" s="23">
        <v>0.95209580838323349</v>
      </c>
      <c r="V40" s="23">
        <v>1.7964071856287425E-2</v>
      </c>
      <c r="W40" s="23">
        <v>2.9940119760479042E-2</v>
      </c>
      <c r="X40" s="23">
        <v>0</v>
      </c>
      <c r="Y40" s="35">
        <v>23.113772455089819</v>
      </c>
      <c r="Z40" s="19">
        <f t="shared" si="4"/>
        <v>0.8542914171656687</v>
      </c>
    </row>
    <row r="41" spans="1:26" x14ac:dyDescent="0.25">
      <c r="A41" s="18">
        <v>8</v>
      </c>
      <c r="B41" s="18" t="s">
        <v>162</v>
      </c>
      <c r="C41" s="18" t="s">
        <v>163</v>
      </c>
      <c r="D41" s="18">
        <v>1</v>
      </c>
      <c r="E41" s="18">
        <v>223</v>
      </c>
      <c r="F41" s="18">
        <v>95</v>
      </c>
      <c r="G41" s="18">
        <v>17</v>
      </c>
      <c r="H41" s="18">
        <v>105</v>
      </c>
      <c r="I41" s="18">
        <v>217</v>
      </c>
      <c r="J41" s="18">
        <v>6</v>
      </c>
      <c r="K41" s="18">
        <f t="shared" si="0"/>
        <v>223</v>
      </c>
      <c r="L41" s="18">
        <v>0</v>
      </c>
      <c r="M41" s="19">
        <f t="shared" si="1"/>
        <v>0.47085201793721976</v>
      </c>
      <c r="N41" s="19">
        <f t="shared" si="2"/>
        <v>7.623318385650224E-2</v>
      </c>
      <c r="O41" s="19">
        <f t="shared" si="3"/>
        <v>0.42600896860986548</v>
      </c>
      <c r="P41" s="20">
        <v>165</v>
      </c>
      <c r="Q41" s="20">
        <v>132</v>
      </c>
      <c r="R41" s="20">
        <v>61</v>
      </c>
      <c r="S41" s="20">
        <v>2</v>
      </c>
      <c r="T41" s="20">
        <v>360</v>
      </c>
      <c r="U41" s="23">
        <v>0.45833333333333331</v>
      </c>
      <c r="V41" s="23">
        <v>0.36666666666666664</v>
      </c>
      <c r="W41" s="23">
        <v>0.16944444444444445</v>
      </c>
      <c r="X41" s="23">
        <v>5.5555555555555558E-3</v>
      </c>
      <c r="Y41" s="35">
        <v>75.411111111111111</v>
      </c>
      <c r="Z41" s="19">
        <f t="shared" si="4"/>
        <v>0.61944444444444446</v>
      </c>
    </row>
    <row r="42" spans="1:26" x14ac:dyDescent="0.25">
      <c r="A42" s="18"/>
      <c r="B42" s="18"/>
      <c r="C42" s="18"/>
      <c r="D42" s="18">
        <v>2</v>
      </c>
      <c r="E42" s="18">
        <v>276</v>
      </c>
      <c r="F42" s="18">
        <v>118</v>
      </c>
      <c r="G42" s="18">
        <v>25</v>
      </c>
      <c r="H42" s="18">
        <v>118</v>
      </c>
      <c r="I42" s="18">
        <v>261</v>
      </c>
      <c r="J42" s="18">
        <v>15</v>
      </c>
      <c r="K42" s="18">
        <f t="shared" si="0"/>
        <v>276</v>
      </c>
      <c r="L42" s="18">
        <v>0</v>
      </c>
      <c r="M42" s="19">
        <f t="shared" si="1"/>
        <v>0.42753623188405798</v>
      </c>
      <c r="N42" s="19">
        <f t="shared" si="2"/>
        <v>9.0579710144927536E-2</v>
      </c>
      <c r="O42" s="19">
        <f t="shared" si="3"/>
        <v>0.42753623188405798</v>
      </c>
      <c r="P42" s="20">
        <v>192</v>
      </c>
      <c r="Q42" s="20">
        <v>99</v>
      </c>
      <c r="R42" s="20">
        <v>68</v>
      </c>
      <c r="S42" s="20">
        <v>1</v>
      </c>
      <c r="T42" s="20">
        <v>360</v>
      </c>
      <c r="U42" s="23">
        <v>0.53333333333333333</v>
      </c>
      <c r="V42" s="23">
        <v>0.27500000000000002</v>
      </c>
      <c r="W42" s="23">
        <v>0.18888888888888888</v>
      </c>
      <c r="X42" s="23">
        <v>2.7777777777777779E-3</v>
      </c>
      <c r="Y42" s="35">
        <v>68.841666666666669</v>
      </c>
      <c r="Z42" s="19">
        <f t="shared" si="4"/>
        <v>0.76666666666666672</v>
      </c>
    </row>
    <row r="43" spans="1:26" x14ac:dyDescent="0.25">
      <c r="A43" s="18"/>
      <c r="B43" s="18"/>
      <c r="C43" s="18"/>
      <c r="D43" s="18">
        <v>3</v>
      </c>
      <c r="E43" s="18">
        <v>315</v>
      </c>
      <c r="F43" s="18">
        <v>134</v>
      </c>
      <c r="G43" s="18">
        <v>45</v>
      </c>
      <c r="H43" s="18">
        <v>129</v>
      </c>
      <c r="I43" s="18">
        <v>308</v>
      </c>
      <c r="J43" s="18">
        <v>7</v>
      </c>
      <c r="K43" s="18">
        <f t="shared" si="0"/>
        <v>315</v>
      </c>
      <c r="L43" s="18">
        <v>0</v>
      </c>
      <c r="M43" s="19">
        <f t="shared" si="1"/>
        <v>0.40952380952380951</v>
      </c>
      <c r="N43" s="19">
        <f t="shared" si="2"/>
        <v>0.14285714285714285</v>
      </c>
      <c r="O43" s="19">
        <f t="shared" si="3"/>
        <v>0.42539682539682538</v>
      </c>
      <c r="P43" s="20">
        <v>186</v>
      </c>
      <c r="Q43" s="20">
        <v>106</v>
      </c>
      <c r="R43" s="20">
        <v>63</v>
      </c>
      <c r="S43" s="20">
        <v>5</v>
      </c>
      <c r="T43" s="20">
        <v>360</v>
      </c>
      <c r="U43" s="23">
        <v>0.51666666666666672</v>
      </c>
      <c r="V43" s="23">
        <v>0.29444444444444445</v>
      </c>
      <c r="W43" s="23">
        <v>0.17499999999999999</v>
      </c>
      <c r="X43" s="23">
        <v>1.3888888888888888E-2</v>
      </c>
      <c r="Y43" s="35">
        <v>61.280555555555559</v>
      </c>
      <c r="Z43" s="19">
        <f t="shared" si="4"/>
        <v>0.875</v>
      </c>
    </row>
    <row r="44" spans="1:26" x14ac:dyDescent="0.25">
      <c r="A44" s="18"/>
      <c r="B44" s="18"/>
      <c r="C44" s="18"/>
      <c r="D44" s="18">
        <v>4</v>
      </c>
      <c r="E44" s="18">
        <v>504</v>
      </c>
      <c r="F44" s="18">
        <v>145</v>
      </c>
      <c r="G44" s="18">
        <v>92</v>
      </c>
      <c r="H44" s="18">
        <v>260</v>
      </c>
      <c r="I44" s="18">
        <v>497</v>
      </c>
      <c r="J44" s="18">
        <v>7</v>
      </c>
      <c r="K44" s="18">
        <f t="shared" si="0"/>
        <v>504</v>
      </c>
      <c r="L44" s="18">
        <v>0</v>
      </c>
      <c r="M44" s="19">
        <f t="shared" si="1"/>
        <v>0.51587301587301593</v>
      </c>
      <c r="N44" s="19">
        <f t="shared" si="2"/>
        <v>0.18253968253968253</v>
      </c>
      <c r="O44" s="19">
        <f t="shared" si="3"/>
        <v>0.28769841269841268</v>
      </c>
      <c r="P44" s="20">
        <v>302</v>
      </c>
      <c r="Q44" s="20">
        <v>192</v>
      </c>
      <c r="R44" s="20">
        <v>84</v>
      </c>
      <c r="S44" s="20">
        <v>15</v>
      </c>
      <c r="T44" s="20">
        <v>593</v>
      </c>
      <c r="U44" s="23">
        <v>0.50927487352445189</v>
      </c>
      <c r="V44" s="23">
        <v>0.32377740303541314</v>
      </c>
      <c r="W44" s="23">
        <v>0.14165261382799327</v>
      </c>
      <c r="X44" s="23">
        <v>2.5295109612141653E-2</v>
      </c>
      <c r="Y44" s="35">
        <v>53.588532883642493</v>
      </c>
      <c r="Z44" s="19">
        <f t="shared" si="4"/>
        <v>0.8499156829679595</v>
      </c>
    </row>
    <row r="45" spans="1:26" x14ac:dyDescent="0.25">
      <c r="A45" s="18"/>
      <c r="B45" s="18"/>
      <c r="C45" s="18"/>
      <c r="D45" s="18">
        <v>5</v>
      </c>
      <c r="E45" s="18">
        <v>481</v>
      </c>
      <c r="F45" s="18">
        <v>153</v>
      </c>
      <c r="G45" s="18">
        <v>96</v>
      </c>
      <c r="H45" s="18">
        <v>231</v>
      </c>
      <c r="I45" s="18">
        <v>480</v>
      </c>
      <c r="J45" s="18">
        <v>1</v>
      </c>
      <c r="K45" s="18">
        <f t="shared" si="0"/>
        <v>481</v>
      </c>
      <c r="L45" s="18">
        <v>0</v>
      </c>
      <c r="M45" s="19">
        <f t="shared" si="1"/>
        <v>0.48024948024948028</v>
      </c>
      <c r="N45" s="19">
        <f t="shared" si="2"/>
        <v>0.1995841995841996</v>
      </c>
      <c r="O45" s="19">
        <f t="shared" si="3"/>
        <v>0.3180873180873181</v>
      </c>
      <c r="P45" s="20">
        <v>331</v>
      </c>
      <c r="Q45" s="20">
        <v>183</v>
      </c>
      <c r="R45" s="20">
        <v>74</v>
      </c>
      <c r="S45" s="20">
        <v>5</v>
      </c>
      <c r="T45" s="20">
        <v>593</v>
      </c>
      <c r="U45" s="23">
        <v>0.55817875210792578</v>
      </c>
      <c r="V45" s="23">
        <v>0.30860033726812819</v>
      </c>
      <c r="W45" s="23">
        <v>0.12478920741989882</v>
      </c>
      <c r="X45" s="23">
        <v>8.4317032040472171E-3</v>
      </c>
      <c r="Y45" s="35">
        <v>44.930860033726816</v>
      </c>
      <c r="Z45" s="19">
        <f t="shared" si="4"/>
        <v>0.81112984822934231</v>
      </c>
    </row>
    <row r="46" spans="1:26" x14ac:dyDescent="0.25">
      <c r="A46" s="18"/>
      <c r="B46" s="18"/>
      <c r="C46" s="18"/>
      <c r="D46" s="18">
        <v>6</v>
      </c>
      <c r="E46" s="18">
        <v>473</v>
      </c>
      <c r="F46" s="18">
        <v>120</v>
      </c>
      <c r="G46" s="18">
        <v>113</v>
      </c>
      <c r="H46" s="18">
        <v>237</v>
      </c>
      <c r="I46" s="18">
        <v>470</v>
      </c>
      <c r="J46" s="18">
        <v>3</v>
      </c>
      <c r="K46" s="18">
        <f t="shared" si="0"/>
        <v>473</v>
      </c>
      <c r="L46" s="18">
        <v>0</v>
      </c>
      <c r="M46" s="19">
        <f t="shared" si="1"/>
        <v>0.5010570824524313</v>
      </c>
      <c r="N46" s="19">
        <f t="shared" si="2"/>
        <v>0.23890063424947147</v>
      </c>
      <c r="O46" s="19">
        <f t="shared" si="3"/>
        <v>0.2536997885835095</v>
      </c>
      <c r="P46" s="20">
        <v>330</v>
      </c>
      <c r="Q46" s="20">
        <v>173</v>
      </c>
      <c r="R46" s="20">
        <v>79</v>
      </c>
      <c r="S46" s="20">
        <v>11</v>
      </c>
      <c r="T46" s="20">
        <v>593</v>
      </c>
      <c r="U46" s="23">
        <v>0.55649241146711637</v>
      </c>
      <c r="V46" s="23">
        <v>0.29173693086003372</v>
      </c>
      <c r="W46" s="23">
        <v>0.13322091062394603</v>
      </c>
      <c r="X46" s="23">
        <v>1.8549747048903879E-2</v>
      </c>
      <c r="Y46" s="35">
        <v>36.36930860033727</v>
      </c>
      <c r="Z46" s="19">
        <f t="shared" si="4"/>
        <v>0.79763912310286678</v>
      </c>
    </row>
    <row r="47" spans="1:26" x14ac:dyDescent="0.25">
      <c r="A47" s="18"/>
      <c r="B47" s="18"/>
      <c r="C47" s="18"/>
      <c r="D47" s="18">
        <v>7</v>
      </c>
      <c r="E47" s="18">
        <v>482</v>
      </c>
      <c r="F47" s="18">
        <v>118</v>
      </c>
      <c r="G47" s="18">
        <v>117</v>
      </c>
      <c r="H47" s="18">
        <v>245</v>
      </c>
      <c r="I47" s="18">
        <v>480</v>
      </c>
      <c r="J47" s="18">
        <v>2</v>
      </c>
      <c r="K47" s="18">
        <f t="shared" si="0"/>
        <v>482</v>
      </c>
      <c r="L47" s="18">
        <v>0</v>
      </c>
      <c r="M47" s="19">
        <f t="shared" si="1"/>
        <v>0.50829875518672196</v>
      </c>
      <c r="N47" s="19">
        <f t="shared" si="2"/>
        <v>0.24273858921161826</v>
      </c>
      <c r="O47" s="19">
        <f t="shared" si="3"/>
        <v>0.24481327800829875</v>
      </c>
      <c r="P47" s="20">
        <v>345</v>
      </c>
      <c r="Q47" s="20">
        <v>218</v>
      </c>
      <c r="R47" s="20">
        <v>23</v>
      </c>
      <c r="S47" s="20">
        <v>7</v>
      </c>
      <c r="T47" s="20">
        <v>593</v>
      </c>
      <c r="U47" s="23">
        <v>0.58178752107925802</v>
      </c>
      <c r="V47" s="23">
        <v>0.36762225969645868</v>
      </c>
      <c r="W47" s="23">
        <v>3.87858347386172E-2</v>
      </c>
      <c r="X47" s="23">
        <v>1.1804384485666104E-2</v>
      </c>
      <c r="Y47" s="35">
        <v>26.470489038785836</v>
      </c>
      <c r="Z47" s="19">
        <f t="shared" si="4"/>
        <v>0.81281618887015172</v>
      </c>
    </row>
    <row r="48" spans="1:26" x14ac:dyDescent="0.25">
      <c r="A48" s="18"/>
      <c r="B48" s="18"/>
      <c r="C48" s="18" t="s">
        <v>164</v>
      </c>
      <c r="D48" s="18">
        <v>1</v>
      </c>
      <c r="E48" s="18">
        <v>254</v>
      </c>
      <c r="F48" s="18">
        <v>82</v>
      </c>
      <c r="G48" s="18">
        <v>68</v>
      </c>
      <c r="H48" s="18">
        <v>101</v>
      </c>
      <c r="I48" s="18">
        <v>251</v>
      </c>
      <c r="J48" s="18">
        <v>3</v>
      </c>
      <c r="K48" s="18">
        <f t="shared" si="0"/>
        <v>254</v>
      </c>
      <c r="L48" s="18">
        <v>0</v>
      </c>
      <c r="M48" s="19">
        <f t="shared" si="1"/>
        <v>0.39763779527559057</v>
      </c>
      <c r="N48" s="19">
        <f t="shared" si="2"/>
        <v>0.26771653543307089</v>
      </c>
      <c r="O48" s="19">
        <f t="shared" si="3"/>
        <v>0.32283464566929132</v>
      </c>
      <c r="P48" s="20">
        <v>240</v>
      </c>
      <c r="Q48" s="20">
        <v>11</v>
      </c>
      <c r="R48" s="20">
        <v>91</v>
      </c>
      <c r="S48" s="20">
        <v>8</v>
      </c>
      <c r="T48" s="20">
        <v>350</v>
      </c>
      <c r="U48" s="23">
        <v>0.68571428571428572</v>
      </c>
      <c r="V48" s="23">
        <v>3.1428571428571431E-2</v>
      </c>
      <c r="W48" s="23">
        <v>0.26</v>
      </c>
      <c r="X48" s="23">
        <v>2.2857142857142857E-2</v>
      </c>
      <c r="Y48" s="35">
        <v>37.437142857142859</v>
      </c>
      <c r="Z48" s="19">
        <f t="shared" si="4"/>
        <v>0.72571428571428576</v>
      </c>
    </row>
    <row r="49" spans="1:26" x14ac:dyDescent="0.25">
      <c r="A49" s="18"/>
      <c r="B49" s="18"/>
      <c r="C49" s="18"/>
      <c r="D49" s="18">
        <v>2</v>
      </c>
      <c r="E49" s="18">
        <v>328</v>
      </c>
      <c r="F49" s="18">
        <v>114</v>
      </c>
      <c r="G49" s="18">
        <v>136</v>
      </c>
      <c r="H49" s="18">
        <v>77</v>
      </c>
      <c r="I49" s="18">
        <v>327</v>
      </c>
      <c r="J49" s="18">
        <v>1</v>
      </c>
      <c r="K49" s="18">
        <f t="shared" si="0"/>
        <v>328</v>
      </c>
      <c r="L49" s="18">
        <v>0</v>
      </c>
      <c r="M49" s="19">
        <f t="shared" si="1"/>
        <v>0.2347560975609756</v>
      </c>
      <c r="N49" s="19">
        <f t="shared" si="2"/>
        <v>0.41463414634146339</v>
      </c>
      <c r="O49" s="19">
        <f t="shared" si="3"/>
        <v>0.34756097560975607</v>
      </c>
      <c r="P49" s="20">
        <v>338</v>
      </c>
      <c r="Q49" s="20">
        <v>7</v>
      </c>
      <c r="R49" s="20">
        <v>46</v>
      </c>
      <c r="S49" s="20">
        <v>0</v>
      </c>
      <c r="T49" s="20">
        <v>391</v>
      </c>
      <c r="U49" s="23">
        <v>0.86445012787723785</v>
      </c>
      <c r="V49" s="23">
        <v>1.7902813299232736E-2</v>
      </c>
      <c r="W49" s="23">
        <v>0.11764705882352941</v>
      </c>
      <c r="X49" s="23">
        <v>0</v>
      </c>
      <c r="Y49" s="35">
        <v>22.345268542199488</v>
      </c>
      <c r="Z49" s="19">
        <f t="shared" si="4"/>
        <v>0.83887468030690537</v>
      </c>
    </row>
    <row r="50" spans="1:26" x14ac:dyDescent="0.25">
      <c r="A50" s="18">
        <v>9</v>
      </c>
      <c r="B50" s="18" t="s">
        <v>165</v>
      </c>
      <c r="C50" s="18" t="s">
        <v>166</v>
      </c>
      <c r="D50" s="18">
        <v>1</v>
      </c>
      <c r="E50" s="18">
        <v>238</v>
      </c>
      <c r="F50" s="18">
        <v>79</v>
      </c>
      <c r="G50" s="18">
        <v>17</v>
      </c>
      <c r="H50" s="18">
        <v>129</v>
      </c>
      <c r="I50" s="18">
        <v>225</v>
      </c>
      <c r="J50" s="18">
        <v>13</v>
      </c>
      <c r="K50" s="18">
        <f t="shared" si="0"/>
        <v>238</v>
      </c>
      <c r="L50" s="18">
        <v>0</v>
      </c>
      <c r="M50" s="19">
        <f t="shared" si="1"/>
        <v>0.54201680672268904</v>
      </c>
      <c r="N50" s="19">
        <f t="shared" si="2"/>
        <v>7.1428571428571425E-2</v>
      </c>
      <c r="O50" s="19">
        <f t="shared" si="3"/>
        <v>0.33193277310924368</v>
      </c>
      <c r="P50" s="20">
        <v>101</v>
      </c>
      <c r="Q50" s="20">
        <v>116</v>
      </c>
      <c r="R50" s="20">
        <v>141</v>
      </c>
      <c r="S50" s="20">
        <v>2</v>
      </c>
      <c r="T50" s="20">
        <v>360</v>
      </c>
      <c r="U50" s="23">
        <v>0.28055555555555556</v>
      </c>
      <c r="V50" s="23">
        <v>0.32222222222222224</v>
      </c>
      <c r="W50" s="23">
        <v>0.39166666666666666</v>
      </c>
      <c r="X50" s="23">
        <v>5.5555555555555558E-3</v>
      </c>
      <c r="Y50" s="35">
        <v>71.12222222222222</v>
      </c>
      <c r="Z50" s="19">
        <f t="shared" si="4"/>
        <v>0.66111111111111109</v>
      </c>
    </row>
    <row r="51" spans="1:26" x14ac:dyDescent="0.25">
      <c r="A51" s="18"/>
      <c r="B51" s="18"/>
      <c r="C51" s="18"/>
      <c r="D51" s="18">
        <v>2</v>
      </c>
      <c r="E51" s="18">
        <v>304</v>
      </c>
      <c r="F51" s="18">
        <v>88</v>
      </c>
      <c r="G51" s="18">
        <v>46</v>
      </c>
      <c r="H51" s="18">
        <v>164</v>
      </c>
      <c r="I51" s="18">
        <v>298</v>
      </c>
      <c r="J51" s="18">
        <v>6</v>
      </c>
      <c r="K51" s="18">
        <f t="shared" si="0"/>
        <v>304</v>
      </c>
      <c r="L51" s="18">
        <v>0</v>
      </c>
      <c r="M51" s="19">
        <f t="shared" si="1"/>
        <v>0.53947368421052633</v>
      </c>
      <c r="N51" s="19">
        <f t="shared" si="2"/>
        <v>0.15131578947368421</v>
      </c>
      <c r="O51" s="19">
        <f t="shared" si="3"/>
        <v>0.28947368421052633</v>
      </c>
      <c r="P51" s="20">
        <v>146</v>
      </c>
      <c r="Q51" s="20">
        <v>74</v>
      </c>
      <c r="R51" s="20">
        <v>138</v>
      </c>
      <c r="S51" s="20">
        <v>2</v>
      </c>
      <c r="T51" s="20">
        <v>360</v>
      </c>
      <c r="U51" s="23">
        <v>0.40555555555555556</v>
      </c>
      <c r="V51" s="23">
        <v>0.20555555555555555</v>
      </c>
      <c r="W51" s="23">
        <v>0.38333333333333336</v>
      </c>
      <c r="X51" s="23">
        <v>5.5555555555555558E-3</v>
      </c>
      <c r="Y51" s="35">
        <v>57.855555555555554</v>
      </c>
      <c r="Z51" s="19">
        <f t="shared" si="4"/>
        <v>0.84444444444444444</v>
      </c>
    </row>
    <row r="52" spans="1:26" x14ac:dyDescent="0.25">
      <c r="A52" s="18"/>
      <c r="B52" s="18"/>
      <c r="C52" s="18"/>
      <c r="D52" s="18">
        <v>3</v>
      </c>
      <c r="E52" s="18">
        <v>338</v>
      </c>
      <c r="F52" s="18">
        <v>87</v>
      </c>
      <c r="G52" s="18">
        <v>69</v>
      </c>
      <c r="H52" s="18">
        <v>180</v>
      </c>
      <c r="I52" s="18">
        <v>336</v>
      </c>
      <c r="J52" s="18">
        <v>2</v>
      </c>
      <c r="K52" s="18">
        <f t="shared" si="0"/>
        <v>338</v>
      </c>
      <c r="L52" s="18">
        <v>0</v>
      </c>
      <c r="M52" s="19">
        <f t="shared" si="1"/>
        <v>0.53254437869822491</v>
      </c>
      <c r="N52" s="19">
        <f t="shared" si="2"/>
        <v>0.20414201183431951</v>
      </c>
      <c r="O52" s="19">
        <f t="shared" si="3"/>
        <v>0.25739644970414199</v>
      </c>
      <c r="P52" s="20">
        <v>186</v>
      </c>
      <c r="Q52" s="20">
        <v>74</v>
      </c>
      <c r="R52" s="20">
        <v>149</v>
      </c>
      <c r="S52" s="20">
        <v>6</v>
      </c>
      <c r="T52" s="20">
        <v>415</v>
      </c>
      <c r="U52" s="23">
        <v>0.44819277108433736</v>
      </c>
      <c r="V52" s="23">
        <v>0.1783132530120482</v>
      </c>
      <c r="W52" s="23">
        <v>0.35903614457831323</v>
      </c>
      <c r="X52" s="23">
        <v>1.4457831325301205E-2</v>
      </c>
      <c r="Y52" s="35">
        <v>45.734939759036145</v>
      </c>
      <c r="Z52" s="19">
        <f t="shared" si="4"/>
        <v>0.81445783132530125</v>
      </c>
    </row>
    <row r="53" spans="1:26" x14ac:dyDescent="0.25">
      <c r="A53" s="18"/>
      <c r="B53" s="18"/>
      <c r="C53" s="18"/>
      <c r="D53" s="18">
        <v>4</v>
      </c>
      <c r="E53" s="18">
        <v>312</v>
      </c>
      <c r="F53" s="18">
        <v>67</v>
      </c>
      <c r="G53" s="18">
        <v>55</v>
      </c>
      <c r="H53" s="18">
        <v>187</v>
      </c>
      <c r="I53" s="18">
        <v>309</v>
      </c>
      <c r="J53" s="18">
        <v>3</v>
      </c>
      <c r="K53" s="18">
        <f t="shared" si="0"/>
        <v>312</v>
      </c>
      <c r="L53" s="18">
        <v>0</v>
      </c>
      <c r="M53" s="19">
        <f t="shared" si="1"/>
        <v>0.59935897435897434</v>
      </c>
      <c r="N53" s="19">
        <f t="shared" si="2"/>
        <v>0.17628205128205129</v>
      </c>
      <c r="O53" s="19">
        <f t="shared" si="3"/>
        <v>0.21474358974358973</v>
      </c>
      <c r="P53" s="20">
        <v>204</v>
      </c>
      <c r="Q53" s="20">
        <v>55</v>
      </c>
      <c r="R53" s="20">
        <v>148</v>
      </c>
      <c r="S53" s="20">
        <v>9</v>
      </c>
      <c r="T53" s="20">
        <v>416</v>
      </c>
      <c r="U53" s="23">
        <v>0.49038461538461536</v>
      </c>
      <c r="V53" s="23">
        <v>0.13221153846153846</v>
      </c>
      <c r="W53" s="23">
        <v>0.35576923076923078</v>
      </c>
      <c r="X53" s="23">
        <v>2.1634615384615384E-2</v>
      </c>
      <c r="Y53" s="35">
        <v>35.401442307692307</v>
      </c>
      <c r="Z53" s="19">
        <f t="shared" si="4"/>
        <v>0.75</v>
      </c>
    </row>
    <row r="54" spans="1:26" x14ac:dyDescent="0.25">
      <c r="A54" s="18"/>
      <c r="B54" s="18"/>
      <c r="C54" s="18"/>
      <c r="D54" s="18">
        <v>5</v>
      </c>
      <c r="E54" s="18">
        <v>314</v>
      </c>
      <c r="F54" s="18">
        <v>85</v>
      </c>
      <c r="G54" s="18">
        <v>79</v>
      </c>
      <c r="H54" s="18">
        <v>150</v>
      </c>
      <c r="I54" s="18">
        <v>314</v>
      </c>
      <c r="J54" s="18">
        <v>0</v>
      </c>
      <c r="K54" s="18">
        <f t="shared" si="0"/>
        <v>314</v>
      </c>
      <c r="L54" s="18">
        <v>0</v>
      </c>
      <c r="M54" s="19">
        <f t="shared" si="1"/>
        <v>0.47770700636942676</v>
      </c>
      <c r="N54" s="19">
        <f t="shared" si="2"/>
        <v>0.25159235668789809</v>
      </c>
      <c r="O54" s="19">
        <f t="shared" si="3"/>
        <v>0.27070063694267515</v>
      </c>
      <c r="P54" s="20">
        <v>276</v>
      </c>
      <c r="Q54" s="20">
        <v>48</v>
      </c>
      <c r="R54" s="20">
        <v>86</v>
      </c>
      <c r="S54" s="20">
        <v>6</v>
      </c>
      <c r="T54" s="20">
        <v>416</v>
      </c>
      <c r="U54" s="23">
        <v>0.66346153846153844</v>
      </c>
      <c r="V54" s="23">
        <v>0.11538461538461539</v>
      </c>
      <c r="W54" s="23">
        <v>0.20673076923076922</v>
      </c>
      <c r="X54" s="23">
        <v>1.4423076923076924E-2</v>
      </c>
      <c r="Y54" s="35">
        <v>24.403846153846153</v>
      </c>
      <c r="Z54" s="19">
        <f t="shared" si="4"/>
        <v>0.75480769230769229</v>
      </c>
    </row>
    <row r="55" spans="1:26" x14ac:dyDescent="0.25">
      <c r="A55" s="18">
        <v>9</v>
      </c>
      <c r="B55" s="18" t="s">
        <v>165</v>
      </c>
      <c r="C55" s="18" t="s">
        <v>167</v>
      </c>
      <c r="D55" s="18">
        <v>1</v>
      </c>
      <c r="E55" s="18">
        <v>282</v>
      </c>
      <c r="F55" s="18">
        <v>173</v>
      </c>
      <c r="G55" s="18">
        <v>58</v>
      </c>
      <c r="H55" s="18">
        <v>44</v>
      </c>
      <c r="I55" s="18">
        <v>275</v>
      </c>
      <c r="J55" s="18">
        <v>7</v>
      </c>
      <c r="K55" s="18">
        <f t="shared" si="0"/>
        <v>282</v>
      </c>
      <c r="L55" s="18">
        <v>0</v>
      </c>
      <c r="M55" s="19">
        <f t="shared" si="1"/>
        <v>0.15602836879432624</v>
      </c>
      <c r="N55" s="19">
        <f t="shared" si="2"/>
        <v>0.20567375886524822</v>
      </c>
      <c r="O55" s="19">
        <f t="shared" si="3"/>
        <v>0.61347517730496459</v>
      </c>
      <c r="P55" s="20">
        <v>304</v>
      </c>
      <c r="Q55" s="20">
        <v>5</v>
      </c>
      <c r="R55" s="20">
        <v>8</v>
      </c>
      <c r="S55" s="20">
        <v>53</v>
      </c>
      <c r="T55" s="20">
        <v>370</v>
      </c>
      <c r="U55" s="23">
        <v>0.82162162162162167</v>
      </c>
      <c r="V55" s="23">
        <v>1.3513513513513514E-2</v>
      </c>
      <c r="W55" s="23">
        <v>2.1621621621621623E-2</v>
      </c>
      <c r="X55" s="23">
        <v>0.14324324324324325</v>
      </c>
      <c r="Y55" s="35">
        <v>65.235135135135138</v>
      </c>
      <c r="Z55" s="19">
        <f t="shared" si="4"/>
        <v>0.76216216216216215</v>
      </c>
    </row>
    <row r="56" spans="1:26" x14ac:dyDescent="0.25">
      <c r="A56" s="18"/>
      <c r="B56" s="18"/>
      <c r="C56" s="18"/>
      <c r="D56" s="18">
        <v>2</v>
      </c>
      <c r="E56" s="18">
        <v>299</v>
      </c>
      <c r="F56" s="18">
        <v>150</v>
      </c>
      <c r="G56" s="18">
        <v>93</v>
      </c>
      <c r="H56" s="18">
        <v>52</v>
      </c>
      <c r="I56" s="18">
        <v>295</v>
      </c>
      <c r="J56" s="18">
        <v>4</v>
      </c>
      <c r="K56" s="18">
        <f t="shared" si="0"/>
        <v>299</v>
      </c>
      <c r="L56" s="18">
        <v>0</v>
      </c>
      <c r="M56" s="19">
        <f t="shared" si="1"/>
        <v>0.17391304347826086</v>
      </c>
      <c r="N56" s="19">
        <f t="shared" si="2"/>
        <v>0.31103678929765888</v>
      </c>
      <c r="O56" s="19">
        <f t="shared" si="3"/>
        <v>0.50167224080267558</v>
      </c>
      <c r="P56" s="20">
        <v>282</v>
      </c>
      <c r="Q56" s="20">
        <v>6</v>
      </c>
      <c r="R56" s="20">
        <v>8</v>
      </c>
      <c r="S56" s="20">
        <v>74</v>
      </c>
      <c r="T56" s="20">
        <v>370</v>
      </c>
      <c r="U56" s="23">
        <v>0.76216216216216215</v>
      </c>
      <c r="V56" s="23">
        <v>1.6216216216216217E-2</v>
      </c>
      <c r="W56" s="23">
        <v>2.1621621621621623E-2</v>
      </c>
      <c r="X56" s="23">
        <v>0.2</v>
      </c>
      <c r="Y56" s="35">
        <v>50.137837837837836</v>
      </c>
      <c r="Z56" s="19">
        <f t="shared" si="4"/>
        <v>0.80810810810810807</v>
      </c>
    </row>
    <row r="57" spans="1:26" x14ac:dyDescent="0.25">
      <c r="A57" s="18"/>
      <c r="B57" s="18"/>
      <c r="C57" s="18"/>
      <c r="D57" s="18">
        <v>3</v>
      </c>
      <c r="E57" s="18">
        <v>365</v>
      </c>
      <c r="F57" s="18">
        <v>161</v>
      </c>
      <c r="G57" s="18">
        <v>124</v>
      </c>
      <c r="H57" s="18">
        <v>78</v>
      </c>
      <c r="I57" s="18">
        <v>363</v>
      </c>
      <c r="J57" s="18">
        <v>2</v>
      </c>
      <c r="K57" s="18">
        <f t="shared" si="0"/>
        <v>365</v>
      </c>
      <c r="L57" s="18">
        <v>0</v>
      </c>
      <c r="M57" s="19">
        <f t="shared" si="1"/>
        <v>0.21369863013698631</v>
      </c>
      <c r="N57" s="19">
        <f t="shared" si="2"/>
        <v>0.33972602739726027</v>
      </c>
      <c r="O57" s="19">
        <f t="shared" si="3"/>
        <v>0.44109589041095892</v>
      </c>
      <c r="P57" s="20">
        <v>328</v>
      </c>
      <c r="Q57" s="20">
        <v>11</v>
      </c>
      <c r="R57" s="20">
        <v>24</v>
      </c>
      <c r="S57" s="20">
        <v>107</v>
      </c>
      <c r="T57" s="20">
        <v>470</v>
      </c>
      <c r="U57" s="23">
        <v>0.69787234042553192</v>
      </c>
      <c r="V57" s="23">
        <v>2.3404255319148935E-2</v>
      </c>
      <c r="W57" s="23">
        <v>5.106382978723404E-2</v>
      </c>
      <c r="X57" s="23">
        <v>0.2276595744680851</v>
      </c>
      <c r="Y57" s="35">
        <v>36.51063829787234</v>
      </c>
      <c r="Z57" s="19">
        <f t="shared" si="4"/>
        <v>0.77659574468085102</v>
      </c>
    </row>
    <row r="58" spans="1:26" x14ac:dyDescent="0.25">
      <c r="A58" s="18"/>
      <c r="B58" s="18"/>
      <c r="C58" s="18"/>
      <c r="D58" s="18">
        <v>4</v>
      </c>
      <c r="E58" s="18">
        <v>387</v>
      </c>
      <c r="F58" s="18">
        <v>148</v>
      </c>
      <c r="G58" s="18">
        <v>121</v>
      </c>
      <c r="H58" s="18">
        <v>113</v>
      </c>
      <c r="I58" s="18">
        <v>382</v>
      </c>
      <c r="J58" s="18">
        <v>5</v>
      </c>
      <c r="K58" s="18">
        <f t="shared" si="0"/>
        <v>387</v>
      </c>
      <c r="L58" s="18">
        <v>0</v>
      </c>
      <c r="M58" s="19">
        <f t="shared" si="1"/>
        <v>0.29198966408268734</v>
      </c>
      <c r="N58" s="19">
        <f t="shared" si="2"/>
        <v>0.31266149870801035</v>
      </c>
      <c r="O58" s="19">
        <f t="shared" si="3"/>
        <v>0.38242894056847543</v>
      </c>
      <c r="P58" s="20">
        <v>395</v>
      </c>
      <c r="Q58" s="20">
        <v>14</v>
      </c>
      <c r="R58" s="20">
        <v>60</v>
      </c>
      <c r="S58" s="20">
        <v>1</v>
      </c>
      <c r="T58" s="20">
        <v>470</v>
      </c>
      <c r="U58" s="23">
        <v>0.84042553191489366</v>
      </c>
      <c r="V58" s="23">
        <v>2.9787234042553193E-2</v>
      </c>
      <c r="W58" s="23">
        <v>0.1276595744680851</v>
      </c>
      <c r="X58" s="23">
        <v>2.1276595744680851E-3</v>
      </c>
      <c r="Y58" s="35">
        <v>23.482978723404255</v>
      </c>
      <c r="Z58" s="19">
        <f t="shared" si="4"/>
        <v>0.82340425531914896</v>
      </c>
    </row>
    <row r="59" spans="1:26" x14ac:dyDescent="0.25">
      <c r="A59" s="18">
        <v>10</v>
      </c>
      <c r="B59" s="18" t="s">
        <v>168</v>
      </c>
      <c r="C59" s="18" t="s">
        <v>169</v>
      </c>
      <c r="D59" s="18">
        <v>1</v>
      </c>
      <c r="E59" s="18">
        <v>237</v>
      </c>
      <c r="F59" s="18">
        <v>130</v>
      </c>
      <c r="G59" s="18">
        <v>41</v>
      </c>
      <c r="H59" s="18">
        <v>61</v>
      </c>
      <c r="I59" s="18">
        <v>232</v>
      </c>
      <c r="J59" s="18">
        <v>5</v>
      </c>
      <c r="K59" s="18">
        <f t="shared" si="0"/>
        <v>237</v>
      </c>
      <c r="L59" s="18">
        <v>0</v>
      </c>
      <c r="M59" s="19">
        <f t="shared" si="1"/>
        <v>0.25738396624472576</v>
      </c>
      <c r="N59" s="19">
        <f t="shared" si="2"/>
        <v>0.1729957805907173</v>
      </c>
      <c r="O59" s="19">
        <f t="shared" si="3"/>
        <v>0.54852320675105481</v>
      </c>
      <c r="P59" s="20">
        <v>269</v>
      </c>
      <c r="Q59" s="20">
        <v>44</v>
      </c>
      <c r="R59" s="20">
        <v>45</v>
      </c>
      <c r="S59" s="20">
        <v>2</v>
      </c>
      <c r="T59" s="20">
        <v>360</v>
      </c>
      <c r="U59" s="23">
        <v>0.74722222222222223</v>
      </c>
      <c r="V59" s="23">
        <v>0.12222222222222222</v>
      </c>
      <c r="W59" s="23">
        <v>0.125</v>
      </c>
      <c r="X59" s="23">
        <v>5.5555555555555558E-3</v>
      </c>
      <c r="Y59" s="35">
        <v>67.87777777777778</v>
      </c>
      <c r="Z59" s="19">
        <f t="shared" si="4"/>
        <v>0.65833333333333333</v>
      </c>
    </row>
    <row r="60" spans="1:26" x14ac:dyDescent="0.25">
      <c r="A60" s="18"/>
      <c r="B60" s="18"/>
      <c r="C60" s="18"/>
      <c r="D60" s="18">
        <v>2</v>
      </c>
      <c r="E60" s="18">
        <v>298</v>
      </c>
      <c r="F60" s="18">
        <v>121</v>
      </c>
      <c r="G60" s="18">
        <v>63</v>
      </c>
      <c r="H60" s="18">
        <v>110</v>
      </c>
      <c r="I60" s="18">
        <v>294</v>
      </c>
      <c r="J60" s="18">
        <v>4</v>
      </c>
      <c r="K60" s="18">
        <f t="shared" si="0"/>
        <v>298</v>
      </c>
      <c r="L60" s="18">
        <v>0</v>
      </c>
      <c r="M60" s="19">
        <f t="shared" si="1"/>
        <v>0.36912751677852351</v>
      </c>
      <c r="N60" s="19">
        <f t="shared" si="2"/>
        <v>0.21140939597315436</v>
      </c>
      <c r="O60" s="19">
        <f t="shared" si="3"/>
        <v>0.40604026845637586</v>
      </c>
      <c r="P60" s="20">
        <v>256</v>
      </c>
      <c r="Q60" s="20">
        <v>39</v>
      </c>
      <c r="R60" s="20">
        <v>63</v>
      </c>
      <c r="S60" s="20">
        <v>2</v>
      </c>
      <c r="T60" s="20">
        <v>360</v>
      </c>
      <c r="U60" s="23">
        <v>0.71111111111111114</v>
      </c>
      <c r="V60" s="23">
        <v>0.10833333333333334</v>
      </c>
      <c r="W60" s="23">
        <v>0.17499999999999999</v>
      </c>
      <c r="X60" s="23">
        <v>5.5555555555555558E-3</v>
      </c>
      <c r="Y60" s="35">
        <v>61.472222222222221</v>
      </c>
      <c r="Z60" s="19">
        <f t="shared" si="4"/>
        <v>0.82777777777777772</v>
      </c>
    </row>
    <row r="61" spans="1:26" x14ac:dyDescent="0.25">
      <c r="A61" s="18"/>
      <c r="B61" s="18"/>
      <c r="C61" s="18"/>
      <c r="D61" s="18">
        <v>3</v>
      </c>
      <c r="E61" s="18">
        <v>469</v>
      </c>
      <c r="F61" s="18">
        <v>194</v>
      </c>
      <c r="G61" s="18">
        <v>143</v>
      </c>
      <c r="H61" s="18">
        <v>131</v>
      </c>
      <c r="I61" s="18">
        <v>468</v>
      </c>
      <c r="J61" s="18">
        <v>1</v>
      </c>
      <c r="K61" s="18">
        <f t="shared" si="0"/>
        <v>469</v>
      </c>
      <c r="L61" s="18">
        <v>0</v>
      </c>
      <c r="M61" s="19">
        <f t="shared" si="1"/>
        <v>0.27931769722814498</v>
      </c>
      <c r="N61" s="19">
        <f t="shared" si="2"/>
        <v>0.30490405117270791</v>
      </c>
      <c r="O61" s="19">
        <f t="shared" si="3"/>
        <v>0.4136460554371002</v>
      </c>
      <c r="P61" s="20">
        <v>467</v>
      </c>
      <c r="Q61" s="20">
        <v>18</v>
      </c>
      <c r="R61" s="20">
        <v>75</v>
      </c>
      <c r="S61" s="20">
        <v>3</v>
      </c>
      <c r="T61" s="20">
        <v>563</v>
      </c>
      <c r="U61" s="23">
        <v>0.82948490230905858</v>
      </c>
      <c r="V61" s="23">
        <v>3.1971580817051509E-2</v>
      </c>
      <c r="W61" s="23">
        <v>0.13321492007104796</v>
      </c>
      <c r="X61" s="23">
        <v>5.3285968028419185E-3</v>
      </c>
      <c r="Y61" s="35">
        <v>53.646536412078156</v>
      </c>
      <c r="Z61" s="19">
        <f t="shared" si="4"/>
        <v>0.8330373001776199</v>
      </c>
    </row>
    <row r="62" spans="1:26" x14ac:dyDescent="0.25">
      <c r="A62" s="18"/>
      <c r="B62" s="18"/>
      <c r="C62" s="18"/>
      <c r="D62" s="18">
        <v>4</v>
      </c>
      <c r="E62" s="18">
        <v>451</v>
      </c>
      <c r="F62" s="18">
        <v>161</v>
      </c>
      <c r="G62" s="18">
        <v>162</v>
      </c>
      <c r="H62" s="18">
        <v>127</v>
      </c>
      <c r="I62" s="18">
        <v>450</v>
      </c>
      <c r="J62" s="18">
        <v>1</v>
      </c>
      <c r="K62" s="18">
        <f t="shared" si="0"/>
        <v>451</v>
      </c>
      <c r="L62" s="18">
        <v>0</v>
      </c>
      <c r="M62" s="19">
        <f t="shared" si="1"/>
        <v>0.28159645232815966</v>
      </c>
      <c r="N62" s="19">
        <f t="shared" si="2"/>
        <v>0.35920177383592017</v>
      </c>
      <c r="O62" s="19">
        <f t="shared" si="3"/>
        <v>0.35698447893569846</v>
      </c>
      <c r="P62" s="20">
        <v>458</v>
      </c>
      <c r="Q62" s="20">
        <v>33</v>
      </c>
      <c r="R62" s="20">
        <v>69</v>
      </c>
      <c r="S62" s="20">
        <v>3</v>
      </c>
      <c r="T62" s="20">
        <v>563</v>
      </c>
      <c r="U62" s="23">
        <v>0.81349911190053281</v>
      </c>
      <c r="V62" s="23">
        <v>5.8614564831261103E-2</v>
      </c>
      <c r="W62" s="23">
        <v>0.12255772646536411</v>
      </c>
      <c r="X62" s="23">
        <v>5.3285968028419185E-3</v>
      </c>
      <c r="Y62" s="35">
        <v>44.523978685612789</v>
      </c>
      <c r="Z62" s="19">
        <f t="shared" si="4"/>
        <v>0.80106571936056836</v>
      </c>
    </row>
    <row r="63" spans="1:26" x14ac:dyDescent="0.25">
      <c r="A63" s="18"/>
      <c r="B63" s="18"/>
      <c r="C63" s="18"/>
      <c r="D63" s="18">
        <v>5</v>
      </c>
      <c r="E63" s="18">
        <v>448</v>
      </c>
      <c r="F63" s="18">
        <v>111</v>
      </c>
      <c r="G63" s="18">
        <v>169</v>
      </c>
      <c r="H63" s="18">
        <v>162</v>
      </c>
      <c r="I63" s="18">
        <v>442</v>
      </c>
      <c r="J63" s="18">
        <v>6</v>
      </c>
      <c r="K63" s="18">
        <f t="shared" si="0"/>
        <v>448</v>
      </c>
      <c r="L63" s="18">
        <v>0</v>
      </c>
      <c r="M63" s="19">
        <f t="shared" si="1"/>
        <v>0.36160714285714285</v>
      </c>
      <c r="N63" s="19">
        <f t="shared" si="2"/>
        <v>0.37723214285714285</v>
      </c>
      <c r="O63" s="19">
        <f t="shared" si="3"/>
        <v>0.24776785714285715</v>
      </c>
      <c r="P63" s="20">
        <v>436</v>
      </c>
      <c r="Q63" s="20">
        <v>39</v>
      </c>
      <c r="R63" s="20">
        <v>85</v>
      </c>
      <c r="S63" s="20">
        <v>3</v>
      </c>
      <c r="T63" s="20">
        <v>563</v>
      </c>
      <c r="U63" s="23">
        <v>0.77442273534635875</v>
      </c>
      <c r="V63" s="23">
        <v>6.9271758436944941E-2</v>
      </c>
      <c r="W63" s="23">
        <v>0.15097690941385436</v>
      </c>
      <c r="X63" s="23">
        <v>5.3285968028419185E-3</v>
      </c>
      <c r="Y63" s="35">
        <v>34.790408525754884</v>
      </c>
      <c r="Z63" s="19">
        <f t="shared" si="4"/>
        <v>0.79573712255772644</v>
      </c>
    </row>
    <row r="64" spans="1:26" x14ac:dyDescent="0.25">
      <c r="A64" s="18"/>
      <c r="B64" s="18"/>
      <c r="C64" s="18"/>
      <c r="D64" s="18">
        <v>6</v>
      </c>
      <c r="E64" s="18">
        <v>461</v>
      </c>
      <c r="F64" s="18">
        <v>107</v>
      </c>
      <c r="G64" s="18">
        <v>212</v>
      </c>
      <c r="H64" s="18">
        <v>142</v>
      </c>
      <c r="I64" s="18">
        <v>461</v>
      </c>
      <c r="J64" s="18">
        <v>0</v>
      </c>
      <c r="K64" s="18">
        <f t="shared" si="0"/>
        <v>461</v>
      </c>
      <c r="L64" s="18">
        <v>0</v>
      </c>
      <c r="M64" s="19">
        <f t="shared" si="1"/>
        <v>0.30802603036876358</v>
      </c>
      <c r="N64" s="19">
        <f t="shared" si="2"/>
        <v>0.4598698481561822</v>
      </c>
      <c r="O64" s="19">
        <f t="shared" si="3"/>
        <v>0.23210412147505424</v>
      </c>
      <c r="P64" s="20">
        <v>483</v>
      </c>
      <c r="Q64" s="20">
        <v>17</v>
      </c>
      <c r="R64" s="20">
        <v>63</v>
      </c>
      <c r="S64" s="20">
        <v>0</v>
      </c>
      <c r="T64" s="20">
        <v>563</v>
      </c>
      <c r="U64" s="23">
        <v>0.8579040852575488</v>
      </c>
      <c r="V64" s="23">
        <v>3.0195381882770871E-2</v>
      </c>
      <c r="W64" s="23">
        <v>0.11190053285968028</v>
      </c>
      <c r="X64" s="23">
        <v>0</v>
      </c>
      <c r="Y64" s="35">
        <v>26.740674955595026</v>
      </c>
      <c r="Z64" s="19">
        <f t="shared" si="4"/>
        <v>0.81882770870337473</v>
      </c>
    </row>
    <row r="65" spans="1:26" x14ac:dyDescent="0.25">
      <c r="A65" s="18"/>
      <c r="B65" s="18"/>
      <c r="C65" s="18"/>
      <c r="D65" s="18">
        <v>7</v>
      </c>
      <c r="E65" s="18">
        <v>479</v>
      </c>
      <c r="F65" s="18">
        <v>100</v>
      </c>
      <c r="G65" s="18">
        <v>271</v>
      </c>
      <c r="H65" s="18">
        <v>106</v>
      </c>
      <c r="I65" s="18">
        <v>477</v>
      </c>
      <c r="J65" s="18">
        <v>2</v>
      </c>
      <c r="K65" s="18">
        <f t="shared" si="0"/>
        <v>479</v>
      </c>
      <c r="L65" s="18">
        <v>0</v>
      </c>
      <c r="M65" s="19">
        <f t="shared" si="1"/>
        <v>0.22129436325678498</v>
      </c>
      <c r="N65" s="19">
        <f t="shared" si="2"/>
        <v>0.56576200417536537</v>
      </c>
      <c r="O65" s="19">
        <f t="shared" si="3"/>
        <v>0.20876826722338204</v>
      </c>
      <c r="P65" s="20">
        <v>518</v>
      </c>
      <c r="Q65" s="20">
        <v>3</v>
      </c>
      <c r="R65" s="20">
        <v>43</v>
      </c>
      <c r="S65" s="20">
        <v>0</v>
      </c>
      <c r="T65" s="20">
        <v>564</v>
      </c>
      <c r="U65" s="23">
        <v>0.91843971631205679</v>
      </c>
      <c r="V65" s="23">
        <v>5.3191489361702126E-3</v>
      </c>
      <c r="W65" s="23">
        <v>7.6241134751773049E-2</v>
      </c>
      <c r="X65" s="23">
        <v>0</v>
      </c>
      <c r="Y65" s="35">
        <v>20.856382978723403</v>
      </c>
      <c r="Z65" s="19">
        <f t="shared" si="4"/>
        <v>0.849290780141844</v>
      </c>
    </row>
    <row r="66" spans="1:26" x14ac:dyDescent="0.25">
      <c r="A66" s="18">
        <v>11</v>
      </c>
      <c r="B66" s="18" t="s">
        <v>170</v>
      </c>
      <c r="C66" s="18" t="s">
        <v>171</v>
      </c>
      <c r="D66" s="18">
        <v>1</v>
      </c>
      <c r="E66" s="18">
        <v>276</v>
      </c>
      <c r="F66" s="18">
        <v>137</v>
      </c>
      <c r="G66" s="18">
        <v>44</v>
      </c>
      <c r="H66" s="18">
        <v>89</v>
      </c>
      <c r="I66" s="18">
        <v>270</v>
      </c>
      <c r="J66" s="18">
        <v>6</v>
      </c>
      <c r="K66" s="18">
        <f t="shared" si="0"/>
        <v>276</v>
      </c>
      <c r="L66" s="18">
        <v>0</v>
      </c>
      <c r="M66" s="19">
        <f t="shared" si="1"/>
        <v>0.32246376811594202</v>
      </c>
      <c r="N66" s="19">
        <f t="shared" si="2"/>
        <v>0.15942028985507245</v>
      </c>
      <c r="O66" s="19">
        <f t="shared" si="3"/>
        <v>0.49637681159420288</v>
      </c>
      <c r="P66" s="20">
        <v>227</v>
      </c>
      <c r="Q66" s="20">
        <v>69</v>
      </c>
      <c r="R66" s="20">
        <v>62</v>
      </c>
      <c r="S66" s="20">
        <v>2</v>
      </c>
      <c r="T66" s="20">
        <v>360</v>
      </c>
      <c r="U66" s="23">
        <v>0.63055555555555554</v>
      </c>
      <c r="V66" s="23">
        <v>0.19166666666666668</v>
      </c>
      <c r="W66" s="23">
        <v>0.17222222222222222</v>
      </c>
      <c r="X66" s="23">
        <v>5.5555555555555558E-3</v>
      </c>
      <c r="Y66" s="35">
        <v>63.944444444444443</v>
      </c>
      <c r="Z66" s="19">
        <f t="shared" si="4"/>
        <v>0.76666666666666672</v>
      </c>
    </row>
    <row r="67" spans="1:26" x14ac:dyDescent="0.25">
      <c r="A67" s="18"/>
      <c r="B67" s="18"/>
      <c r="C67" s="18"/>
      <c r="D67" s="18">
        <v>2</v>
      </c>
      <c r="E67" s="18">
        <v>326</v>
      </c>
      <c r="F67" s="18">
        <v>164</v>
      </c>
      <c r="G67" s="18">
        <v>71</v>
      </c>
      <c r="H67" s="18">
        <v>89</v>
      </c>
      <c r="I67" s="18">
        <v>324</v>
      </c>
      <c r="J67" s="18">
        <v>2</v>
      </c>
      <c r="K67" s="18">
        <f t="shared" ref="K67:K130" si="5">J67+I67</f>
        <v>326</v>
      </c>
      <c r="L67" s="18">
        <v>0</v>
      </c>
      <c r="M67" s="19">
        <f t="shared" ref="M67:M130" si="6">H67/K67</f>
        <v>0.27300613496932513</v>
      </c>
      <c r="N67" s="19">
        <f t="shared" ref="N67:N130" si="7">G67/K67</f>
        <v>0.21779141104294478</v>
      </c>
      <c r="O67" s="19">
        <f t="shared" ref="O67:O130" si="8">F67/K67</f>
        <v>0.50306748466257667</v>
      </c>
      <c r="P67" s="20">
        <v>288</v>
      </c>
      <c r="Q67" s="20">
        <v>33</v>
      </c>
      <c r="R67" s="20">
        <v>34</v>
      </c>
      <c r="S67" s="20">
        <v>5</v>
      </c>
      <c r="T67" s="20">
        <v>360</v>
      </c>
      <c r="U67" s="23">
        <v>0.8</v>
      </c>
      <c r="V67" s="23">
        <v>9.166666666666666E-2</v>
      </c>
      <c r="W67" s="23">
        <v>9.4444444444444442E-2</v>
      </c>
      <c r="X67" s="23">
        <v>1.3888888888888888E-2</v>
      </c>
      <c r="Y67" s="35">
        <v>56.963888888888889</v>
      </c>
      <c r="Z67" s="19">
        <f t="shared" ref="Z67:Z130" si="9">K67/T67</f>
        <v>0.90555555555555556</v>
      </c>
    </row>
    <row r="68" spans="1:26" x14ac:dyDescent="0.25">
      <c r="A68" s="18"/>
      <c r="B68" s="18"/>
      <c r="C68" s="18"/>
      <c r="D68" s="18">
        <v>3</v>
      </c>
      <c r="E68" s="18">
        <v>592</v>
      </c>
      <c r="F68" s="18">
        <v>217</v>
      </c>
      <c r="G68" s="18">
        <v>230</v>
      </c>
      <c r="H68" s="18">
        <v>142</v>
      </c>
      <c r="I68" s="18">
        <v>589</v>
      </c>
      <c r="J68" s="18">
        <v>3</v>
      </c>
      <c r="K68" s="18">
        <f t="shared" si="5"/>
        <v>592</v>
      </c>
      <c r="L68" s="18">
        <v>0</v>
      </c>
      <c r="M68" s="19">
        <f t="shared" si="6"/>
        <v>0.23986486486486486</v>
      </c>
      <c r="N68" s="19">
        <f t="shared" si="7"/>
        <v>0.38851351351351349</v>
      </c>
      <c r="O68" s="19">
        <f t="shared" si="8"/>
        <v>0.36655405405405406</v>
      </c>
      <c r="P68" s="20">
        <v>582</v>
      </c>
      <c r="Q68" s="20">
        <v>32</v>
      </c>
      <c r="R68" s="20">
        <v>73</v>
      </c>
      <c r="S68" s="20">
        <v>10</v>
      </c>
      <c r="T68" s="20">
        <v>697</v>
      </c>
      <c r="U68" s="23">
        <v>0.83500717360114773</v>
      </c>
      <c r="V68" s="23">
        <v>4.5911047345767578E-2</v>
      </c>
      <c r="W68" s="23">
        <v>0.10473457675753228</v>
      </c>
      <c r="X68" s="23">
        <v>1.4347202295552367E-2</v>
      </c>
      <c r="Y68" s="35">
        <v>47.553802008608322</v>
      </c>
      <c r="Z68" s="19">
        <f t="shared" si="9"/>
        <v>0.84935437589670015</v>
      </c>
    </row>
    <row r="69" spans="1:26" x14ac:dyDescent="0.25">
      <c r="A69" s="18"/>
      <c r="B69" s="18"/>
      <c r="C69" s="18"/>
      <c r="D69" s="18">
        <v>4</v>
      </c>
      <c r="E69" s="18">
        <v>548</v>
      </c>
      <c r="F69" s="18">
        <v>145</v>
      </c>
      <c r="G69" s="18">
        <v>206</v>
      </c>
      <c r="H69" s="18">
        <v>189</v>
      </c>
      <c r="I69" s="18">
        <v>540</v>
      </c>
      <c r="J69" s="18">
        <v>8</v>
      </c>
      <c r="K69" s="18">
        <f t="shared" si="5"/>
        <v>548</v>
      </c>
      <c r="L69" s="18">
        <v>0</v>
      </c>
      <c r="M69" s="19">
        <f t="shared" si="6"/>
        <v>0.3448905109489051</v>
      </c>
      <c r="N69" s="19">
        <f t="shared" si="7"/>
        <v>0.37591240875912407</v>
      </c>
      <c r="O69" s="19">
        <f t="shared" si="8"/>
        <v>0.26459854014598538</v>
      </c>
      <c r="P69" s="20">
        <v>496</v>
      </c>
      <c r="Q69" s="20">
        <v>60</v>
      </c>
      <c r="R69" s="20">
        <v>128</v>
      </c>
      <c r="S69" s="20">
        <v>13</v>
      </c>
      <c r="T69" s="20">
        <v>697</v>
      </c>
      <c r="U69" s="23">
        <v>0.71162123385939746</v>
      </c>
      <c r="V69" s="23">
        <v>8.608321377331421E-2</v>
      </c>
      <c r="W69" s="23">
        <v>0.18364418938307031</v>
      </c>
      <c r="X69" s="23">
        <v>1.8651362984218076E-2</v>
      </c>
      <c r="Y69" s="35">
        <v>34.708751793400289</v>
      </c>
      <c r="Z69" s="19">
        <f t="shared" si="9"/>
        <v>0.78622668579626975</v>
      </c>
    </row>
    <row r="70" spans="1:26" x14ac:dyDescent="0.25">
      <c r="A70" s="18"/>
      <c r="B70" s="18"/>
      <c r="C70" s="18"/>
      <c r="D70" s="18">
        <v>5</v>
      </c>
      <c r="E70" s="18">
        <v>550</v>
      </c>
      <c r="F70" s="18">
        <v>161</v>
      </c>
      <c r="G70" s="18">
        <v>250</v>
      </c>
      <c r="H70" s="18">
        <v>139</v>
      </c>
      <c r="I70" s="18">
        <v>550</v>
      </c>
      <c r="J70" s="18">
        <v>0</v>
      </c>
      <c r="K70" s="18">
        <f t="shared" si="5"/>
        <v>550</v>
      </c>
      <c r="L70" s="18">
        <v>0</v>
      </c>
      <c r="M70" s="19">
        <f t="shared" si="6"/>
        <v>0.25272727272727274</v>
      </c>
      <c r="N70" s="19">
        <f t="shared" si="7"/>
        <v>0.45454545454545453</v>
      </c>
      <c r="O70" s="19">
        <f t="shared" si="8"/>
        <v>0.29272727272727272</v>
      </c>
      <c r="P70" s="20">
        <v>603</v>
      </c>
      <c r="Q70" s="20">
        <v>21</v>
      </c>
      <c r="R70" s="20">
        <v>71</v>
      </c>
      <c r="S70" s="20">
        <v>3</v>
      </c>
      <c r="T70" s="20">
        <v>698</v>
      </c>
      <c r="U70" s="23">
        <v>0.86389684813753587</v>
      </c>
      <c r="V70" s="23">
        <v>3.0085959885386818E-2</v>
      </c>
      <c r="W70" s="23">
        <v>0.10171919770773639</v>
      </c>
      <c r="X70" s="23">
        <v>4.2979942693409743E-3</v>
      </c>
      <c r="Y70" s="35">
        <v>25.550143266475644</v>
      </c>
      <c r="Z70" s="19">
        <f t="shared" si="9"/>
        <v>0.78796561604584525</v>
      </c>
    </row>
    <row r="71" spans="1:26" x14ac:dyDescent="0.25">
      <c r="A71" s="18"/>
      <c r="B71" s="18"/>
      <c r="C71" s="18"/>
      <c r="D71" s="18">
        <v>6</v>
      </c>
      <c r="E71" s="18">
        <v>572</v>
      </c>
      <c r="F71" s="18">
        <v>171</v>
      </c>
      <c r="G71" s="18">
        <v>293</v>
      </c>
      <c r="H71" s="18">
        <v>107</v>
      </c>
      <c r="I71" s="18">
        <v>571</v>
      </c>
      <c r="J71" s="18">
        <v>1</v>
      </c>
      <c r="K71" s="18">
        <f t="shared" si="5"/>
        <v>572</v>
      </c>
      <c r="L71" s="18">
        <v>0</v>
      </c>
      <c r="M71" s="19">
        <f t="shared" si="6"/>
        <v>0.18706293706293706</v>
      </c>
      <c r="N71" s="19">
        <f t="shared" si="7"/>
        <v>0.51223776223776218</v>
      </c>
      <c r="O71" s="19">
        <f t="shared" si="8"/>
        <v>0.29895104895104896</v>
      </c>
      <c r="P71" s="20">
        <v>627</v>
      </c>
      <c r="Q71" s="20">
        <v>11</v>
      </c>
      <c r="R71" s="20">
        <v>58</v>
      </c>
      <c r="S71" s="20">
        <v>2</v>
      </c>
      <c r="T71" s="20">
        <v>698</v>
      </c>
      <c r="U71" s="23">
        <v>0.89828080229226359</v>
      </c>
      <c r="V71" s="23">
        <v>1.5759312320916905E-2</v>
      </c>
      <c r="W71" s="23">
        <v>8.3094555873925502E-2</v>
      </c>
      <c r="X71" s="23">
        <v>2.8653295128939827E-3</v>
      </c>
      <c r="Y71" s="35">
        <v>20.141833810888251</v>
      </c>
      <c r="Z71" s="19">
        <f t="shared" si="9"/>
        <v>0.81948424068767911</v>
      </c>
    </row>
    <row r="72" spans="1:26" x14ac:dyDescent="0.25">
      <c r="A72" s="100">
        <v>12</v>
      </c>
      <c r="B72" s="100" t="s">
        <v>172</v>
      </c>
      <c r="C72" s="100" t="s">
        <v>173</v>
      </c>
      <c r="D72" s="100">
        <v>1</v>
      </c>
      <c r="E72" s="100">
        <v>307</v>
      </c>
      <c r="F72" s="100">
        <v>51</v>
      </c>
      <c r="G72" s="100">
        <v>14</v>
      </c>
      <c r="H72" s="100">
        <v>239</v>
      </c>
      <c r="I72" s="100">
        <v>304</v>
      </c>
      <c r="J72" s="100">
        <v>3</v>
      </c>
      <c r="K72" s="100">
        <f t="shared" si="5"/>
        <v>307</v>
      </c>
      <c r="L72" s="100">
        <v>0</v>
      </c>
      <c r="M72" s="101">
        <f t="shared" si="6"/>
        <v>0.77850162866449513</v>
      </c>
      <c r="N72" s="101">
        <f t="shared" si="7"/>
        <v>4.5602605863192182E-2</v>
      </c>
      <c r="O72" s="101">
        <f t="shared" si="8"/>
        <v>0.16612377850162866</v>
      </c>
      <c r="P72" s="102">
        <v>56</v>
      </c>
      <c r="Q72" s="102">
        <v>250</v>
      </c>
      <c r="R72" s="102">
        <v>69</v>
      </c>
      <c r="S72" s="102">
        <v>5</v>
      </c>
      <c r="T72" s="102">
        <v>380</v>
      </c>
      <c r="U72" s="103">
        <v>0.14736842105263157</v>
      </c>
      <c r="V72" s="103">
        <v>0.65789473684210531</v>
      </c>
      <c r="W72" s="103">
        <v>0.18157894736842106</v>
      </c>
      <c r="X72" s="103">
        <v>1.3157894736842105E-2</v>
      </c>
      <c r="Y72" s="104">
        <v>63.618421052631582</v>
      </c>
      <c r="Z72" s="101">
        <f t="shared" si="9"/>
        <v>0.80789473684210522</v>
      </c>
    </row>
    <row r="73" spans="1:26" x14ac:dyDescent="0.25">
      <c r="A73" s="100"/>
      <c r="B73" s="100"/>
      <c r="C73" s="100"/>
      <c r="D73" s="100">
        <v>2</v>
      </c>
      <c r="E73" s="100">
        <v>553</v>
      </c>
      <c r="F73" s="100">
        <v>77</v>
      </c>
      <c r="G73" s="100">
        <v>43</v>
      </c>
      <c r="H73" s="100">
        <v>431</v>
      </c>
      <c r="I73" s="100">
        <v>551</v>
      </c>
      <c r="J73" s="100">
        <v>2</v>
      </c>
      <c r="K73" s="100">
        <f t="shared" si="5"/>
        <v>553</v>
      </c>
      <c r="L73" s="100">
        <v>0</v>
      </c>
      <c r="M73" s="101">
        <f t="shared" si="6"/>
        <v>0.77938517179023503</v>
      </c>
      <c r="N73" s="101">
        <f t="shared" si="7"/>
        <v>7.7757685352622063E-2</v>
      </c>
      <c r="O73" s="101">
        <f t="shared" si="8"/>
        <v>0.13924050632911392</v>
      </c>
      <c r="P73" s="102">
        <v>148</v>
      </c>
      <c r="Q73" s="102">
        <v>403</v>
      </c>
      <c r="R73" s="102">
        <v>129</v>
      </c>
      <c r="S73" s="102">
        <v>18</v>
      </c>
      <c r="T73" s="102">
        <v>698</v>
      </c>
      <c r="U73" s="103">
        <v>0.21203438395415472</v>
      </c>
      <c r="V73" s="103">
        <v>0.57736389684813749</v>
      </c>
      <c r="W73" s="103">
        <v>0.18481375358166188</v>
      </c>
      <c r="X73" s="103">
        <v>2.5787965616045846E-2</v>
      </c>
      <c r="Y73" s="104">
        <v>47.879656160458453</v>
      </c>
      <c r="Z73" s="101">
        <f t="shared" si="9"/>
        <v>0.79226361031518622</v>
      </c>
    </row>
    <row r="74" spans="1:26" x14ac:dyDescent="0.25">
      <c r="A74" s="100"/>
      <c r="B74" s="100"/>
      <c r="C74" s="100"/>
      <c r="D74" s="100">
        <v>3</v>
      </c>
      <c r="E74" s="100">
        <v>538</v>
      </c>
      <c r="F74" s="100">
        <v>51</v>
      </c>
      <c r="G74" s="100">
        <v>66</v>
      </c>
      <c r="H74" s="100">
        <v>418</v>
      </c>
      <c r="I74" s="100">
        <v>535</v>
      </c>
      <c r="J74" s="100">
        <v>3</v>
      </c>
      <c r="K74" s="100">
        <f t="shared" si="5"/>
        <v>538</v>
      </c>
      <c r="L74" s="100">
        <v>0</v>
      </c>
      <c r="M74" s="101">
        <f t="shared" si="6"/>
        <v>0.77695167286245348</v>
      </c>
      <c r="N74" s="101">
        <f t="shared" si="7"/>
        <v>0.12267657992565056</v>
      </c>
      <c r="O74" s="101">
        <f t="shared" si="8"/>
        <v>9.4795539033457249E-2</v>
      </c>
      <c r="P74" s="102">
        <v>161</v>
      </c>
      <c r="Q74" s="102">
        <v>404</v>
      </c>
      <c r="R74" s="102">
        <v>116</v>
      </c>
      <c r="S74" s="102">
        <v>17</v>
      </c>
      <c r="T74" s="102">
        <v>698</v>
      </c>
      <c r="U74" s="103">
        <v>0.23065902578796563</v>
      </c>
      <c r="V74" s="103">
        <v>0.57879656160458448</v>
      </c>
      <c r="W74" s="103">
        <v>0.166189111747851</v>
      </c>
      <c r="X74" s="103">
        <v>2.4355300859598854E-2</v>
      </c>
      <c r="Y74" s="104">
        <v>35.815186246418335</v>
      </c>
      <c r="Z74" s="101">
        <f t="shared" si="9"/>
        <v>0.77077363896848139</v>
      </c>
    </row>
    <row r="75" spans="1:26" x14ac:dyDescent="0.25">
      <c r="A75" s="100"/>
      <c r="B75" s="100"/>
      <c r="C75" s="100"/>
      <c r="D75" s="100">
        <v>4</v>
      </c>
      <c r="E75" s="100">
        <v>511</v>
      </c>
      <c r="F75" s="100">
        <v>43</v>
      </c>
      <c r="G75" s="100">
        <v>35</v>
      </c>
      <c r="H75" s="100">
        <v>431</v>
      </c>
      <c r="I75" s="100">
        <v>509</v>
      </c>
      <c r="J75" s="100">
        <v>2</v>
      </c>
      <c r="K75" s="100">
        <f t="shared" si="5"/>
        <v>511</v>
      </c>
      <c r="L75" s="100">
        <v>0</v>
      </c>
      <c r="M75" s="101">
        <f t="shared" si="6"/>
        <v>0.84344422700587085</v>
      </c>
      <c r="N75" s="101">
        <f t="shared" si="7"/>
        <v>6.8493150684931503E-2</v>
      </c>
      <c r="O75" s="101">
        <f t="shared" si="8"/>
        <v>8.4148727984344418E-2</v>
      </c>
      <c r="P75" s="102">
        <v>144</v>
      </c>
      <c r="Q75" s="102">
        <v>393</v>
      </c>
      <c r="R75" s="102">
        <v>159</v>
      </c>
      <c r="S75" s="102">
        <v>2</v>
      </c>
      <c r="T75" s="102">
        <v>698</v>
      </c>
      <c r="U75" s="103">
        <v>0.20630372492836677</v>
      </c>
      <c r="V75" s="103">
        <v>0.56303724928366761</v>
      </c>
      <c r="W75" s="103">
        <v>0.22779369627507162</v>
      </c>
      <c r="X75" s="103">
        <v>2.8653295128939827E-3</v>
      </c>
      <c r="Y75" s="104">
        <v>27.0243553008596</v>
      </c>
      <c r="Z75" s="101">
        <f t="shared" si="9"/>
        <v>0.73209169054441259</v>
      </c>
    </row>
    <row r="76" spans="1:26" x14ac:dyDescent="0.25">
      <c r="A76" s="100"/>
      <c r="B76" s="100"/>
      <c r="C76" s="100"/>
      <c r="D76" s="100">
        <v>5</v>
      </c>
      <c r="E76" s="100">
        <v>572</v>
      </c>
      <c r="F76" s="100">
        <v>51</v>
      </c>
      <c r="G76" s="100">
        <v>72</v>
      </c>
      <c r="H76" s="100">
        <v>448</v>
      </c>
      <c r="I76" s="100">
        <v>571</v>
      </c>
      <c r="J76" s="100">
        <v>1</v>
      </c>
      <c r="K76" s="100">
        <f t="shared" si="5"/>
        <v>572</v>
      </c>
      <c r="L76" s="100">
        <v>0</v>
      </c>
      <c r="M76" s="101">
        <f t="shared" si="6"/>
        <v>0.78321678321678323</v>
      </c>
      <c r="N76" s="101">
        <f t="shared" si="7"/>
        <v>0.12587412587412589</v>
      </c>
      <c r="O76" s="101">
        <f t="shared" si="8"/>
        <v>8.9160839160839167E-2</v>
      </c>
      <c r="P76" s="102">
        <v>193</v>
      </c>
      <c r="Q76" s="102">
        <v>366</v>
      </c>
      <c r="R76" s="102">
        <v>136</v>
      </c>
      <c r="S76" s="102">
        <v>3</v>
      </c>
      <c r="T76" s="102">
        <v>698</v>
      </c>
      <c r="U76" s="103">
        <v>0.27650429799426934</v>
      </c>
      <c r="V76" s="103">
        <v>0.52435530085959881</v>
      </c>
      <c r="W76" s="103">
        <v>0.19484240687679083</v>
      </c>
      <c r="X76" s="103">
        <v>4.2979942693409743E-3</v>
      </c>
      <c r="Y76" s="104">
        <v>20.709169054441261</v>
      </c>
      <c r="Z76" s="101">
        <f t="shared" si="9"/>
        <v>0.81948424068767911</v>
      </c>
    </row>
    <row r="77" spans="1:26" x14ac:dyDescent="0.25">
      <c r="A77" s="100"/>
      <c r="B77" s="100"/>
      <c r="C77" s="100" t="s">
        <v>174</v>
      </c>
      <c r="D77" s="100">
        <v>1</v>
      </c>
      <c r="E77" s="100">
        <v>238</v>
      </c>
      <c r="F77" s="100">
        <v>30</v>
      </c>
      <c r="G77" s="100">
        <v>9</v>
      </c>
      <c r="H77" s="100">
        <v>194</v>
      </c>
      <c r="I77" s="100">
        <v>233</v>
      </c>
      <c r="J77" s="100">
        <v>5</v>
      </c>
      <c r="K77" s="100">
        <f t="shared" si="5"/>
        <v>238</v>
      </c>
      <c r="L77" s="100">
        <v>0</v>
      </c>
      <c r="M77" s="101">
        <f t="shared" si="6"/>
        <v>0.81512605042016806</v>
      </c>
      <c r="N77" s="101">
        <f t="shared" si="7"/>
        <v>3.7815126050420166E-2</v>
      </c>
      <c r="O77" s="101">
        <f t="shared" si="8"/>
        <v>0.12605042016806722</v>
      </c>
      <c r="P77" s="102">
        <v>52</v>
      </c>
      <c r="Q77" s="102">
        <v>202</v>
      </c>
      <c r="R77" s="102">
        <v>111</v>
      </c>
      <c r="S77" s="102">
        <v>5</v>
      </c>
      <c r="T77" s="102">
        <v>370</v>
      </c>
      <c r="U77" s="103">
        <v>0.14054054054054055</v>
      </c>
      <c r="V77" s="103">
        <v>0.54594594594594592</v>
      </c>
      <c r="W77" s="103">
        <v>0.3</v>
      </c>
      <c r="X77" s="103">
        <v>1.3513513513513514E-2</v>
      </c>
      <c r="Y77" s="104">
        <v>71.816216216216219</v>
      </c>
      <c r="Z77" s="101">
        <f t="shared" si="9"/>
        <v>0.64324324324324322</v>
      </c>
    </row>
    <row r="78" spans="1:26" x14ac:dyDescent="0.25">
      <c r="A78" s="100"/>
      <c r="B78" s="100"/>
      <c r="C78" s="100"/>
      <c r="D78" s="100">
        <v>2</v>
      </c>
      <c r="E78" s="100">
        <v>301</v>
      </c>
      <c r="F78" s="100">
        <v>54</v>
      </c>
      <c r="G78" s="100">
        <v>18</v>
      </c>
      <c r="H78" s="100">
        <v>226</v>
      </c>
      <c r="I78" s="100">
        <v>298</v>
      </c>
      <c r="J78" s="100">
        <v>3</v>
      </c>
      <c r="K78" s="100">
        <f t="shared" si="5"/>
        <v>301</v>
      </c>
      <c r="L78" s="100">
        <v>0</v>
      </c>
      <c r="M78" s="101">
        <f t="shared" si="6"/>
        <v>0.75083056478405319</v>
      </c>
      <c r="N78" s="101">
        <f t="shared" si="7"/>
        <v>5.9800664451827246E-2</v>
      </c>
      <c r="O78" s="101">
        <f t="shared" si="8"/>
        <v>0.17940199335548174</v>
      </c>
      <c r="P78" s="102">
        <v>85</v>
      </c>
      <c r="Q78" s="102">
        <v>180</v>
      </c>
      <c r="R78" s="102">
        <v>101</v>
      </c>
      <c r="S78" s="102">
        <v>4</v>
      </c>
      <c r="T78" s="102">
        <v>370</v>
      </c>
      <c r="U78" s="103">
        <v>0.22972972972972974</v>
      </c>
      <c r="V78" s="103">
        <v>0.48648648648648651</v>
      </c>
      <c r="W78" s="103">
        <v>0.27297297297297296</v>
      </c>
      <c r="X78" s="103">
        <v>1.0810810810810811E-2</v>
      </c>
      <c r="Y78" s="104">
        <v>67.867567567567562</v>
      </c>
      <c r="Z78" s="101">
        <f t="shared" si="9"/>
        <v>0.81351351351351353</v>
      </c>
    </row>
    <row r="79" spans="1:26" x14ac:dyDescent="0.25">
      <c r="A79" s="100"/>
      <c r="B79" s="100"/>
      <c r="C79" s="100"/>
      <c r="D79" s="100">
        <v>3</v>
      </c>
      <c r="E79" s="100">
        <v>291</v>
      </c>
      <c r="F79" s="100">
        <v>36</v>
      </c>
      <c r="G79" s="100">
        <v>15</v>
      </c>
      <c r="H79" s="100">
        <v>239</v>
      </c>
      <c r="I79" s="100">
        <v>290</v>
      </c>
      <c r="J79" s="100">
        <v>1</v>
      </c>
      <c r="K79" s="100">
        <f t="shared" si="5"/>
        <v>291</v>
      </c>
      <c r="L79" s="100">
        <v>0</v>
      </c>
      <c r="M79" s="101">
        <f t="shared" si="6"/>
        <v>0.82130584192439859</v>
      </c>
      <c r="N79" s="101">
        <f t="shared" si="7"/>
        <v>5.1546391752577317E-2</v>
      </c>
      <c r="O79" s="101">
        <f t="shared" si="8"/>
        <v>0.12371134020618557</v>
      </c>
      <c r="P79" s="102">
        <v>62</v>
      </c>
      <c r="Q79" s="102">
        <v>196</v>
      </c>
      <c r="R79" s="102">
        <v>107</v>
      </c>
      <c r="S79" s="102">
        <v>5</v>
      </c>
      <c r="T79" s="102">
        <v>370</v>
      </c>
      <c r="U79" s="103">
        <v>0.16756756756756758</v>
      </c>
      <c r="V79" s="103">
        <v>0.52972972972972976</v>
      </c>
      <c r="W79" s="103">
        <v>0.28918918918918918</v>
      </c>
      <c r="X79" s="103">
        <v>1.3513513513513514E-2</v>
      </c>
      <c r="Y79" s="104">
        <v>61.629729729729732</v>
      </c>
      <c r="Z79" s="101">
        <f t="shared" si="9"/>
        <v>0.78648648648648645</v>
      </c>
    </row>
    <row r="80" spans="1:26" x14ac:dyDescent="0.25">
      <c r="A80" s="100"/>
      <c r="B80" s="100"/>
      <c r="C80" s="100"/>
      <c r="D80" s="100">
        <v>4</v>
      </c>
      <c r="E80" s="100">
        <v>567</v>
      </c>
      <c r="F80" s="100">
        <v>44</v>
      </c>
      <c r="G80" s="100">
        <v>39</v>
      </c>
      <c r="H80" s="100">
        <v>481</v>
      </c>
      <c r="I80" s="100">
        <v>564</v>
      </c>
      <c r="J80" s="100">
        <v>3</v>
      </c>
      <c r="K80" s="100">
        <f t="shared" si="5"/>
        <v>567</v>
      </c>
      <c r="L80" s="100">
        <v>0</v>
      </c>
      <c r="M80" s="101">
        <f t="shared" si="6"/>
        <v>0.84832451499118167</v>
      </c>
      <c r="N80" s="101">
        <f t="shared" si="7"/>
        <v>6.8783068783068779E-2</v>
      </c>
      <c r="O80" s="101">
        <f t="shared" si="8"/>
        <v>7.7601410934744264E-2</v>
      </c>
      <c r="P80" s="102">
        <v>110</v>
      </c>
      <c r="Q80" s="102">
        <v>356</v>
      </c>
      <c r="R80" s="102">
        <v>194</v>
      </c>
      <c r="S80" s="102">
        <v>17</v>
      </c>
      <c r="T80" s="102">
        <v>677</v>
      </c>
      <c r="U80" s="103">
        <v>0.16248153618906944</v>
      </c>
      <c r="V80" s="103">
        <v>0.52584933530280653</v>
      </c>
      <c r="W80" s="103">
        <v>0.28655834564254062</v>
      </c>
      <c r="X80" s="103">
        <v>2.5110782865583457E-2</v>
      </c>
      <c r="Y80" s="104">
        <v>53.964549483013293</v>
      </c>
      <c r="Z80" s="101">
        <f t="shared" si="9"/>
        <v>0.83751846381093054</v>
      </c>
    </row>
    <row r="81" spans="1:26" x14ac:dyDescent="0.25">
      <c r="A81" s="100"/>
      <c r="B81" s="100"/>
      <c r="C81" s="100"/>
      <c r="D81" s="100">
        <v>5</v>
      </c>
      <c r="E81" s="100">
        <v>520</v>
      </c>
      <c r="F81" s="100">
        <v>55</v>
      </c>
      <c r="G81" s="100">
        <v>58</v>
      </c>
      <c r="H81" s="100">
        <v>405</v>
      </c>
      <c r="I81" s="100">
        <v>518</v>
      </c>
      <c r="J81" s="100">
        <v>2</v>
      </c>
      <c r="K81" s="100">
        <f t="shared" si="5"/>
        <v>520</v>
      </c>
      <c r="L81" s="100">
        <v>0</v>
      </c>
      <c r="M81" s="101">
        <f t="shared" si="6"/>
        <v>0.77884615384615385</v>
      </c>
      <c r="N81" s="101">
        <f t="shared" si="7"/>
        <v>0.11153846153846154</v>
      </c>
      <c r="O81" s="101">
        <f t="shared" si="8"/>
        <v>0.10576923076923077</v>
      </c>
      <c r="P81" s="102">
        <v>155</v>
      </c>
      <c r="Q81" s="102">
        <v>330</v>
      </c>
      <c r="R81" s="102">
        <v>190</v>
      </c>
      <c r="S81" s="102">
        <v>2</v>
      </c>
      <c r="T81" s="102">
        <v>677</v>
      </c>
      <c r="U81" s="103">
        <v>0.22895125553914328</v>
      </c>
      <c r="V81" s="103">
        <v>0.48744460856720828</v>
      </c>
      <c r="W81" s="103">
        <v>0.28064992614475626</v>
      </c>
      <c r="X81" s="103">
        <v>2.9542097488921715E-3</v>
      </c>
      <c r="Y81" s="104">
        <v>44.635155096011815</v>
      </c>
      <c r="Z81" s="101">
        <f t="shared" si="9"/>
        <v>0.76809453471196454</v>
      </c>
    </row>
    <row r="82" spans="1:26" x14ac:dyDescent="0.25">
      <c r="A82" s="100"/>
      <c r="B82" s="100"/>
      <c r="C82" s="100"/>
      <c r="D82" s="100">
        <v>6</v>
      </c>
      <c r="E82" s="100">
        <v>508</v>
      </c>
      <c r="F82" s="100">
        <v>59</v>
      </c>
      <c r="G82" s="100">
        <v>72</v>
      </c>
      <c r="H82" s="100">
        <v>373</v>
      </c>
      <c r="I82" s="100">
        <v>504</v>
      </c>
      <c r="J82" s="100">
        <v>4</v>
      </c>
      <c r="K82" s="100">
        <f t="shared" si="5"/>
        <v>508</v>
      </c>
      <c r="L82" s="100">
        <v>0</v>
      </c>
      <c r="M82" s="101">
        <f t="shared" si="6"/>
        <v>0.73425196850393704</v>
      </c>
      <c r="N82" s="101">
        <f t="shared" si="7"/>
        <v>0.14173228346456693</v>
      </c>
      <c r="O82" s="101">
        <f t="shared" si="8"/>
        <v>0.11614173228346457</v>
      </c>
      <c r="P82" s="102">
        <v>207</v>
      </c>
      <c r="Q82" s="102">
        <v>262</v>
      </c>
      <c r="R82" s="102">
        <v>205</v>
      </c>
      <c r="S82" s="102">
        <v>3</v>
      </c>
      <c r="T82" s="102">
        <v>677</v>
      </c>
      <c r="U82" s="103">
        <v>0.30576070901033975</v>
      </c>
      <c r="V82" s="103">
        <v>0.38700147710487443</v>
      </c>
      <c r="W82" s="103">
        <v>0.30280649926144754</v>
      </c>
      <c r="X82" s="103">
        <v>4.4313146233382573E-3</v>
      </c>
      <c r="Y82" s="104">
        <v>36.87592319054653</v>
      </c>
      <c r="Z82" s="101">
        <f t="shared" si="9"/>
        <v>0.75036927621861149</v>
      </c>
    </row>
    <row r="83" spans="1:26" x14ac:dyDescent="0.25">
      <c r="A83" s="100"/>
      <c r="B83" s="100"/>
      <c r="C83" s="100"/>
      <c r="D83" s="100">
        <v>7</v>
      </c>
      <c r="E83" s="100">
        <v>483</v>
      </c>
      <c r="F83" s="100">
        <v>56</v>
      </c>
      <c r="G83" s="100">
        <v>56</v>
      </c>
      <c r="H83" s="100">
        <v>370</v>
      </c>
      <c r="I83" s="100">
        <v>482</v>
      </c>
      <c r="J83" s="100">
        <v>1</v>
      </c>
      <c r="K83" s="100">
        <f t="shared" si="5"/>
        <v>483</v>
      </c>
      <c r="L83" s="100">
        <v>0</v>
      </c>
      <c r="M83" s="101">
        <f t="shared" si="6"/>
        <v>0.76604554865424435</v>
      </c>
      <c r="N83" s="101">
        <f t="shared" si="7"/>
        <v>0.11594202898550725</v>
      </c>
      <c r="O83" s="101">
        <f t="shared" si="8"/>
        <v>0.11594202898550725</v>
      </c>
      <c r="P83" s="102">
        <v>205</v>
      </c>
      <c r="Q83" s="102">
        <v>298</v>
      </c>
      <c r="R83" s="102">
        <v>169</v>
      </c>
      <c r="S83" s="102">
        <v>5</v>
      </c>
      <c r="T83" s="102">
        <v>677</v>
      </c>
      <c r="U83" s="103">
        <v>0.30280649926144754</v>
      </c>
      <c r="V83" s="103">
        <v>0.44017725258493351</v>
      </c>
      <c r="W83" s="103">
        <v>0.24963072378138848</v>
      </c>
      <c r="X83" s="103">
        <v>7.385524372230428E-3</v>
      </c>
      <c r="Y83" s="104">
        <v>30.508124076809455</v>
      </c>
      <c r="Z83" s="101">
        <f t="shared" si="9"/>
        <v>0.71344165435745943</v>
      </c>
    </row>
    <row r="84" spans="1:26" x14ac:dyDescent="0.25">
      <c r="A84" s="100"/>
      <c r="B84" s="100"/>
      <c r="C84" s="100"/>
      <c r="D84" s="100">
        <v>8</v>
      </c>
      <c r="E84" s="100">
        <v>519</v>
      </c>
      <c r="F84" s="100">
        <v>56</v>
      </c>
      <c r="G84" s="100">
        <v>53</v>
      </c>
      <c r="H84" s="100">
        <v>408</v>
      </c>
      <c r="I84" s="100">
        <v>517</v>
      </c>
      <c r="J84" s="100">
        <v>2</v>
      </c>
      <c r="K84" s="100">
        <f t="shared" si="5"/>
        <v>519</v>
      </c>
      <c r="L84" s="100">
        <v>0</v>
      </c>
      <c r="M84" s="101">
        <f t="shared" si="6"/>
        <v>0.78612716763005785</v>
      </c>
      <c r="N84" s="101">
        <f t="shared" si="7"/>
        <v>0.10211946050096339</v>
      </c>
      <c r="O84" s="101">
        <f t="shared" si="8"/>
        <v>0.10789980732177264</v>
      </c>
      <c r="P84" s="102">
        <v>209</v>
      </c>
      <c r="Q84" s="102">
        <v>294</v>
      </c>
      <c r="R84" s="102">
        <v>173</v>
      </c>
      <c r="S84" s="102">
        <v>1</v>
      </c>
      <c r="T84" s="102">
        <v>677</v>
      </c>
      <c r="U84" s="103">
        <v>0.3087149187592319</v>
      </c>
      <c r="V84" s="103">
        <v>0.4342688330871492</v>
      </c>
      <c r="W84" s="103">
        <v>0.25553914327917282</v>
      </c>
      <c r="X84" s="103">
        <v>1.4771048744460858E-3</v>
      </c>
      <c r="Y84" s="104">
        <v>25.3205317577548</v>
      </c>
      <c r="Z84" s="101">
        <f t="shared" si="9"/>
        <v>0.76661742983751846</v>
      </c>
    </row>
    <row r="85" spans="1:26" x14ac:dyDescent="0.25">
      <c r="A85" s="100"/>
      <c r="B85" s="100"/>
      <c r="C85" s="100"/>
      <c r="D85" s="100">
        <v>9</v>
      </c>
      <c r="E85" s="100">
        <v>543</v>
      </c>
      <c r="F85" s="100">
        <v>40</v>
      </c>
      <c r="G85" s="100">
        <v>69</v>
      </c>
      <c r="H85" s="100">
        <v>434</v>
      </c>
      <c r="I85" s="100">
        <v>543</v>
      </c>
      <c r="J85" s="100">
        <v>0</v>
      </c>
      <c r="K85" s="100">
        <f t="shared" si="5"/>
        <v>543</v>
      </c>
      <c r="L85" s="100">
        <v>0</v>
      </c>
      <c r="M85" s="101">
        <f t="shared" si="6"/>
        <v>0.79926335174953955</v>
      </c>
      <c r="N85" s="101">
        <f t="shared" si="7"/>
        <v>0.1270718232044199</v>
      </c>
      <c r="O85" s="101">
        <f t="shared" si="8"/>
        <v>7.3664825046040522E-2</v>
      </c>
      <c r="P85" s="102">
        <v>222</v>
      </c>
      <c r="Q85" s="102">
        <v>280</v>
      </c>
      <c r="R85" s="102">
        <v>175</v>
      </c>
      <c r="S85" s="102">
        <v>0</v>
      </c>
      <c r="T85" s="102">
        <v>677</v>
      </c>
      <c r="U85" s="103">
        <v>0.32791728212703103</v>
      </c>
      <c r="V85" s="103">
        <v>0.41358936484490399</v>
      </c>
      <c r="W85" s="103">
        <v>0.25849335302806498</v>
      </c>
      <c r="X85" s="103">
        <v>0</v>
      </c>
      <c r="Y85" s="104">
        <v>20.39290989660266</v>
      </c>
      <c r="Z85" s="101">
        <f t="shared" si="9"/>
        <v>0.80206794682422455</v>
      </c>
    </row>
    <row r="86" spans="1:26" x14ac:dyDescent="0.25">
      <c r="A86" s="100">
        <v>13</v>
      </c>
      <c r="B86" s="100" t="s">
        <v>175</v>
      </c>
      <c r="C86" s="100" t="s">
        <v>176</v>
      </c>
      <c r="D86" s="100">
        <v>1</v>
      </c>
      <c r="E86" s="100">
        <v>260</v>
      </c>
      <c r="F86" s="100">
        <v>28</v>
      </c>
      <c r="G86" s="100">
        <v>9</v>
      </c>
      <c r="H86" s="100">
        <v>220</v>
      </c>
      <c r="I86" s="100">
        <v>257</v>
      </c>
      <c r="J86" s="100">
        <v>3</v>
      </c>
      <c r="K86" s="100">
        <f t="shared" si="5"/>
        <v>260</v>
      </c>
      <c r="L86" s="100">
        <v>0</v>
      </c>
      <c r="M86" s="101">
        <f t="shared" si="6"/>
        <v>0.84615384615384615</v>
      </c>
      <c r="N86" s="101">
        <f t="shared" si="7"/>
        <v>3.4615384615384617E-2</v>
      </c>
      <c r="O86" s="101">
        <f t="shared" si="8"/>
        <v>0.1076923076923077</v>
      </c>
      <c r="P86" s="102">
        <v>33</v>
      </c>
      <c r="Q86" s="102">
        <v>227</v>
      </c>
      <c r="R86" s="102">
        <v>114</v>
      </c>
      <c r="S86" s="102">
        <v>6</v>
      </c>
      <c r="T86" s="102">
        <v>380</v>
      </c>
      <c r="U86" s="103">
        <v>8.6842105263157901E-2</v>
      </c>
      <c r="V86" s="103">
        <v>0.59736842105263155</v>
      </c>
      <c r="W86" s="103">
        <v>0.3</v>
      </c>
      <c r="X86" s="103">
        <v>1.5789473684210527E-2</v>
      </c>
      <c r="Y86" s="104">
        <v>71.255263157894731</v>
      </c>
      <c r="Z86" s="101">
        <f t="shared" si="9"/>
        <v>0.68421052631578949</v>
      </c>
    </row>
    <row r="87" spans="1:26" x14ac:dyDescent="0.25">
      <c r="A87" s="100"/>
      <c r="B87" s="100"/>
      <c r="C87" s="100"/>
      <c r="D87" s="100">
        <v>2</v>
      </c>
      <c r="E87" s="100">
        <v>317</v>
      </c>
      <c r="F87" s="100">
        <v>52</v>
      </c>
      <c r="G87" s="100">
        <v>8</v>
      </c>
      <c r="H87" s="100">
        <v>254</v>
      </c>
      <c r="I87" s="100">
        <v>314</v>
      </c>
      <c r="J87" s="100">
        <v>3</v>
      </c>
      <c r="K87" s="100">
        <f t="shared" si="5"/>
        <v>317</v>
      </c>
      <c r="L87" s="100">
        <v>0</v>
      </c>
      <c r="M87" s="101">
        <f t="shared" si="6"/>
        <v>0.80126182965299686</v>
      </c>
      <c r="N87" s="101">
        <f t="shared" si="7"/>
        <v>2.5236593059936908E-2</v>
      </c>
      <c r="O87" s="101">
        <f t="shared" si="8"/>
        <v>0.16403785488958991</v>
      </c>
      <c r="P87" s="102">
        <v>74</v>
      </c>
      <c r="Q87" s="102">
        <v>198</v>
      </c>
      <c r="R87" s="102">
        <v>106</v>
      </c>
      <c r="S87" s="102">
        <v>2</v>
      </c>
      <c r="T87" s="102">
        <v>380</v>
      </c>
      <c r="U87" s="103">
        <v>0.19473684210526315</v>
      </c>
      <c r="V87" s="103">
        <v>0.52105263157894732</v>
      </c>
      <c r="W87" s="103">
        <v>0.27894736842105261</v>
      </c>
      <c r="X87" s="103">
        <v>5.263157894736842E-3</v>
      </c>
      <c r="Y87" s="104">
        <v>66.323684210526309</v>
      </c>
      <c r="Z87" s="101">
        <f t="shared" si="9"/>
        <v>0.83421052631578951</v>
      </c>
    </row>
    <row r="88" spans="1:26" x14ac:dyDescent="0.25">
      <c r="A88" s="100"/>
      <c r="B88" s="100"/>
      <c r="C88" s="100"/>
      <c r="D88" s="100">
        <v>3</v>
      </c>
      <c r="E88" s="100">
        <v>316</v>
      </c>
      <c r="F88" s="100">
        <v>19</v>
      </c>
      <c r="G88" s="100">
        <v>7</v>
      </c>
      <c r="H88" s="100">
        <v>281</v>
      </c>
      <c r="I88" s="100">
        <v>307</v>
      </c>
      <c r="J88" s="100">
        <v>9</v>
      </c>
      <c r="K88" s="100">
        <f t="shared" si="5"/>
        <v>316</v>
      </c>
      <c r="L88" s="100">
        <v>0</v>
      </c>
      <c r="M88" s="101">
        <f t="shared" si="6"/>
        <v>0.88924050632911389</v>
      </c>
      <c r="N88" s="101">
        <f t="shared" si="7"/>
        <v>2.2151898734177215E-2</v>
      </c>
      <c r="O88" s="101">
        <f t="shared" si="8"/>
        <v>6.0126582278481014E-2</v>
      </c>
      <c r="P88" s="102">
        <v>35</v>
      </c>
      <c r="Q88" s="102">
        <v>227</v>
      </c>
      <c r="R88" s="102">
        <v>113</v>
      </c>
      <c r="S88" s="102">
        <v>5</v>
      </c>
      <c r="T88" s="102">
        <v>380</v>
      </c>
      <c r="U88" s="103">
        <v>9.2105263157894732E-2</v>
      </c>
      <c r="V88" s="103">
        <v>0.59736842105263155</v>
      </c>
      <c r="W88" s="103">
        <v>0.29736842105263156</v>
      </c>
      <c r="X88" s="103">
        <v>1.3157894736842105E-2</v>
      </c>
      <c r="Y88" s="104">
        <v>59.734210526315792</v>
      </c>
      <c r="Z88" s="101">
        <f t="shared" si="9"/>
        <v>0.83157894736842108</v>
      </c>
    </row>
    <row r="89" spans="1:26" x14ac:dyDescent="0.25">
      <c r="A89" s="100"/>
      <c r="B89" s="100"/>
      <c r="C89" s="100"/>
      <c r="D89" s="100">
        <v>4</v>
      </c>
      <c r="E89" s="100">
        <v>580</v>
      </c>
      <c r="F89" s="100">
        <v>37</v>
      </c>
      <c r="G89" s="100">
        <v>25</v>
      </c>
      <c r="H89" s="100">
        <v>512</v>
      </c>
      <c r="I89" s="100">
        <v>574</v>
      </c>
      <c r="J89" s="100">
        <v>6</v>
      </c>
      <c r="K89" s="100">
        <f t="shared" si="5"/>
        <v>580</v>
      </c>
      <c r="L89" s="100">
        <v>0</v>
      </c>
      <c r="M89" s="101">
        <f t="shared" si="6"/>
        <v>0.88275862068965516</v>
      </c>
      <c r="N89" s="101">
        <f t="shared" si="7"/>
        <v>4.3103448275862072E-2</v>
      </c>
      <c r="O89" s="101">
        <f t="shared" si="8"/>
        <v>6.3793103448275865E-2</v>
      </c>
      <c r="P89" s="102">
        <v>56</v>
      </c>
      <c r="Q89" s="102">
        <v>450</v>
      </c>
      <c r="R89" s="102">
        <v>182</v>
      </c>
      <c r="S89" s="102">
        <v>1</v>
      </c>
      <c r="T89" s="102">
        <v>689</v>
      </c>
      <c r="U89" s="103">
        <v>8.1277213352685049E-2</v>
      </c>
      <c r="V89" s="103">
        <v>0.65312046444121918</v>
      </c>
      <c r="W89" s="103">
        <v>0.26415094339622641</v>
      </c>
      <c r="X89" s="103">
        <v>1.4513788098693759E-3</v>
      </c>
      <c r="Y89" s="104">
        <v>52.403483309143688</v>
      </c>
      <c r="Z89" s="101">
        <f t="shared" si="9"/>
        <v>0.84179970972423801</v>
      </c>
    </row>
    <row r="90" spans="1:26" x14ac:dyDescent="0.25">
      <c r="A90" s="100"/>
      <c r="B90" s="100"/>
      <c r="C90" s="100"/>
      <c r="D90" s="100">
        <v>5</v>
      </c>
      <c r="E90" s="100">
        <v>542</v>
      </c>
      <c r="F90" s="100">
        <v>41</v>
      </c>
      <c r="G90" s="100">
        <v>31</v>
      </c>
      <c r="H90" s="100">
        <v>469</v>
      </c>
      <c r="I90" s="100">
        <v>541</v>
      </c>
      <c r="J90" s="100">
        <v>1</v>
      </c>
      <c r="K90" s="100">
        <f t="shared" si="5"/>
        <v>542</v>
      </c>
      <c r="L90" s="100">
        <v>0</v>
      </c>
      <c r="M90" s="101">
        <f t="shared" si="6"/>
        <v>0.86531365313653141</v>
      </c>
      <c r="N90" s="101">
        <f t="shared" si="7"/>
        <v>5.719557195571956E-2</v>
      </c>
      <c r="O90" s="101">
        <f t="shared" si="8"/>
        <v>7.5645756457564578E-2</v>
      </c>
      <c r="P90" s="102">
        <v>90</v>
      </c>
      <c r="Q90" s="102">
        <v>424</v>
      </c>
      <c r="R90" s="102">
        <v>172</v>
      </c>
      <c r="S90" s="102">
        <v>3</v>
      </c>
      <c r="T90" s="102">
        <v>689</v>
      </c>
      <c r="U90" s="103">
        <v>0.13062409288824384</v>
      </c>
      <c r="V90" s="103">
        <v>0.61538461538461542</v>
      </c>
      <c r="W90" s="103">
        <v>0.24963715529753266</v>
      </c>
      <c r="X90" s="103">
        <v>4.3541364296081275E-3</v>
      </c>
      <c r="Y90" s="104">
        <v>44.338171262699568</v>
      </c>
      <c r="Z90" s="101">
        <f t="shared" si="9"/>
        <v>0.7866473149492017</v>
      </c>
    </row>
    <row r="91" spans="1:26" x14ac:dyDescent="0.25">
      <c r="A91" s="100"/>
      <c r="B91" s="100"/>
      <c r="C91" s="100"/>
      <c r="D91" s="100">
        <v>6</v>
      </c>
      <c r="E91" s="100">
        <v>530</v>
      </c>
      <c r="F91" s="100">
        <v>40</v>
      </c>
      <c r="G91" s="100">
        <v>41</v>
      </c>
      <c r="H91" s="100">
        <v>449</v>
      </c>
      <c r="I91" s="100">
        <v>530</v>
      </c>
      <c r="J91" s="100">
        <v>0</v>
      </c>
      <c r="K91" s="100">
        <f t="shared" si="5"/>
        <v>530</v>
      </c>
      <c r="L91" s="100">
        <v>0</v>
      </c>
      <c r="M91" s="101">
        <f t="shared" si="6"/>
        <v>0.84716981132075475</v>
      </c>
      <c r="N91" s="101">
        <f t="shared" si="7"/>
        <v>7.7358490566037733E-2</v>
      </c>
      <c r="O91" s="101">
        <f t="shared" si="8"/>
        <v>7.5471698113207544E-2</v>
      </c>
      <c r="P91" s="102">
        <v>123</v>
      </c>
      <c r="Q91" s="102">
        <v>385</v>
      </c>
      <c r="R91" s="102">
        <v>180</v>
      </c>
      <c r="S91" s="102">
        <v>2</v>
      </c>
      <c r="T91" s="102">
        <v>690</v>
      </c>
      <c r="U91" s="103">
        <v>0.17826086956521739</v>
      </c>
      <c r="V91" s="103">
        <v>0.55797101449275366</v>
      </c>
      <c r="W91" s="103">
        <v>0.2608695652173913</v>
      </c>
      <c r="X91" s="103">
        <v>2.8985507246376812E-3</v>
      </c>
      <c r="Y91" s="104">
        <v>37.198550724637684</v>
      </c>
      <c r="Z91" s="101">
        <f t="shared" si="9"/>
        <v>0.76811594202898548</v>
      </c>
    </row>
    <row r="92" spans="1:26" x14ac:dyDescent="0.25">
      <c r="A92" s="100"/>
      <c r="B92" s="100"/>
      <c r="C92" s="100"/>
      <c r="D92" s="100">
        <v>7</v>
      </c>
      <c r="E92" s="100">
        <v>522</v>
      </c>
      <c r="F92" s="100">
        <v>40</v>
      </c>
      <c r="G92" s="100">
        <v>42</v>
      </c>
      <c r="H92" s="100">
        <v>440</v>
      </c>
      <c r="I92" s="100">
        <v>522</v>
      </c>
      <c r="J92" s="100">
        <v>0</v>
      </c>
      <c r="K92" s="100">
        <f t="shared" si="5"/>
        <v>522</v>
      </c>
      <c r="L92" s="100">
        <v>0</v>
      </c>
      <c r="M92" s="101">
        <f t="shared" si="6"/>
        <v>0.84291187739463602</v>
      </c>
      <c r="N92" s="101">
        <f t="shared" si="7"/>
        <v>8.0459770114942528E-2</v>
      </c>
      <c r="O92" s="101">
        <f t="shared" si="8"/>
        <v>7.662835249042145E-2</v>
      </c>
      <c r="P92" s="102">
        <v>135</v>
      </c>
      <c r="Q92" s="102">
        <v>354</v>
      </c>
      <c r="R92" s="102">
        <v>198</v>
      </c>
      <c r="S92" s="102">
        <v>3</v>
      </c>
      <c r="T92" s="102">
        <v>690</v>
      </c>
      <c r="U92" s="103">
        <v>0.19565217391304349</v>
      </c>
      <c r="V92" s="103">
        <v>0.5130434782608696</v>
      </c>
      <c r="W92" s="103">
        <v>0.28695652173913044</v>
      </c>
      <c r="X92" s="103">
        <v>4.3478260869565218E-3</v>
      </c>
      <c r="Y92" s="104">
        <v>29.93768115942029</v>
      </c>
      <c r="Z92" s="101">
        <f t="shared" si="9"/>
        <v>0.75652173913043474</v>
      </c>
    </row>
    <row r="93" spans="1:26" x14ac:dyDescent="0.25">
      <c r="A93" s="100"/>
      <c r="B93" s="100"/>
      <c r="C93" s="100"/>
      <c r="D93" s="100">
        <v>8</v>
      </c>
      <c r="E93" s="100">
        <v>540</v>
      </c>
      <c r="F93" s="100">
        <v>43</v>
      </c>
      <c r="G93" s="100">
        <v>40</v>
      </c>
      <c r="H93" s="100">
        <v>457</v>
      </c>
      <c r="I93" s="100">
        <v>540</v>
      </c>
      <c r="J93" s="100">
        <v>0</v>
      </c>
      <c r="K93" s="100">
        <f t="shared" si="5"/>
        <v>540</v>
      </c>
      <c r="L93" s="100">
        <v>0</v>
      </c>
      <c r="M93" s="101">
        <f t="shared" si="6"/>
        <v>0.84629629629629632</v>
      </c>
      <c r="N93" s="101">
        <f t="shared" si="7"/>
        <v>7.407407407407407E-2</v>
      </c>
      <c r="O93" s="101">
        <f t="shared" si="8"/>
        <v>7.9629629629629634E-2</v>
      </c>
      <c r="P93" s="102">
        <v>130</v>
      </c>
      <c r="Q93" s="102">
        <v>333</v>
      </c>
      <c r="R93" s="102">
        <v>227</v>
      </c>
      <c r="S93" s="102">
        <v>0</v>
      </c>
      <c r="T93" s="102">
        <v>690</v>
      </c>
      <c r="U93" s="103">
        <v>0.18840579710144928</v>
      </c>
      <c r="V93" s="103">
        <v>0.4826086956521739</v>
      </c>
      <c r="W93" s="103">
        <v>0.32898550724637682</v>
      </c>
      <c r="X93" s="103">
        <v>0</v>
      </c>
      <c r="Y93" s="104">
        <v>22.078260869565216</v>
      </c>
      <c r="Z93" s="101">
        <f t="shared" si="9"/>
        <v>0.78260869565217395</v>
      </c>
    </row>
    <row r="94" spans="1:26" x14ac:dyDescent="0.25">
      <c r="A94" s="100"/>
      <c r="B94" s="100"/>
      <c r="C94" s="100" t="s">
        <v>177</v>
      </c>
      <c r="D94" s="100">
        <v>1</v>
      </c>
      <c r="E94" s="100">
        <v>294</v>
      </c>
      <c r="F94" s="100">
        <v>53</v>
      </c>
      <c r="G94" s="100">
        <v>16</v>
      </c>
      <c r="H94" s="100">
        <v>217</v>
      </c>
      <c r="I94" s="100">
        <v>286</v>
      </c>
      <c r="J94" s="100">
        <v>8</v>
      </c>
      <c r="K94" s="100">
        <f t="shared" si="5"/>
        <v>294</v>
      </c>
      <c r="L94" s="100">
        <v>0</v>
      </c>
      <c r="M94" s="101">
        <f t="shared" si="6"/>
        <v>0.73809523809523814</v>
      </c>
      <c r="N94" s="101">
        <f t="shared" si="7"/>
        <v>5.4421768707482991E-2</v>
      </c>
      <c r="O94" s="101">
        <f t="shared" si="8"/>
        <v>0.18027210884353742</v>
      </c>
      <c r="P94" s="102">
        <v>92</v>
      </c>
      <c r="Q94" s="102">
        <v>140</v>
      </c>
      <c r="R94" s="102">
        <v>146</v>
      </c>
      <c r="S94" s="102">
        <v>2</v>
      </c>
      <c r="T94" s="102">
        <v>380</v>
      </c>
      <c r="U94" s="103">
        <v>0.24210526315789474</v>
      </c>
      <c r="V94" s="103">
        <v>0.36842105263157893</v>
      </c>
      <c r="W94" s="103">
        <v>0.38421052631578945</v>
      </c>
      <c r="X94" s="103">
        <v>5.263157894736842E-3</v>
      </c>
      <c r="Y94" s="104">
        <v>59.952631578947368</v>
      </c>
      <c r="Z94" s="101">
        <f t="shared" si="9"/>
        <v>0.77368421052631575</v>
      </c>
    </row>
    <row r="95" spans="1:26" x14ac:dyDescent="0.25">
      <c r="A95" s="100"/>
      <c r="B95" s="100"/>
      <c r="C95" s="100"/>
      <c r="D95" s="100">
        <v>2</v>
      </c>
      <c r="E95" s="100">
        <v>423</v>
      </c>
      <c r="F95" s="100">
        <v>71</v>
      </c>
      <c r="G95" s="100">
        <v>51</v>
      </c>
      <c r="H95" s="100">
        <v>299</v>
      </c>
      <c r="I95" s="100">
        <v>421</v>
      </c>
      <c r="J95" s="100">
        <v>2</v>
      </c>
      <c r="K95" s="100">
        <f t="shared" si="5"/>
        <v>423</v>
      </c>
      <c r="L95" s="100">
        <v>0</v>
      </c>
      <c r="M95" s="101">
        <f t="shared" si="6"/>
        <v>0.70685579196217496</v>
      </c>
      <c r="N95" s="101">
        <f t="shared" si="7"/>
        <v>0.12056737588652482</v>
      </c>
      <c r="O95" s="101">
        <f t="shared" si="8"/>
        <v>0.16784869976359337</v>
      </c>
      <c r="P95" s="102">
        <v>190</v>
      </c>
      <c r="Q95" s="102">
        <v>177</v>
      </c>
      <c r="R95" s="102">
        <v>187</v>
      </c>
      <c r="S95" s="102">
        <v>3</v>
      </c>
      <c r="T95" s="102">
        <v>557</v>
      </c>
      <c r="U95" s="103">
        <v>0.34111310592459604</v>
      </c>
      <c r="V95" s="103">
        <v>0.31777378815080792</v>
      </c>
      <c r="W95" s="103">
        <v>0.3357271095152603</v>
      </c>
      <c r="X95" s="103">
        <v>5.3859964093357273E-3</v>
      </c>
      <c r="Y95" s="104">
        <v>40.305206463195688</v>
      </c>
      <c r="Z95" s="101">
        <f t="shared" si="9"/>
        <v>0.7594254937163375</v>
      </c>
    </row>
    <row r="96" spans="1:26" x14ac:dyDescent="0.25">
      <c r="A96" s="100"/>
      <c r="B96" s="100"/>
      <c r="C96" s="100"/>
      <c r="D96" s="100">
        <v>3</v>
      </c>
      <c r="E96" s="100">
        <v>432</v>
      </c>
      <c r="F96" s="100">
        <v>37</v>
      </c>
      <c r="G96" s="100">
        <v>47</v>
      </c>
      <c r="H96" s="100">
        <v>347</v>
      </c>
      <c r="I96" s="100">
        <v>431</v>
      </c>
      <c r="J96" s="100">
        <v>1</v>
      </c>
      <c r="K96" s="100">
        <f t="shared" si="5"/>
        <v>432</v>
      </c>
      <c r="L96" s="100">
        <v>0</v>
      </c>
      <c r="M96" s="101">
        <f t="shared" si="6"/>
        <v>0.8032407407407407</v>
      </c>
      <c r="N96" s="101">
        <f t="shared" si="7"/>
        <v>0.10879629629629629</v>
      </c>
      <c r="O96" s="101">
        <f t="shared" si="8"/>
        <v>8.5648148148148154E-2</v>
      </c>
      <c r="P96" s="102">
        <v>159</v>
      </c>
      <c r="Q96" s="102">
        <v>155</v>
      </c>
      <c r="R96" s="102">
        <v>243</v>
      </c>
      <c r="S96" s="102">
        <v>1</v>
      </c>
      <c r="T96" s="102">
        <v>558</v>
      </c>
      <c r="U96" s="103">
        <v>0.28494623655913981</v>
      </c>
      <c r="V96" s="103">
        <v>0.27777777777777779</v>
      </c>
      <c r="W96" s="103">
        <v>0.43548387096774194</v>
      </c>
      <c r="X96" s="103">
        <v>1.7921146953405018E-3</v>
      </c>
      <c r="Y96" s="104">
        <v>25.707885304659499</v>
      </c>
      <c r="Z96" s="101">
        <f t="shared" si="9"/>
        <v>0.77419354838709675</v>
      </c>
    </row>
    <row r="97" spans="1:26" x14ac:dyDescent="0.25">
      <c r="A97" s="100"/>
      <c r="B97" s="100"/>
      <c r="C97" s="100" t="s">
        <v>178</v>
      </c>
      <c r="D97" s="100">
        <v>1</v>
      </c>
      <c r="E97" s="100">
        <v>249</v>
      </c>
      <c r="F97" s="100">
        <v>11</v>
      </c>
      <c r="G97" s="100">
        <v>6</v>
      </c>
      <c r="H97" s="100">
        <v>227</v>
      </c>
      <c r="I97" s="100">
        <v>244</v>
      </c>
      <c r="J97" s="100">
        <v>5</v>
      </c>
      <c r="K97" s="100">
        <f t="shared" si="5"/>
        <v>249</v>
      </c>
      <c r="L97" s="100">
        <v>0</v>
      </c>
      <c r="M97" s="101">
        <f t="shared" si="6"/>
        <v>0.91164658634538154</v>
      </c>
      <c r="N97" s="101">
        <f t="shared" si="7"/>
        <v>2.4096385542168676E-2</v>
      </c>
      <c r="O97" s="101">
        <f t="shared" si="8"/>
        <v>4.4176706827309238E-2</v>
      </c>
      <c r="P97" s="102">
        <v>6</v>
      </c>
      <c r="Q97" s="102">
        <v>202</v>
      </c>
      <c r="R97" s="102">
        <v>159</v>
      </c>
      <c r="S97" s="102">
        <v>3</v>
      </c>
      <c r="T97" s="102">
        <v>370</v>
      </c>
      <c r="U97" s="103">
        <v>1.6216216216216217E-2</v>
      </c>
      <c r="V97" s="103">
        <v>0.54594594594594592</v>
      </c>
      <c r="W97" s="103">
        <v>0.42972972972972973</v>
      </c>
      <c r="X97" s="103">
        <v>8.1081081081081086E-3</v>
      </c>
      <c r="Y97" s="104">
        <v>70.64594594594594</v>
      </c>
      <c r="Z97" s="101">
        <f t="shared" si="9"/>
        <v>0.67297297297297298</v>
      </c>
    </row>
    <row r="98" spans="1:26" x14ac:dyDescent="0.25">
      <c r="A98" s="100"/>
      <c r="B98" s="100"/>
      <c r="C98" s="100"/>
      <c r="D98" s="100">
        <v>2</v>
      </c>
      <c r="E98" s="100">
        <v>281</v>
      </c>
      <c r="F98" s="100">
        <v>18</v>
      </c>
      <c r="G98" s="100">
        <v>7</v>
      </c>
      <c r="H98" s="100">
        <v>254</v>
      </c>
      <c r="I98" s="100">
        <v>279</v>
      </c>
      <c r="J98" s="100">
        <v>2</v>
      </c>
      <c r="K98" s="100">
        <f t="shared" si="5"/>
        <v>281</v>
      </c>
      <c r="L98" s="100">
        <v>0</v>
      </c>
      <c r="M98" s="101">
        <f t="shared" si="6"/>
        <v>0.90391459074733094</v>
      </c>
      <c r="N98" s="101">
        <f t="shared" si="7"/>
        <v>2.491103202846975E-2</v>
      </c>
      <c r="O98" s="101">
        <f t="shared" si="8"/>
        <v>6.4056939501779361E-2</v>
      </c>
      <c r="P98" s="102">
        <v>8</v>
      </c>
      <c r="Q98" s="102">
        <v>257</v>
      </c>
      <c r="R98" s="102">
        <v>99</v>
      </c>
      <c r="S98" s="102">
        <v>6</v>
      </c>
      <c r="T98" s="102">
        <v>370</v>
      </c>
      <c r="U98" s="103">
        <v>2.1621621621621623E-2</v>
      </c>
      <c r="V98" s="103">
        <v>0.69459459459459461</v>
      </c>
      <c r="W98" s="103">
        <v>0.26756756756756755</v>
      </c>
      <c r="X98" s="103">
        <v>1.6216216216216217E-2</v>
      </c>
      <c r="Y98" s="104">
        <v>56.967567567567571</v>
      </c>
      <c r="Z98" s="101">
        <f t="shared" si="9"/>
        <v>0.75945945945945947</v>
      </c>
    </row>
    <row r="99" spans="1:26" x14ac:dyDescent="0.25">
      <c r="A99" s="100"/>
      <c r="B99" s="100"/>
      <c r="C99" s="100"/>
      <c r="D99" s="100">
        <v>3</v>
      </c>
      <c r="E99" s="100">
        <v>467</v>
      </c>
      <c r="F99" s="100">
        <v>16</v>
      </c>
      <c r="G99" s="100">
        <v>8</v>
      </c>
      <c r="H99" s="100">
        <v>442</v>
      </c>
      <c r="I99" s="100">
        <v>466</v>
      </c>
      <c r="J99" s="100">
        <v>1</v>
      </c>
      <c r="K99" s="100">
        <f t="shared" si="5"/>
        <v>467</v>
      </c>
      <c r="L99" s="100">
        <v>0</v>
      </c>
      <c r="M99" s="101">
        <f t="shared" si="6"/>
        <v>0.94646680942184158</v>
      </c>
      <c r="N99" s="101">
        <f t="shared" si="7"/>
        <v>1.7130620985010708E-2</v>
      </c>
      <c r="O99" s="101">
        <f t="shared" si="8"/>
        <v>3.4261241970021415E-2</v>
      </c>
      <c r="P99" s="102">
        <v>24</v>
      </c>
      <c r="Q99" s="102">
        <v>430</v>
      </c>
      <c r="R99" s="102">
        <v>198</v>
      </c>
      <c r="S99" s="102">
        <v>4</v>
      </c>
      <c r="T99" s="102">
        <v>656</v>
      </c>
      <c r="U99" s="103">
        <v>3.6585365853658534E-2</v>
      </c>
      <c r="V99" s="103">
        <v>0.65548780487804881</v>
      </c>
      <c r="W99" s="103">
        <v>0.30182926829268292</v>
      </c>
      <c r="X99" s="103">
        <v>6.0975609756097563E-3</v>
      </c>
      <c r="Y99" s="104">
        <v>41.269817073170735</v>
      </c>
      <c r="Z99" s="101">
        <f t="shared" si="9"/>
        <v>0.71189024390243905</v>
      </c>
    </row>
    <row r="100" spans="1:26" x14ac:dyDescent="0.25">
      <c r="A100" s="100"/>
      <c r="B100" s="100"/>
      <c r="C100" s="100"/>
      <c r="D100" s="100">
        <v>4</v>
      </c>
      <c r="E100" s="100">
        <v>493</v>
      </c>
      <c r="F100" s="100">
        <v>16</v>
      </c>
      <c r="G100" s="100">
        <v>8</v>
      </c>
      <c r="H100" s="100">
        <v>469</v>
      </c>
      <c r="I100" s="100">
        <v>493</v>
      </c>
      <c r="J100" s="100">
        <v>0</v>
      </c>
      <c r="K100" s="100">
        <f t="shared" si="5"/>
        <v>493</v>
      </c>
      <c r="L100" s="100">
        <v>0</v>
      </c>
      <c r="M100" s="101">
        <f t="shared" si="6"/>
        <v>0.9513184584178499</v>
      </c>
      <c r="N100" s="101">
        <f t="shared" si="7"/>
        <v>1.6227180527383367E-2</v>
      </c>
      <c r="O100" s="101">
        <f t="shared" si="8"/>
        <v>3.2454361054766734E-2</v>
      </c>
      <c r="P100" s="102">
        <v>36</v>
      </c>
      <c r="Q100" s="102">
        <v>406</v>
      </c>
      <c r="R100" s="102">
        <v>212</v>
      </c>
      <c r="S100" s="102">
        <v>3</v>
      </c>
      <c r="T100" s="102">
        <v>657</v>
      </c>
      <c r="U100" s="103">
        <v>5.4794520547945202E-2</v>
      </c>
      <c r="V100" s="103">
        <v>0.61796042617960423</v>
      </c>
      <c r="W100" s="103">
        <v>0.32267884322678841</v>
      </c>
      <c r="X100" s="103">
        <v>4.5662100456621002E-3</v>
      </c>
      <c r="Y100" s="104">
        <v>25.496194824961947</v>
      </c>
      <c r="Z100" s="101">
        <f t="shared" si="9"/>
        <v>0.75038051750380519</v>
      </c>
    </row>
    <row r="101" spans="1:26" x14ac:dyDescent="0.25">
      <c r="A101" s="100">
        <v>14</v>
      </c>
      <c r="B101" s="100" t="s">
        <v>179</v>
      </c>
      <c r="C101" s="100" t="s">
        <v>180</v>
      </c>
      <c r="D101" s="100">
        <v>1</v>
      </c>
      <c r="E101" s="100">
        <v>162</v>
      </c>
      <c r="F101" s="100">
        <v>10</v>
      </c>
      <c r="G101" s="100">
        <v>6</v>
      </c>
      <c r="H101" s="100">
        <v>144</v>
      </c>
      <c r="I101" s="100">
        <v>160</v>
      </c>
      <c r="J101" s="100">
        <v>2</v>
      </c>
      <c r="K101" s="100">
        <f t="shared" si="5"/>
        <v>162</v>
      </c>
      <c r="L101" s="100">
        <v>0</v>
      </c>
      <c r="M101" s="101">
        <f t="shared" si="6"/>
        <v>0.88888888888888884</v>
      </c>
      <c r="N101" s="101">
        <f t="shared" si="7"/>
        <v>3.7037037037037035E-2</v>
      </c>
      <c r="O101" s="101">
        <f t="shared" si="8"/>
        <v>6.1728395061728392E-2</v>
      </c>
      <c r="P101" s="102">
        <v>14</v>
      </c>
      <c r="Q101" s="102">
        <v>204</v>
      </c>
      <c r="R101" s="102">
        <v>44</v>
      </c>
      <c r="S101" s="102">
        <v>1</v>
      </c>
      <c r="T101" s="102">
        <v>263</v>
      </c>
      <c r="U101" s="103">
        <v>5.3231939163498096E-2</v>
      </c>
      <c r="V101" s="103">
        <v>0.7756653992395437</v>
      </c>
      <c r="W101" s="103">
        <v>0.16730038022813687</v>
      </c>
      <c r="X101" s="103">
        <v>3.8022813688212928E-3</v>
      </c>
      <c r="Y101" s="104">
        <v>60.326996197718628</v>
      </c>
      <c r="Z101" s="101">
        <f t="shared" si="9"/>
        <v>0.61596958174904948</v>
      </c>
    </row>
    <row r="102" spans="1:26" x14ac:dyDescent="0.25">
      <c r="A102" s="100">
        <v>15</v>
      </c>
      <c r="B102" s="100" t="s">
        <v>181</v>
      </c>
      <c r="C102" s="100" t="s">
        <v>182</v>
      </c>
      <c r="D102" s="100">
        <v>1</v>
      </c>
      <c r="E102" s="100">
        <v>149</v>
      </c>
      <c r="F102" s="100">
        <v>13</v>
      </c>
      <c r="G102" s="100">
        <v>2</v>
      </c>
      <c r="H102" s="100">
        <v>134</v>
      </c>
      <c r="I102" s="100">
        <v>149</v>
      </c>
      <c r="J102" s="100">
        <v>0</v>
      </c>
      <c r="K102" s="100">
        <f t="shared" si="5"/>
        <v>149</v>
      </c>
      <c r="L102" s="100">
        <v>0</v>
      </c>
      <c r="M102" s="101">
        <f t="shared" si="6"/>
        <v>0.89932885906040272</v>
      </c>
      <c r="N102" s="101">
        <f t="shared" si="7"/>
        <v>1.3422818791946308E-2</v>
      </c>
      <c r="O102" s="101">
        <f t="shared" si="8"/>
        <v>8.7248322147651006E-2</v>
      </c>
      <c r="P102" s="102">
        <v>1</v>
      </c>
      <c r="Q102" s="102">
        <v>281</v>
      </c>
      <c r="R102" s="102">
        <v>18</v>
      </c>
      <c r="S102" s="102">
        <v>0</v>
      </c>
      <c r="T102" s="102">
        <v>300</v>
      </c>
      <c r="U102" s="103">
        <v>3.3333333333333335E-3</v>
      </c>
      <c r="V102" s="103">
        <v>0.93666666666666665</v>
      </c>
      <c r="W102" s="103">
        <v>0.06</v>
      </c>
      <c r="X102" s="103">
        <v>0</v>
      </c>
      <c r="Y102" s="104">
        <v>82.336666666666673</v>
      </c>
      <c r="Z102" s="101">
        <f t="shared" si="9"/>
        <v>0.49666666666666665</v>
      </c>
    </row>
    <row r="103" spans="1:26" x14ac:dyDescent="0.25">
      <c r="A103" s="100"/>
      <c r="B103" s="100"/>
      <c r="C103" s="100"/>
      <c r="D103" s="100">
        <v>2</v>
      </c>
      <c r="E103" s="100">
        <v>220</v>
      </c>
      <c r="F103" s="100">
        <v>16</v>
      </c>
      <c r="G103" s="100">
        <v>5</v>
      </c>
      <c r="H103" s="100">
        <v>197</v>
      </c>
      <c r="I103" s="100">
        <v>218</v>
      </c>
      <c r="J103" s="100">
        <v>2</v>
      </c>
      <c r="K103" s="100">
        <f t="shared" si="5"/>
        <v>220</v>
      </c>
      <c r="L103" s="100">
        <v>0</v>
      </c>
      <c r="M103" s="101">
        <f t="shared" si="6"/>
        <v>0.8954545454545455</v>
      </c>
      <c r="N103" s="101">
        <f t="shared" si="7"/>
        <v>2.2727272727272728E-2</v>
      </c>
      <c r="O103" s="101">
        <f t="shared" si="8"/>
        <v>7.2727272727272724E-2</v>
      </c>
      <c r="P103" s="102">
        <v>5</v>
      </c>
      <c r="Q103" s="102">
        <v>308</v>
      </c>
      <c r="R103" s="102">
        <v>6</v>
      </c>
      <c r="S103" s="102">
        <v>1</v>
      </c>
      <c r="T103" s="102">
        <v>320</v>
      </c>
      <c r="U103" s="103">
        <v>1.5625E-2</v>
      </c>
      <c r="V103" s="103">
        <v>0.96250000000000002</v>
      </c>
      <c r="W103" s="103">
        <v>1.8749999999999999E-2</v>
      </c>
      <c r="X103" s="103">
        <v>3.1250000000000002E-3</v>
      </c>
      <c r="Y103" s="104">
        <v>68.396874999999994</v>
      </c>
      <c r="Z103" s="101">
        <f t="shared" si="9"/>
        <v>0.6875</v>
      </c>
    </row>
    <row r="104" spans="1:26" x14ac:dyDescent="0.25">
      <c r="A104" s="100"/>
      <c r="B104" s="100"/>
      <c r="C104" s="100"/>
      <c r="D104" s="100">
        <v>3</v>
      </c>
      <c r="E104" s="100">
        <v>248</v>
      </c>
      <c r="F104" s="100">
        <v>6</v>
      </c>
      <c r="G104" s="100">
        <v>1</v>
      </c>
      <c r="H104" s="100">
        <v>240</v>
      </c>
      <c r="I104" s="100">
        <v>247</v>
      </c>
      <c r="J104" s="100">
        <v>1</v>
      </c>
      <c r="K104" s="100">
        <f t="shared" si="5"/>
        <v>248</v>
      </c>
      <c r="L104" s="100">
        <v>0</v>
      </c>
      <c r="M104" s="101">
        <f t="shared" si="6"/>
        <v>0.967741935483871</v>
      </c>
      <c r="N104" s="101">
        <f t="shared" si="7"/>
        <v>4.0322580645161289E-3</v>
      </c>
      <c r="O104" s="101">
        <f t="shared" si="8"/>
        <v>2.4193548387096774E-2</v>
      </c>
      <c r="P104" s="102">
        <v>4</v>
      </c>
      <c r="Q104" s="102">
        <v>328</v>
      </c>
      <c r="R104" s="102">
        <v>13</v>
      </c>
      <c r="S104" s="102">
        <v>0</v>
      </c>
      <c r="T104" s="102">
        <v>345</v>
      </c>
      <c r="U104" s="103">
        <v>1.1594202898550725E-2</v>
      </c>
      <c r="V104" s="103">
        <v>0.95072463768115945</v>
      </c>
      <c r="W104" s="103">
        <v>3.7681159420289857E-2</v>
      </c>
      <c r="X104" s="103">
        <v>0</v>
      </c>
      <c r="Y104" s="104">
        <v>49.455072463768118</v>
      </c>
      <c r="Z104" s="101">
        <f t="shared" si="9"/>
        <v>0.71884057971014492</v>
      </c>
    </row>
    <row r="105" spans="1:26" x14ac:dyDescent="0.25">
      <c r="A105" s="100">
        <v>16</v>
      </c>
      <c r="B105" s="100" t="s">
        <v>183</v>
      </c>
      <c r="C105" s="100" t="s">
        <v>184</v>
      </c>
      <c r="D105" s="100">
        <v>1</v>
      </c>
      <c r="E105" s="100">
        <v>158</v>
      </c>
      <c r="F105" s="100">
        <v>11</v>
      </c>
      <c r="G105" s="100">
        <v>3</v>
      </c>
      <c r="H105" s="100">
        <v>144</v>
      </c>
      <c r="I105" s="100">
        <v>158</v>
      </c>
      <c r="J105" s="100">
        <v>0</v>
      </c>
      <c r="K105" s="100">
        <f t="shared" si="5"/>
        <v>158</v>
      </c>
      <c r="L105" s="100">
        <v>0</v>
      </c>
      <c r="M105" s="101">
        <f t="shared" si="6"/>
        <v>0.91139240506329111</v>
      </c>
      <c r="N105" s="101">
        <f t="shared" si="7"/>
        <v>1.8987341772151899E-2</v>
      </c>
      <c r="O105" s="101">
        <f t="shared" si="8"/>
        <v>6.9620253164556958E-2</v>
      </c>
      <c r="P105" s="102">
        <v>4</v>
      </c>
      <c r="Q105" s="102">
        <v>255</v>
      </c>
      <c r="R105" s="102">
        <v>40</v>
      </c>
      <c r="S105" s="102">
        <v>1</v>
      </c>
      <c r="T105" s="102">
        <v>300</v>
      </c>
      <c r="U105" s="103">
        <v>1.3333333333333334E-2</v>
      </c>
      <c r="V105" s="103">
        <v>0.85</v>
      </c>
      <c r="W105" s="103">
        <v>0.13333333333333333</v>
      </c>
      <c r="X105" s="103">
        <v>3.3333333333333335E-3</v>
      </c>
      <c r="Y105" s="104">
        <v>82.126666666666665</v>
      </c>
      <c r="Z105" s="101">
        <f t="shared" si="9"/>
        <v>0.52666666666666662</v>
      </c>
    </row>
    <row r="106" spans="1:26" x14ac:dyDescent="0.25">
      <c r="A106" s="100"/>
      <c r="B106" s="100"/>
      <c r="C106" s="100"/>
      <c r="D106" s="100">
        <v>2</v>
      </c>
      <c r="E106" s="100">
        <v>278</v>
      </c>
      <c r="F106" s="100">
        <v>8</v>
      </c>
      <c r="G106" s="100">
        <v>3</v>
      </c>
      <c r="H106" s="100">
        <v>265</v>
      </c>
      <c r="I106" s="100">
        <v>276</v>
      </c>
      <c r="J106" s="100">
        <v>2</v>
      </c>
      <c r="K106" s="100">
        <f t="shared" si="5"/>
        <v>278</v>
      </c>
      <c r="L106" s="100">
        <v>0</v>
      </c>
      <c r="M106" s="101">
        <f t="shared" si="6"/>
        <v>0.9532374100719424</v>
      </c>
      <c r="N106" s="101">
        <f t="shared" si="7"/>
        <v>1.0791366906474821E-2</v>
      </c>
      <c r="O106" s="101">
        <f t="shared" si="8"/>
        <v>2.8776978417266189E-2</v>
      </c>
      <c r="P106" s="102">
        <v>1</v>
      </c>
      <c r="Q106" s="102">
        <v>338</v>
      </c>
      <c r="R106" s="102">
        <v>16</v>
      </c>
      <c r="S106" s="102">
        <v>0</v>
      </c>
      <c r="T106" s="102">
        <v>355</v>
      </c>
      <c r="U106" s="103">
        <v>2.8169014084507044E-3</v>
      </c>
      <c r="V106" s="103">
        <v>0.95211267605633798</v>
      </c>
      <c r="W106" s="103">
        <v>4.507042253521127E-2</v>
      </c>
      <c r="X106" s="103">
        <v>0</v>
      </c>
      <c r="Y106" s="104">
        <v>67.842253521126764</v>
      </c>
      <c r="Z106" s="101">
        <f t="shared" si="9"/>
        <v>0.78309859154929573</v>
      </c>
    </row>
    <row r="107" spans="1:26" x14ac:dyDescent="0.25">
      <c r="A107" s="100"/>
      <c r="B107" s="100"/>
      <c r="C107" s="100"/>
      <c r="D107" s="100">
        <v>3</v>
      </c>
      <c r="E107" s="100">
        <v>269</v>
      </c>
      <c r="F107" s="100">
        <v>12</v>
      </c>
      <c r="G107" s="100">
        <v>4</v>
      </c>
      <c r="H107" s="100">
        <v>253</v>
      </c>
      <c r="I107" s="100">
        <v>269</v>
      </c>
      <c r="J107" s="100">
        <v>0</v>
      </c>
      <c r="K107" s="100">
        <f t="shared" si="5"/>
        <v>269</v>
      </c>
      <c r="L107" s="100">
        <v>0</v>
      </c>
      <c r="M107" s="101">
        <f t="shared" si="6"/>
        <v>0.94052044609665431</v>
      </c>
      <c r="N107" s="101">
        <f t="shared" si="7"/>
        <v>1.4869888475836431E-2</v>
      </c>
      <c r="O107" s="101">
        <f t="shared" si="8"/>
        <v>4.4609665427509292E-2</v>
      </c>
      <c r="P107" s="102">
        <v>9</v>
      </c>
      <c r="Q107" s="102">
        <v>308</v>
      </c>
      <c r="R107" s="102">
        <v>38</v>
      </c>
      <c r="S107" s="102">
        <v>0</v>
      </c>
      <c r="T107" s="102">
        <v>355</v>
      </c>
      <c r="U107" s="103">
        <v>2.5352112676056339E-2</v>
      </c>
      <c r="V107" s="103">
        <v>0.86760563380281686</v>
      </c>
      <c r="W107" s="103">
        <v>0.10704225352112676</v>
      </c>
      <c r="X107" s="103">
        <v>0</v>
      </c>
      <c r="Y107" s="104">
        <v>50.08450704225352</v>
      </c>
      <c r="Z107" s="101">
        <f t="shared" si="9"/>
        <v>0.75774647887323943</v>
      </c>
    </row>
    <row r="108" spans="1:26" x14ac:dyDescent="0.25">
      <c r="A108" s="100">
        <v>17</v>
      </c>
      <c r="B108" s="100" t="s">
        <v>185</v>
      </c>
      <c r="C108" s="100" t="s">
        <v>186</v>
      </c>
      <c r="D108" s="100">
        <v>1</v>
      </c>
      <c r="E108" s="100">
        <v>129</v>
      </c>
      <c r="F108" s="100">
        <v>13</v>
      </c>
      <c r="G108" s="100">
        <v>2</v>
      </c>
      <c r="H108" s="100">
        <v>113</v>
      </c>
      <c r="I108" s="100">
        <v>128</v>
      </c>
      <c r="J108" s="100">
        <v>1</v>
      </c>
      <c r="K108" s="100">
        <f t="shared" si="5"/>
        <v>129</v>
      </c>
      <c r="L108" s="100">
        <v>0</v>
      </c>
      <c r="M108" s="101">
        <f t="shared" si="6"/>
        <v>0.87596899224806202</v>
      </c>
      <c r="N108" s="101">
        <f t="shared" si="7"/>
        <v>1.5503875968992248E-2</v>
      </c>
      <c r="O108" s="101">
        <f t="shared" si="8"/>
        <v>0.10077519379844961</v>
      </c>
      <c r="P108" s="102">
        <v>8</v>
      </c>
      <c r="Q108" s="102">
        <v>188</v>
      </c>
      <c r="R108" s="102">
        <v>4</v>
      </c>
      <c r="S108" s="102">
        <v>0</v>
      </c>
      <c r="T108" s="102">
        <v>200</v>
      </c>
      <c r="U108" s="103">
        <v>0.04</v>
      </c>
      <c r="V108" s="103">
        <v>0.94</v>
      </c>
      <c r="W108" s="103">
        <v>0.02</v>
      </c>
      <c r="X108" s="103">
        <v>0</v>
      </c>
      <c r="Y108" s="104">
        <v>77.314999999999998</v>
      </c>
      <c r="Z108" s="101">
        <f t="shared" si="9"/>
        <v>0.64500000000000002</v>
      </c>
    </row>
    <row r="109" spans="1:26" x14ac:dyDescent="0.25">
      <c r="A109" s="100"/>
      <c r="B109" s="100"/>
      <c r="C109" s="100"/>
      <c r="D109" s="100">
        <v>2</v>
      </c>
      <c r="E109" s="100">
        <v>165</v>
      </c>
      <c r="F109" s="100">
        <v>6</v>
      </c>
      <c r="G109" s="100">
        <v>2</v>
      </c>
      <c r="H109" s="100">
        <v>157</v>
      </c>
      <c r="I109" s="100">
        <v>165</v>
      </c>
      <c r="J109" s="100">
        <v>0</v>
      </c>
      <c r="K109" s="100">
        <f t="shared" si="5"/>
        <v>165</v>
      </c>
      <c r="L109" s="100">
        <v>0</v>
      </c>
      <c r="M109" s="101">
        <f t="shared" si="6"/>
        <v>0.95151515151515154</v>
      </c>
      <c r="N109" s="101">
        <f t="shared" si="7"/>
        <v>1.2121212121212121E-2</v>
      </c>
      <c r="O109" s="101">
        <f t="shared" si="8"/>
        <v>3.6363636363636362E-2</v>
      </c>
      <c r="P109" s="102">
        <v>5</v>
      </c>
      <c r="Q109" s="102">
        <v>194</v>
      </c>
      <c r="R109" s="102">
        <v>11</v>
      </c>
      <c r="S109" s="102">
        <v>0</v>
      </c>
      <c r="T109" s="102">
        <v>210</v>
      </c>
      <c r="U109" s="103">
        <v>2.3809523809523808E-2</v>
      </c>
      <c r="V109" s="103">
        <v>0.92380952380952386</v>
      </c>
      <c r="W109" s="103">
        <v>5.2380952380952382E-2</v>
      </c>
      <c r="X109" s="103">
        <v>0</v>
      </c>
      <c r="Y109" s="104">
        <v>54.976190476190474</v>
      </c>
      <c r="Z109" s="101">
        <f t="shared" si="9"/>
        <v>0.7857142857142857</v>
      </c>
    </row>
    <row r="110" spans="1:26" x14ac:dyDescent="0.25">
      <c r="A110" s="100">
        <v>18</v>
      </c>
      <c r="B110" s="100" t="s">
        <v>187</v>
      </c>
      <c r="C110" s="100" t="s">
        <v>188</v>
      </c>
      <c r="D110" s="100">
        <v>1</v>
      </c>
      <c r="E110" s="100">
        <v>117</v>
      </c>
      <c r="F110" s="100">
        <v>18</v>
      </c>
      <c r="G110" s="100">
        <v>2</v>
      </c>
      <c r="H110" s="100">
        <v>97</v>
      </c>
      <c r="I110" s="100">
        <v>117</v>
      </c>
      <c r="J110" s="100">
        <v>0</v>
      </c>
      <c r="K110" s="100">
        <f t="shared" si="5"/>
        <v>117</v>
      </c>
      <c r="L110" s="100">
        <v>0</v>
      </c>
      <c r="M110" s="101">
        <f t="shared" si="6"/>
        <v>0.82905982905982911</v>
      </c>
      <c r="N110" s="101">
        <f t="shared" si="7"/>
        <v>1.7094017094017096E-2</v>
      </c>
      <c r="O110" s="101">
        <f t="shared" si="8"/>
        <v>0.15384615384615385</v>
      </c>
      <c r="P110" s="102">
        <v>6</v>
      </c>
      <c r="Q110" s="102">
        <v>141</v>
      </c>
      <c r="R110" s="102">
        <v>48</v>
      </c>
      <c r="S110" s="102">
        <v>2</v>
      </c>
      <c r="T110" s="102">
        <v>197</v>
      </c>
      <c r="U110" s="103">
        <v>3.0456852791878174E-2</v>
      </c>
      <c r="V110" s="103">
        <v>0.71573604060913709</v>
      </c>
      <c r="W110" s="103">
        <v>0.24365482233502539</v>
      </c>
      <c r="X110" s="103">
        <v>1.015228426395939E-2</v>
      </c>
      <c r="Y110" s="104">
        <v>74.045685279187822</v>
      </c>
      <c r="Z110" s="101">
        <f t="shared" si="9"/>
        <v>0.59390862944162437</v>
      </c>
    </row>
    <row r="111" spans="1:26" x14ac:dyDescent="0.25">
      <c r="A111" s="100"/>
      <c r="B111" s="100"/>
      <c r="C111" s="100"/>
      <c r="D111" s="100">
        <v>2</v>
      </c>
      <c r="E111" s="100">
        <v>144</v>
      </c>
      <c r="F111" s="100">
        <v>11</v>
      </c>
      <c r="G111" s="100">
        <v>9</v>
      </c>
      <c r="H111" s="100">
        <v>124</v>
      </c>
      <c r="I111" s="100">
        <v>144</v>
      </c>
      <c r="J111" s="100">
        <v>0</v>
      </c>
      <c r="K111" s="100">
        <f t="shared" si="5"/>
        <v>144</v>
      </c>
      <c r="L111" s="100">
        <v>0</v>
      </c>
      <c r="M111" s="101">
        <f t="shared" si="6"/>
        <v>0.86111111111111116</v>
      </c>
      <c r="N111" s="101">
        <f t="shared" si="7"/>
        <v>6.25E-2</v>
      </c>
      <c r="O111" s="101">
        <f t="shared" si="8"/>
        <v>7.6388888888888895E-2</v>
      </c>
      <c r="P111" s="102">
        <v>20</v>
      </c>
      <c r="Q111" s="102">
        <v>141</v>
      </c>
      <c r="R111" s="102">
        <v>34</v>
      </c>
      <c r="S111" s="102">
        <v>2</v>
      </c>
      <c r="T111" s="102">
        <v>197</v>
      </c>
      <c r="U111" s="103">
        <v>0.10152284263959391</v>
      </c>
      <c r="V111" s="103">
        <v>0.71573604060913709</v>
      </c>
      <c r="W111" s="103">
        <v>0.17258883248730963</v>
      </c>
      <c r="X111" s="103">
        <v>1.015228426395939E-2</v>
      </c>
      <c r="Y111" s="104">
        <v>46.934010152284266</v>
      </c>
      <c r="Z111" s="101">
        <f t="shared" si="9"/>
        <v>0.73096446700507611</v>
      </c>
    </row>
    <row r="112" spans="1:26" x14ac:dyDescent="0.25">
      <c r="A112" s="100">
        <v>19</v>
      </c>
      <c r="B112" s="100" t="s">
        <v>189</v>
      </c>
      <c r="C112" s="100" t="s">
        <v>190</v>
      </c>
      <c r="D112" s="100">
        <v>1</v>
      </c>
      <c r="E112" s="100">
        <v>182</v>
      </c>
      <c r="F112" s="100">
        <v>26</v>
      </c>
      <c r="G112" s="100">
        <v>6</v>
      </c>
      <c r="H112" s="100">
        <v>146</v>
      </c>
      <c r="I112" s="100">
        <v>178</v>
      </c>
      <c r="J112" s="100">
        <v>4</v>
      </c>
      <c r="K112" s="100">
        <f t="shared" si="5"/>
        <v>182</v>
      </c>
      <c r="L112" s="100">
        <v>0</v>
      </c>
      <c r="M112" s="101">
        <f t="shared" si="6"/>
        <v>0.80219780219780223</v>
      </c>
      <c r="N112" s="101">
        <f t="shared" si="7"/>
        <v>3.2967032967032968E-2</v>
      </c>
      <c r="O112" s="101">
        <f t="shared" si="8"/>
        <v>0.14285714285714285</v>
      </c>
      <c r="P112" s="102">
        <v>15</v>
      </c>
      <c r="Q112" s="102">
        <v>139</v>
      </c>
      <c r="R112" s="102">
        <v>153</v>
      </c>
      <c r="S112" s="102">
        <v>13</v>
      </c>
      <c r="T112" s="102">
        <v>320</v>
      </c>
      <c r="U112" s="103">
        <v>4.6875E-2</v>
      </c>
      <c r="V112" s="103">
        <v>0.43437500000000001</v>
      </c>
      <c r="W112" s="103">
        <v>0.47812500000000002</v>
      </c>
      <c r="X112" s="103">
        <v>4.0625000000000001E-2</v>
      </c>
      <c r="Y112" s="104">
        <v>74.474999999999994</v>
      </c>
      <c r="Z112" s="101">
        <f t="shared" si="9"/>
        <v>0.56874999999999998</v>
      </c>
    </row>
    <row r="113" spans="1:26" x14ac:dyDescent="0.25">
      <c r="A113" s="100"/>
      <c r="B113" s="100"/>
      <c r="C113" s="100"/>
      <c r="D113" s="100">
        <v>2</v>
      </c>
      <c r="E113" s="100">
        <v>252</v>
      </c>
      <c r="F113" s="100">
        <v>21</v>
      </c>
      <c r="G113" s="100">
        <v>4</v>
      </c>
      <c r="H113" s="100">
        <v>226</v>
      </c>
      <c r="I113" s="100">
        <v>251</v>
      </c>
      <c r="J113" s="100">
        <v>1</v>
      </c>
      <c r="K113" s="100">
        <f t="shared" si="5"/>
        <v>252</v>
      </c>
      <c r="L113" s="100">
        <v>0</v>
      </c>
      <c r="M113" s="101">
        <f t="shared" si="6"/>
        <v>0.89682539682539686</v>
      </c>
      <c r="N113" s="101">
        <f t="shared" si="7"/>
        <v>1.5873015873015872E-2</v>
      </c>
      <c r="O113" s="101">
        <f t="shared" si="8"/>
        <v>8.3333333333333329E-2</v>
      </c>
      <c r="P113" s="102">
        <v>21</v>
      </c>
      <c r="Q113" s="102">
        <v>158</v>
      </c>
      <c r="R113" s="102">
        <v>135</v>
      </c>
      <c r="S113" s="102">
        <v>6</v>
      </c>
      <c r="T113" s="102">
        <v>320</v>
      </c>
      <c r="U113" s="103">
        <v>6.5625000000000003E-2</v>
      </c>
      <c r="V113" s="103">
        <v>0.49375000000000002</v>
      </c>
      <c r="W113" s="103">
        <v>0.421875</v>
      </c>
      <c r="X113" s="103">
        <v>1.8749999999999999E-2</v>
      </c>
      <c r="Y113" s="104">
        <v>58.893749999999997</v>
      </c>
      <c r="Z113" s="101">
        <f t="shared" si="9"/>
        <v>0.78749999999999998</v>
      </c>
    </row>
    <row r="114" spans="1:26" x14ac:dyDescent="0.25">
      <c r="A114" s="100"/>
      <c r="B114" s="100"/>
      <c r="C114" s="100"/>
      <c r="D114" s="100">
        <v>3</v>
      </c>
      <c r="E114" s="100">
        <v>309</v>
      </c>
      <c r="F114" s="100">
        <v>27</v>
      </c>
      <c r="G114" s="100">
        <v>23</v>
      </c>
      <c r="H114" s="100">
        <v>257</v>
      </c>
      <c r="I114" s="100">
        <v>307</v>
      </c>
      <c r="J114" s="100">
        <v>2</v>
      </c>
      <c r="K114" s="100">
        <f t="shared" si="5"/>
        <v>309</v>
      </c>
      <c r="L114" s="100">
        <v>0</v>
      </c>
      <c r="M114" s="101">
        <f t="shared" si="6"/>
        <v>0.83171521035598706</v>
      </c>
      <c r="N114" s="101">
        <f t="shared" si="7"/>
        <v>7.4433656957928807E-2</v>
      </c>
      <c r="O114" s="101">
        <f t="shared" si="8"/>
        <v>8.7378640776699032E-2</v>
      </c>
      <c r="P114" s="102">
        <v>90</v>
      </c>
      <c r="Q114" s="102">
        <v>155</v>
      </c>
      <c r="R114" s="102">
        <v>170</v>
      </c>
      <c r="S114" s="102">
        <v>6</v>
      </c>
      <c r="T114" s="102">
        <v>421</v>
      </c>
      <c r="U114" s="103">
        <v>0.21377672209026127</v>
      </c>
      <c r="V114" s="103">
        <v>0.36817102137767221</v>
      </c>
      <c r="W114" s="103">
        <v>0.40380047505938244</v>
      </c>
      <c r="X114" s="103">
        <v>1.4251781472684086E-2</v>
      </c>
      <c r="Y114" s="104">
        <v>34.743467933491686</v>
      </c>
      <c r="Z114" s="101">
        <f t="shared" si="9"/>
        <v>0.73396674584323041</v>
      </c>
    </row>
    <row r="115" spans="1:26" x14ac:dyDescent="0.25">
      <c r="A115" s="100">
        <v>20</v>
      </c>
      <c r="B115" s="100" t="s">
        <v>191</v>
      </c>
      <c r="C115" s="100" t="s">
        <v>192</v>
      </c>
      <c r="D115" s="100">
        <v>1</v>
      </c>
      <c r="E115" s="100">
        <v>224</v>
      </c>
      <c r="F115" s="100">
        <v>16</v>
      </c>
      <c r="G115" s="100">
        <v>10</v>
      </c>
      <c r="H115" s="100">
        <v>195</v>
      </c>
      <c r="I115" s="100">
        <v>221</v>
      </c>
      <c r="J115" s="100">
        <v>3</v>
      </c>
      <c r="K115" s="100">
        <f t="shared" si="5"/>
        <v>224</v>
      </c>
      <c r="L115" s="100">
        <v>0</v>
      </c>
      <c r="M115" s="101">
        <f t="shared" si="6"/>
        <v>0.8705357142857143</v>
      </c>
      <c r="N115" s="101">
        <f t="shared" si="7"/>
        <v>4.4642857142857144E-2</v>
      </c>
      <c r="O115" s="101">
        <f t="shared" si="8"/>
        <v>7.1428571428571425E-2</v>
      </c>
      <c r="P115" s="102">
        <v>5</v>
      </c>
      <c r="Q115" s="102">
        <v>246</v>
      </c>
      <c r="R115" s="102">
        <v>106</v>
      </c>
      <c r="S115" s="102">
        <v>3</v>
      </c>
      <c r="T115" s="102">
        <v>360</v>
      </c>
      <c r="U115" s="103">
        <v>1.3888888888888888E-2</v>
      </c>
      <c r="V115" s="103">
        <v>0.68333333333333335</v>
      </c>
      <c r="W115" s="103">
        <v>0.29444444444444445</v>
      </c>
      <c r="X115" s="103">
        <v>8.3333333333333332E-3</v>
      </c>
      <c r="Y115" s="104">
        <v>73.108333333333334</v>
      </c>
      <c r="Z115" s="101">
        <f t="shared" si="9"/>
        <v>0.62222222222222223</v>
      </c>
    </row>
    <row r="116" spans="1:26" x14ac:dyDescent="0.25">
      <c r="A116" s="100"/>
      <c r="B116" s="100"/>
      <c r="C116" s="100"/>
      <c r="D116" s="100">
        <v>2</v>
      </c>
      <c r="E116" s="100">
        <v>283</v>
      </c>
      <c r="F116" s="100">
        <v>21</v>
      </c>
      <c r="G116" s="100">
        <v>10</v>
      </c>
      <c r="H116" s="100">
        <v>248</v>
      </c>
      <c r="I116" s="100">
        <v>279</v>
      </c>
      <c r="J116" s="100">
        <v>4</v>
      </c>
      <c r="K116" s="100">
        <f t="shared" si="5"/>
        <v>283</v>
      </c>
      <c r="L116" s="100">
        <v>0</v>
      </c>
      <c r="M116" s="101">
        <f t="shared" si="6"/>
        <v>0.87632508833922262</v>
      </c>
      <c r="N116" s="101">
        <f t="shared" si="7"/>
        <v>3.5335689045936397E-2</v>
      </c>
      <c r="O116" s="101">
        <f t="shared" si="8"/>
        <v>7.4204946996466431E-2</v>
      </c>
      <c r="P116" s="102">
        <v>17</v>
      </c>
      <c r="Q116" s="102">
        <v>238</v>
      </c>
      <c r="R116" s="102">
        <v>103</v>
      </c>
      <c r="S116" s="102">
        <v>2</v>
      </c>
      <c r="T116" s="102">
        <v>360</v>
      </c>
      <c r="U116" s="103">
        <v>4.7222222222222221E-2</v>
      </c>
      <c r="V116" s="103">
        <v>0.66111111111111109</v>
      </c>
      <c r="W116" s="103">
        <v>0.28611111111111109</v>
      </c>
      <c r="X116" s="103">
        <v>5.5555555555555558E-3</v>
      </c>
      <c r="Y116" s="104">
        <v>67.519444444444446</v>
      </c>
      <c r="Z116" s="101">
        <f t="shared" si="9"/>
        <v>0.78611111111111109</v>
      </c>
    </row>
    <row r="117" spans="1:26" x14ac:dyDescent="0.25">
      <c r="A117" s="100"/>
      <c r="B117" s="100"/>
      <c r="C117" s="100"/>
      <c r="D117" s="100">
        <v>3</v>
      </c>
      <c r="E117" s="100">
        <v>287</v>
      </c>
      <c r="F117" s="100">
        <v>22</v>
      </c>
      <c r="G117" s="100">
        <v>3</v>
      </c>
      <c r="H117" s="100">
        <v>260</v>
      </c>
      <c r="I117" s="100">
        <v>285</v>
      </c>
      <c r="J117" s="100">
        <v>2</v>
      </c>
      <c r="K117" s="100">
        <f t="shared" si="5"/>
        <v>287</v>
      </c>
      <c r="L117" s="100">
        <v>0</v>
      </c>
      <c r="M117" s="101">
        <f t="shared" si="6"/>
        <v>0.90592334494773519</v>
      </c>
      <c r="N117" s="101">
        <f t="shared" si="7"/>
        <v>1.0452961672473868E-2</v>
      </c>
      <c r="O117" s="101">
        <f t="shared" si="8"/>
        <v>7.6655052264808357E-2</v>
      </c>
      <c r="P117" s="102">
        <v>14</v>
      </c>
      <c r="Q117" s="102">
        <v>215</v>
      </c>
      <c r="R117" s="102">
        <v>124</v>
      </c>
      <c r="S117" s="102">
        <v>7</v>
      </c>
      <c r="T117" s="102">
        <v>360</v>
      </c>
      <c r="U117" s="103">
        <v>3.888888888888889E-2</v>
      </c>
      <c r="V117" s="103">
        <v>0.59722222222222221</v>
      </c>
      <c r="W117" s="103">
        <v>0.34444444444444444</v>
      </c>
      <c r="X117" s="103">
        <v>1.9444444444444445E-2</v>
      </c>
      <c r="Y117" s="104">
        <v>60.12222222222222</v>
      </c>
      <c r="Z117" s="101">
        <f t="shared" si="9"/>
        <v>0.79722222222222228</v>
      </c>
    </row>
    <row r="118" spans="1:26" x14ac:dyDescent="0.25">
      <c r="A118" s="100"/>
      <c r="B118" s="100"/>
      <c r="C118" s="100"/>
      <c r="D118" s="100">
        <v>4</v>
      </c>
      <c r="E118" s="100">
        <v>413</v>
      </c>
      <c r="F118" s="100">
        <v>14</v>
      </c>
      <c r="G118" s="100">
        <v>7</v>
      </c>
      <c r="H118" s="100">
        <v>392</v>
      </c>
      <c r="I118" s="100">
        <v>413</v>
      </c>
      <c r="J118" s="100">
        <v>0</v>
      </c>
      <c r="K118" s="100">
        <f t="shared" si="5"/>
        <v>413</v>
      </c>
      <c r="L118" s="100">
        <v>0</v>
      </c>
      <c r="M118" s="101">
        <f t="shared" si="6"/>
        <v>0.94915254237288138</v>
      </c>
      <c r="N118" s="101">
        <f t="shared" si="7"/>
        <v>1.6949152542372881E-2</v>
      </c>
      <c r="O118" s="101">
        <f t="shared" si="8"/>
        <v>3.3898305084745763E-2</v>
      </c>
      <c r="P118" s="102">
        <v>17</v>
      </c>
      <c r="Q118" s="102">
        <v>392</v>
      </c>
      <c r="R118" s="102">
        <v>163</v>
      </c>
      <c r="S118" s="102">
        <v>8</v>
      </c>
      <c r="T118" s="102">
        <v>580</v>
      </c>
      <c r="U118" s="103">
        <v>2.9310344827586206E-2</v>
      </c>
      <c r="V118" s="103">
        <v>0.67586206896551726</v>
      </c>
      <c r="W118" s="103">
        <v>0.2810344827586207</v>
      </c>
      <c r="X118" s="103">
        <v>1.3793103448275862E-2</v>
      </c>
      <c r="Y118" s="104">
        <v>50.562068965517241</v>
      </c>
      <c r="Z118" s="101">
        <f t="shared" si="9"/>
        <v>0.71206896551724141</v>
      </c>
    </row>
    <row r="119" spans="1:26" x14ac:dyDescent="0.25">
      <c r="A119" s="100"/>
      <c r="B119" s="100"/>
      <c r="C119" s="100"/>
      <c r="D119" s="100">
        <v>5</v>
      </c>
      <c r="E119" s="100">
        <v>388</v>
      </c>
      <c r="F119" s="100">
        <v>21</v>
      </c>
      <c r="G119" s="100">
        <v>7</v>
      </c>
      <c r="H119" s="100">
        <v>360</v>
      </c>
      <c r="I119" s="100">
        <v>388</v>
      </c>
      <c r="J119" s="100">
        <v>0</v>
      </c>
      <c r="K119" s="100">
        <f t="shared" si="5"/>
        <v>388</v>
      </c>
      <c r="L119" s="100">
        <v>0</v>
      </c>
      <c r="M119" s="101">
        <f t="shared" si="6"/>
        <v>0.92783505154639179</v>
      </c>
      <c r="N119" s="101">
        <f t="shared" si="7"/>
        <v>1.804123711340206E-2</v>
      </c>
      <c r="O119" s="101">
        <f t="shared" si="8"/>
        <v>5.4123711340206188E-2</v>
      </c>
      <c r="P119" s="102">
        <v>26</v>
      </c>
      <c r="Q119" s="102">
        <v>417</v>
      </c>
      <c r="R119" s="102">
        <v>135</v>
      </c>
      <c r="S119" s="102">
        <v>3</v>
      </c>
      <c r="T119" s="102">
        <v>581</v>
      </c>
      <c r="U119" s="103">
        <v>4.4750430292598967E-2</v>
      </c>
      <c r="V119" s="103">
        <v>0.71772805507745263</v>
      </c>
      <c r="W119" s="103">
        <v>0.23235800344234078</v>
      </c>
      <c r="X119" s="103">
        <v>5.1635111876075735E-3</v>
      </c>
      <c r="Y119" s="104">
        <v>40.931153184165233</v>
      </c>
      <c r="Z119" s="101">
        <f t="shared" si="9"/>
        <v>0.66781411359724607</v>
      </c>
    </row>
    <row r="120" spans="1:26" x14ac:dyDescent="0.25">
      <c r="A120" s="100"/>
      <c r="B120" s="100"/>
      <c r="C120" s="100"/>
      <c r="D120" s="100">
        <v>6</v>
      </c>
      <c r="E120" s="100">
        <v>378</v>
      </c>
      <c r="F120" s="100">
        <v>18</v>
      </c>
      <c r="G120" s="100">
        <v>6</v>
      </c>
      <c r="H120" s="100">
        <v>354</v>
      </c>
      <c r="I120" s="100">
        <v>378</v>
      </c>
      <c r="J120" s="100">
        <v>0</v>
      </c>
      <c r="K120" s="100">
        <f t="shared" si="5"/>
        <v>378</v>
      </c>
      <c r="L120" s="100">
        <v>0</v>
      </c>
      <c r="M120" s="101">
        <f t="shared" si="6"/>
        <v>0.93650793650793651</v>
      </c>
      <c r="N120" s="101">
        <f t="shared" si="7"/>
        <v>1.5873015873015872E-2</v>
      </c>
      <c r="O120" s="101">
        <f t="shared" si="8"/>
        <v>4.7619047619047616E-2</v>
      </c>
      <c r="P120" s="102">
        <v>36</v>
      </c>
      <c r="Q120" s="102">
        <v>352</v>
      </c>
      <c r="R120" s="102">
        <v>190</v>
      </c>
      <c r="S120" s="102">
        <v>3</v>
      </c>
      <c r="T120" s="102">
        <v>581</v>
      </c>
      <c r="U120" s="103">
        <v>6.1962134251290879E-2</v>
      </c>
      <c r="V120" s="103">
        <v>0.60585197934595525</v>
      </c>
      <c r="W120" s="103">
        <v>0.32702237521514632</v>
      </c>
      <c r="X120" s="103">
        <v>5.1635111876075735E-3</v>
      </c>
      <c r="Y120" s="104">
        <v>33.049913941480206</v>
      </c>
      <c r="Z120" s="101">
        <f t="shared" si="9"/>
        <v>0.6506024096385542</v>
      </c>
    </row>
    <row r="121" spans="1:26" x14ac:dyDescent="0.25">
      <c r="A121" s="100"/>
      <c r="B121" s="100"/>
      <c r="C121" s="100"/>
      <c r="D121" s="100">
        <v>7</v>
      </c>
      <c r="E121" s="100">
        <v>423</v>
      </c>
      <c r="F121" s="100">
        <v>26</v>
      </c>
      <c r="G121" s="100">
        <v>21</v>
      </c>
      <c r="H121" s="100">
        <v>375</v>
      </c>
      <c r="I121" s="100">
        <v>422</v>
      </c>
      <c r="J121" s="100">
        <v>1</v>
      </c>
      <c r="K121" s="100">
        <f t="shared" si="5"/>
        <v>423</v>
      </c>
      <c r="L121" s="100">
        <v>0</v>
      </c>
      <c r="M121" s="101">
        <f t="shared" si="6"/>
        <v>0.88652482269503541</v>
      </c>
      <c r="N121" s="101">
        <f t="shared" si="7"/>
        <v>4.9645390070921988E-2</v>
      </c>
      <c r="O121" s="101">
        <f t="shared" si="8"/>
        <v>6.1465721040189124E-2</v>
      </c>
      <c r="P121" s="102">
        <v>89</v>
      </c>
      <c r="Q121" s="102">
        <v>298</v>
      </c>
      <c r="R121" s="102">
        <v>193</v>
      </c>
      <c r="S121" s="102">
        <v>1</v>
      </c>
      <c r="T121" s="102">
        <v>581</v>
      </c>
      <c r="U121" s="103">
        <v>0.153184165232358</v>
      </c>
      <c r="V121" s="103">
        <v>0.5129087779690189</v>
      </c>
      <c r="W121" s="103">
        <v>0.33218588640275387</v>
      </c>
      <c r="X121" s="103">
        <v>1.7211703958691911E-3</v>
      </c>
      <c r="Y121" s="104">
        <v>23.802065404475044</v>
      </c>
      <c r="Z121" s="101">
        <f t="shared" si="9"/>
        <v>0.72805507745266784</v>
      </c>
    </row>
    <row r="122" spans="1:26" x14ac:dyDescent="0.25">
      <c r="A122" s="100">
        <v>21</v>
      </c>
      <c r="B122" s="100" t="s">
        <v>193</v>
      </c>
      <c r="C122" s="100" t="s">
        <v>194</v>
      </c>
      <c r="D122" s="100">
        <v>1</v>
      </c>
      <c r="E122" s="100">
        <v>292</v>
      </c>
      <c r="F122" s="100">
        <v>44</v>
      </c>
      <c r="G122" s="100">
        <v>26</v>
      </c>
      <c r="H122" s="100">
        <v>217</v>
      </c>
      <c r="I122" s="100">
        <v>287</v>
      </c>
      <c r="J122" s="100">
        <v>5</v>
      </c>
      <c r="K122" s="100">
        <f t="shared" si="5"/>
        <v>292</v>
      </c>
      <c r="L122" s="100">
        <v>0</v>
      </c>
      <c r="M122" s="101">
        <f t="shared" si="6"/>
        <v>0.74315068493150682</v>
      </c>
      <c r="N122" s="101">
        <f t="shared" si="7"/>
        <v>8.9041095890410954E-2</v>
      </c>
      <c r="O122" s="101">
        <f t="shared" si="8"/>
        <v>0.15068493150684931</v>
      </c>
      <c r="P122" s="102">
        <v>94</v>
      </c>
      <c r="Q122" s="102">
        <v>204</v>
      </c>
      <c r="R122" s="102">
        <v>77</v>
      </c>
      <c r="S122" s="102">
        <v>5</v>
      </c>
      <c r="T122" s="102">
        <v>380</v>
      </c>
      <c r="U122" s="103">
        <v>0.24736842105263157</v>
      </c>
      <c r="V122" s="103">
        <v>0.5368421052631579</v>
      </c>
      <c r="W122" s="103">
        <v>0.20263157894736841</v>
      </c>
      <c r="X122" s="103">
        <v>1.3157894736842105E-2</v>
      </c>
      <c r="Y122" s="104">
        <v>62.7</v>
      </c>
      <c r="Z122" s="101">
        <f t="shared" si="9"/>
        <v>0.76842105263157889</v>
      </c>
    </row>
    <row r="123" spans="1:26" x14ac:dyDescent="0.25">
      <c r="A123" s="100"/>
      <c r="B123" s="100"/>
      <c r="C123" s="100"/>
      <c r="D123" s="100">
        <v>2</v>
      </c>
      <c r="E123" s="100">
        <v>316</v>
      </c>
      <c r="F123" s="100">
        <v>56</v>
      </c>
      <c r="G123" s="100">
        <v>47</v>
      </c>
      <c r="H123" s="100">
        <v>208</v>
      </c>
      <c r="I123" s="100">
        <v>311</v>
      </c>
      <c r="J123" s="100">
        <v>5</v>
      </c>
      <c r="K123" s="100">
        <f t="shared" si="5"/>
        <v>316</v>
      </c>
      <c r="L123" s="100">
        <v>0</v>
      </c>
      <c r="M123" s="101">
        <f t="shared" si="6"/>
        <v>0.65822784810126578</v>
      </c>
      <c r="N123" s="101">
        <f t="shared" si="7"/>
        <v>0.14873417721518986</v>
      </c>
      <c r="O123" s="101">
        <f t="shared" si="8"/>
        <v>0.17721518987341772</v>
      </c>
      <c r="P123" s="102">
        <v>125</v>
      </c>
      <c r="Q123" s="102">
        <v>156</v>
      </c>
      <c r="R123" s="102">
        <v>97</v>
      </c>
      <c r="S123" s="102">
        <v>2</v>
      </c>
      <c r="T123" s="102">
        <v>380</v>
      </c>
      <c r="U123" s="103">
        <v>0.32894736842105265</v>
      </c>
      <c r="V123" s="103">
        <v>0.41052631578947368</v>
      </c>
      <c r="W123" s="103">
        <v>0.25526315789473686</v>
      </c>
      <c r="X123" s="103">
        <v>5.263157894736842E-3</v>
      </c>
      <c r="Y123" s="104">
        <v>56.744736842105262</v>
      </c>
      <c r="Z123" s="101">
        <f t="shared" si="9"/>
        <v>0.83157894736842108</v>
      </c>
    </row>
    <row r="124" spans="1:26" x14ac:dyDescent="0.25">
      <c r="A124" s="100"/>
      <c r="B124" s="100"/>
      <c r="C124" s="100"/>
      <c r="D124" s="100">
        <v>3</v>
      </c>
      <c r="E124" s="100">
        <v>306</v>
      </c>
      <c r="F124" s="100">
        <v>53</v>
      </c>
      <c r="G124" s="100">
        <v>54</v>
      </c>
      <c r="H124" s="100">
        <v>197</v>
      </c>
      <c r="I124" s="100">
        <v>304</v>
      </c>
      <c r="J124" s="100">
        <v>2</v>
      </c>
      <c r="K124" s="100">
        <f t="shared" si="5"/>
        <v>306</v>
      </c>
      <c r="L124" s="100">
        <v>0</v>
      </c>
      <c r="M124" s="101">
        <f t="shared" si="6"/>
        <v>0.64379084967320266</v>
      </c>
      <c r="N124" s="101">
        <f t="shared" si="7"/>
        <v>0.17647058823529413</v>
      </c>
      <c r="O124" s="101">
        <f t="shared" si="8"/>
        <v>0.17320261437908496</v>
      </c>
      <c r="P124" s="102">
        <v>153</v>
      </c>
      <c r="Q124" s="102">
        <v>145</v>
      </c>
      <c r="R124" s="102">
        <v>77</v>
      </c>
      <c r="S124" s="102">
        <v>5</v>
      </c>
      <c r="T124" s="102">
        <v>380</v>
      </c>
      <c r="U124" s="103">
        <v>0.4026315789473684</v>
      </c>
      <c r="V124" s="103">
        <v>0.38157894736842107</v>
      </c>
      <c r="W124" s="103">
        <v>0.20263157894736841</v>
      </c>
      <c r="X124" s="103">
        <v>1.3157894736842105E-2</v>
      </c>
      <c r="Y124" s="104">
        <v>49.215789473684211</v>
      </c>
      <c r="Z124" s="101">
        <f t="shared" si="9"/>
        <v>0.80526315789473679</v>
      </c>
    </row>
    <row r="125" spans="1:26" x14ac:dyDescent="0.25">
      <c r="A125" s="100"/>
      <c r="B125" s="100"/>
      <c r="C125" s="100"/>
      <c r="D125" s="100">
        <v>4</v>
      </c>
      <c r="E125" s="100">
        <v>436</v>
      </c>
      <c r="F125" s="100">
        <v>66</v>
      </c>
      <c r="G125" s="100">
        <v>55</v>
      </c>
      <c r="H125" s="100">
        <v>315</v>
      </c>
      <c r="I125" s="100">
        <v>436</v>
      </c>
      <c r="J125" s="100">
        <v>0</v>
      </c>
      <c r="K125" s="100">
        <f t="shared" si="5"/>
        <v>436</v>
      </c>
      <c r="L125" s="100">
        <v>0</v>
      </c>
      <c r="M125" s="101">
        <f t="shared" si="6"/>
        <v>0.72247706422018354</v>
      </c>
      <c r="N125" s="101">
        <f t="shared" si="7"/>
        <v>0.12614678899082568</v>
      </c>
      <c r="O125" s="101">
        <f t="shared" si="8"/>
        <v>0.15137614678899083</v>
      </c>
      <c r="P125" s="102">
        <v>195</v>
      </c>
      <c r="Q125" s="102">
        <v>294</v>
      </c>
      <c r="R125" s="102">
        <v>124</v>
      </c>
      <c r="S125" s="102">
        <v>7</v>
      </c>
      <c r="T125" s="102">
        <v>620</v>
      </c>
      <c r="U125" s="103">
        <v>0.31451612903225806</v>
      </c>
      <c r="V125" s="103">
        <v>0.47419354838709676</v>
      </c>
      <c r="W125" s="103">
        <v>0.2</v>
      </c>
      <c r="X125" s="103">
        <v>1.1290322580645161E-2</v>
      </c>
      <c r="Y125" s="104">
        <v>40.11451612903226</v>
      </c>
      <c r="Z125" s="101">
        <f t="shared" si="9"/>
        <v>0.70322580645161292</v>
      </c>
    </row>
    <row r="126" spans="1:26" x14ac:dyDescent="0.25">
      <c r="A126" s="100"/>
      <c r="B126" s="100"/>
      <c r="C126" s="100"/>
      <c r="D126" s="100">
        <v>5</v>
      </c>
      <c r="E126" s="100">
        <v>433</v>
      </c>
      <c r="F126" s="100">
        <v>62</v>
      </c>
      <c r="G126" s="100">
        <v>70</v>
      </c>
      <c r="H126" s="100">
        <v>301</v>
      </c>
      <c r="I126" s="100">
        <v>433</v>
      </c>
      <c r="J126" s="100">
        <v>0</v>
      </c>
      <c r="K126" s="100">
        <f t="shared" si="5"/>
        <v>433</v>
      </c>
      <c r="L126" s="100">
        <v>0</v>
      </c>
      <c r="M126" s="101">
        <f t="shared" si="6"/>
        <v>0.69515011547344108</v>
      </c>
      <c r="N126" s="101">
        <f t="shared" si="7"/>
        <v>0.16166281755196305</v>
      </c>
      <c r="O126" s="101">
        <f t="shared" si="8"/>
        <v>0.14318706697459585</v>
      </c>
      <c r="P126" s="102">
        <v>239</v>
      </c>
      <c r="Q126" s="102">
        <v>246</v>
      </c>
      <c r="R126" s="102">
        <v>129</v>
      </c>
      <c r="S126" s="102">
        <v>6</v>
      </c>
      <c r="T126" s="102">
        <v>620</v>
      </c>
      <c r="U126" s="103">
        <v>0.38548387096774195</v>
      </c>
      <c r="V126" s="103">
        <v>0.39677419354838711</v>
      </c>
      <c r="W126" s="103">
        <v>0.20806451612903226</v>
      </c>
      <c r="X126" s="103">
        <v>9.6774193548387101E-3</v>
      </c>
      <c r="Y126" s="104">
        <v>31.020967741935483</v>
      </c>
      <c r="Z126" s="101">
        <f t="shared" si="9"/>
        <v>0.69838709677419353</v>
      </c>
    </row>
    <row r="127" spans="1:26" x14ac:dyDescent="0.25">
      <c r="A127" s="100"/>
      <c r="B127" s="100"/>
      <c r="C127" s="100"/>
      <c r="D127" s="100">
        <v>6</v>
      </c>
      <c r="E127" s="100">
        <v>468</v>
      </c>
      <c r="F127" s="100">
        <v>58</v>
      </c>
      <c r="G127" s="100">
        <v>108</v>
      </c>
      <c r="H127" s="100">
        <v>301</v>
      </c>
      <c r="I127" s="100">
        <v>467</v>
      </c>
      <c r="J127" s="100">
        <v>1</v>
      </c>
      <c r="K127" s="100">
        <f t="shared" si="5"/>
        <v>468</v>
      </c>
      <c r="L127" s="100">
        <v>0</v>
      </c>
      <c r="M127" s="101">
        <f t="shared" si="6"/>
        <v>0.64316239316239321</v>
      </c>
      <c r="N127" s="101">
        <f t="shared" si="7"/>
        <v>0.23076923076923078</v>
      </c>
      <c r="O127" s="101">
        <f t="shared" si="8"/>
        <v>0.12393162393162394</v>
      </c>
      <c r="P127" s="102">
        <v>307</v>
      </c>
      <c r="Q127" s="102">
        <v>189</v>
      </c>
      <c r="R127" s="102">
        <v>122</v>
      </c>
      <c r="S127" s="102">
        <v>2</v>
      </c>
      <c r="T127" s="102">
        <v>620</v>
      </c>
      <c r="U127" s="103">
        <v>0.49516129032258066</v>
      </c>
      <c r="V127" s="103">
        <v>0.30483870967741933</v>
      </c>
      <c r="W127" s="103">
        <v>0.1967741935483871</v>
      </c>
      <c r="X127" s="103">
        <v>3.2258064516129032E-3</v>
      </c>
      <c r="Y127" s="104">
        <v>26.414516129032258</v>
      </c>
      <c r="Z127" s="101">
        <f t="shared" si="9"/>
        <v>0.75483870967741939</v>
      </c>
    </row>
    <row r="128" spans="1:26" x14ac:dyDescent="0.25">
      <c r="A128" s="100"/>
      <c r="B128" s="100"/>
      <c r="C128" s="100"/>
      <c r="D128" s="100">
        <v>7</v>
      </c>
      <c r="E128" s="100">
        <v>478</v>
      </c>
      <c r="F128" s="100">
        <v>60</v>
      </c>
      <c r="G128" s="100">
        <v>115</v>
      </c>
      <c r="H128" s="100">
        <v>300</v>
      </c>
      <c r="I128" s="100">
        <v>475</v>
      </c>
      <c r="J128" s="100">
        <v>3</v>
      </c>
      <c r="K128" s="100">
        <f t="shared" si="5"/>
        <v>478</v>
      </c>
      <c r="L128" s="100">
        <v>0</v>
      </c>
      <c r="M128" s="101">
        <f t="shared" si="6"/>
        <v>0.62761506276150625</v>
      </c>
      <c r="N128" s="101">
        <f t="shared" si="7"/>
        <v>0.2405857740585774</v>
      </c>
      <c r="O128" s="101">
        <f t="shared" si="8"/>
        <v>0.12552301255230125</v>
      </c>
      <c r="P128" s="102">
        <v>334</v>
      </c>
      <c r="Q128" s="102">
        <v>172</v>
      </c>
      <c r="R128" s="102">
        <v>113</v>
      </c>
      <c r="S128" s="102">
        <v>1</v>
      </c>
      <c r="T128" s="102">
        <v>620</v>
      </c>
      <c r="U128" s="103">
        <v>0.53870967741935483</v>
      </c>
      <c r="V128" s="103">
        <v>0.27741935483870966</v>
      </c>
      <c r="W128" s="103">
        <v>0.18225806451612903</v>
      </c>
      <c r="X128" s="103">
        <v>1.6129032258064516E-3</v>
      </c>
      <c r="Y128" s="104">
        <v>22.995161290322581</v>
      </c>
      <c r="Z128" s="101">
        <f t="shared" si="9"/>
        <v>0.7709677419354839</v>
      </c>
    </row>
    <row r="129" spans="1:26" x14ac:dyDescent="0.25">
      <c r="A129" s="100"/>
      <c r="B129" s="100"/>
      <c r="C129" s="100"/>
      <c r="D129" s="100">
        <v>8</v>
      </c>
      <c r="E129" s="100">
        <v>470</v>
      </c>
      <c r="F129" s="100">
        <v>62</v>
      </c>
      <c r="G129" s="100">
        <v>132</v>
      </c>
      <c r="H129" s="100">
        <v>273</v>
      </c>
      <c r="I129" s="100">
        <v>467</v>
      </c>
      <c r="J129" s="100">
        <v>3</v>
      </c>
      <c r="K129" s="100">
        <f t="shared" si="5"/>
        <v>470</v>
      </c>
      <c r="L129" s="100">
        <v>0</v>
      </c>
      <c r="M129" s="101">
        <f t="shared" si="6"/>
        <v>0.58085106382978724</v>
      </c>
      <c r="N129" s="101">
        <f t="shared" si="7"/>
        <v>0.28085106382978725</v>
      </c>
      <c r="O129" s="101">
        <f t="shared" si="8"/>
        <v>0.13191489361702127</v>
      </c>
      <c r="P129" s="102">
        <v>339</v>
      </c>
      <c r="Q129" s="102">
        <v>176</v>
      </c>
      <c r="R129" s="102">
        <v>105</v>
      </c>
      <c r="S129" s="102">
        <v>0</v>
      </c>
      <c r="T129" s="102">
        <v>620</v>
      </c>
      <c r="U129" s="103">
        <v>0.54677419354838708</v>
      </c>
      <c r="V129" s="103">
        <v>0.28387096774193549</v>
      </c>
      <c r="W129" s="103">
        <v>0.16935483870967741</v>
      </c>
      <c r="X129" s="103">
        <v>0</v>
      </c>
      <c r="Y129" s="104">
        <v>19.614516129032257</v>
      </c>
      <c r="Z129" s="101">
        <f t="shared" si="9"/>
        <v>0.75806451612903225</v>
      </c>
    </row>
    <row r="130" spans="1:26" x14ac:dyDescent="0.25">
      <c r="A130" s="100"/>
      <c r="B130" s="100"/>
      <c r="C130" s="100" t="s">
        <v>195</v>
      </c>
      <c r="D130" s="100">
        <v>1</v>
      </c>
      <c r="E130" s="100">
        <v>278</v>
      </c>
      <c r="F130" s="100">
        <v>53</v>
      </c>
      <c r="G130" s="100">
        <v>21</v>
      </c>
      <c r="H130" s="100">
        <v>202</v>
      </c>
      <c r="I130" s="100">
        <v>276</v>
      </c>
      <c r="J130" s="100">
        <v>2</v>
      </c>
      <c r="K130" s="100">
        <f t="shared" si="5"/>
        <v>278</v>
      </c>
      <c r="L130" s="100">
        <v>0</v>
      </c>
      <c r="M130" s="101">
        <f t="shared" si="6"/>
        <v>0.72661870503597126</v>
      </c>
      <c r="N130" s="101">
        <f t="shared" si="7"/>
        <v>7.5539568345323743E-2</v>
      </c>
      <c r="O130" s="101">
        <f t="shared" si="8"/>
        <v>0.1906474820143885</v>
      </c>
      <c r="P130" s="102">
        <v>103</v>
      </c>
      <c r="Q130" s="102">
        <v>208</v>
      </c>
      <c r="R130" s="102">
        <v>58</v>
      </c>
      <c r="S130" s="102">
        <v>1</v>
      </c>
      <c r="T130" s="102">
        <v>370</v>
      </c>
      <c r="U130" s="103">
        <v>0.27837837837837837</v>
      </c>
      <c r="V130" s="103">
        <v>0.56216216216216219</v>
      </c>
      <c r="W130" s="103">
        <v>0.15675675675675677</v>
      </c>
      <c r="X130" s="103">
        <v>2.7027027027027029E-3</v>
      </c>
      <c r="Y130" s="104">
        <v>65.229729729729726</v>
      </c>
      <c r="Z130" s="101">
        <f t="shared" si="9"/>
        <v>0.75135135135135134</v>
      </c>
    </row>
    <row r="131" spans="1:26" x14ac:dyDescent="0.25">
      <c r="A131" s="100"/>
      <c r="B131" s="100"/>
      <c r="C131" s="100"/>
      <c r="D131" s="100">
        <v>2</v>
      </c>
      <c r="E131" s="100">
        <v>312</v>
      </c>
      <c r="F131" s="100">
        <v>58</v>
      </c>
      <c r="G131" s="100">
        <v>45</v>
      </c>
      <c r="H131" s="100">
        <v>209</v>
      </c>
      <c r="I131" s="100">
        <v>312</v>
      </c>
      <c r="J131" s="100">
        <v>0</v>
      </c>
      <c r="K131" s="100">
        <f t="shared" ref="K131:K194" si="10">J131+I131</f>
        <v>312</v>
      </c>
      <c r="L131" s="100">
        <v>0</v>
      </c>
      <c r="M131" s="101">
        <f t="shared" ref="M131:M194" si="11">H131/K131</f>
        <v>0.66987179487179482</v>
      </c>
      <c r="N131" s="101">
        <f t="shared" ref="N131:N194" si="12">G131/K131</f>
        <v>0.14423076923076922</v>
      </c>
      <c r="O131" s="101">
        <f t="shared" ref="O131:O194" si="13">F131/K131</f>
        <v>0.1858974358974359</v>
      </c>
      <c r="P131" s="102">
        <v>134</v>
      </c>
      <c r="Q131" s="102">
        <v>163</v>
      </c>
      <c r="R131" s="102">
        <v>71</v>
      </c>
      <c r="S131" s="102">
        <v>2</v>
      </c>
      <c r="T131" s="102">
        <v>370</v>
      </c>
      <c r="U131" s="103">
        <v>0.36216216216216218</v>
      </c>
      <c r="V131" s="103">
        <v>0.44054054054054054</v>
      </c>
      <c r="W131" s="103">
        <v>0.1918918918918919</v>
      </c>
      <c r="X131" s="103">
        <v>5.4054054054054057E-3</v>
      </c>
      <c r="Y131" s="104">
        <v>56.697297297297297</v>
      </c>
      <c r="Z131" s="101">
        <f t="shared" ref="Z131:Z194" si="14">K131/T131</f>
        <v>0.84324324324324329</v>
      </c>
    </row>
    <row r="132" spans="1:26" x14ac:dyDescent="0.25">
      <c r="A132" s="100"/>
      <c r="B132" s="100"/>
      <c r="C132" s="100"/>
      <c r="D132" s="100">
        <v>3</v>
      </c>
      <c r="E132" s="100">
        <v>306</v>
      </c>
      <c r="F132" s="100">
        <v>33</v>
      </c>
      <c r="G132" s="100">
        <v>45</v>
      </c>
      <c r="H132" s="100">
        <v>225</v>
      </c>
      <c r="I132" s="100">
        <v>303</v>
      </c>
      <c r="J132" s="100">
        <v>1</v>
      </c>
      <c r="K132" s="100">
        <f t="shared" si="10"/>
        <v>304</v>
      </c>
      <c r="L132" s="100">
        <v>2</v>
      </c>
      <c r="M132" s="101">
        <f t="shared" si="11"/>
        <v>0.74013157894736847</v>
      </c>
      <c r="N132" s="101">
        <f t="shared" si="12"/>
        <v>0.14802631578947367</v>
      </c>
      <c r="O132" s="101">
        <f t="shared" si="13"/>
        <v>0.10855263157894737</v>
      </c>
      <c r="P132" s="102">
        <v>115</v>
      </c>
      <c r="Q132" s="102">
        <v>189</v>
      </c>
      <c r="R132" s="102">
        <v>63</v>
      </c>
      <c r="S132" s="102">
        <v>3</v>
      </c>
      <c r="T132" s="102">
        <v>370</v>
      </c>
      <c r="U132" s="103">
        <v>0.3108108108108108</v>
      </c>
      <c r="V132" s="103">
        <v>0.51081081081081081</v>
      </c>
      <c r="W132" s="103">
        <v>0.17027027027027028</v>
      </c>
      <c r="X132" s="103">
        <v>8.1081081081081086E-3</v>
      </c>
      <c r="Y132" s="104">
        <v>49.508108108108111</v>
      </c>
      <c r="Z132" s="101">
        <f t="shared" si="14"/>
        <v>0.82162162162162167</v>
      </c>
    </row>
    <row r="133" spans="1:26" x14ac:dyDescent="0.25">
      <c r="A133" s="100"/>
      <c r="B133" s="100"/>
      <c r="C133" s="100"/>
      <c r="D133" s="100">
        <v>4</v>
      </c>
      <c r="E133" s="100">
        <v>477</v>
      </c>
      <c r="F133" s="100">
        <v>55</v>
      </c>
      <c r="G133" s="100">
        <v>73</v>
      </c>
      <c r="H133" s="100">
        <v>348</v>
      </c>
      <c r="I133" s="100">
        <v>476</v>
      </c>
      <c r="J133" s="100">
        <v>1</v>
      </c>
      <c r="K133" s="100">
        <f t="shared" si="10"/>
        <v>477</v>
      </c>
      <c r="L133" s="100">
        <v>0</v>
      </c>
      <c r="M133" s="101">
        <f t="shared" si="11"/>
        <v>0.72955974842767291</v>
      </c>
      <c r="N133" s="101">
        <f t="shared" si="12"/>
        <v>0.15303983228511531</v>
      </c>
      <c r="O133" s="101">
        <f t="shared" si="13"/>
        <v>0.11530398322851153</v>
      </c>
      <c r="P133" s="102">
        <v>195</v>
      </c>
      <c r="Q133" s="102">
        <v>351</v>
      </c>
      <c r="R133" s="102">
        <v>90</v>
      </c>
      <c r="S133" s="102">
        <v>3</v>
      </c>
      <c r="T133" s="102">
        <v>639</v>
      </c>
      <c r="U133" s="103">
        <v>0.30516431924882631</v>
      </c>
      <c r="V133" s="103">
        <v>0.54929577464788737</v>
      </c>
      <c r="W133" s="103">
        <v>0.14084507042253522</v>
      </c>
      <c r="X133" s="103">
        <v>4.6948356807511738E-3</v>
      </c>
      <c r="Y133" s="104">
        <v>41.625978090766822</v>
      </c>
      <c r="Z133" s="101">
        <f t="shared" si="14"/>
        <v>0.74647887323943662</v>
      </c>
    </row>
    <row r="134" spans="1:26" x14ac:dyDescent="0.25">
      <c r="A134" s="100"/>
      <c r="B134" s="100"/>
      <c r="C134" s="100"/>
      <c r="D134" s="100">
        <v>5</v>
      </c>
      <c r="E134" s="100">
        <v>444</v>
      </c>
      <c r="F134" s="100">
        <v>66</v>
      </c>
      <c r="G134" s="100">
        <v>75</v>
      </c>
      <c r="H134" s="100">
        <v>303</v>
      </c>
      <c r="I134" s="100">
        <v>444</v>
      </c>
      <c r="J134" s="100">
        <v>0</v>
      </c>
      <c r="K134" s="100">
        <f t="shared" si="10"/>
        <v>444</v>
      </c>
      <c r="L134" s="100">
        <v>0</v>
      </c>
      <c r="M134" s="101">
        <f t="shared" si="11"/>
        <v>0.68243243243243246</v>
      </c>
      <c r="N134" s="101">
        <f t="shared" si="12"/>
        <v>0.16891891891891891</v>
      </c>
      <c r="O134" s="101">
        <f t="shared" si="13"/>
        <v>0.14864864864864866</v>
      </c>
      <c r="P134" s="102">
        <v>267</v>
      </c>
      <c r="Q134" s="102">
        <v>297</v>
      </c>
      <c r="R134" s="102">
        <v>75</v>
      </c>
      <c r="S134" s="102">
        <v>1</v>
      </c>
      <c r="T134" s="102">
        <v>640</v>
      </c>
      <c r="U134" s="103">
        <v>0.41718749999999999</v>
      </c>
      <c r="V134" s="103">
        <v>0.46406249999999999</v>
      </c>
      <c r="W134" s="103">
        <v>0.1171875</v>
      </c>
      <c r="X134" s="103">
        <v>1.5625000000000001E-3</v>
      </c>
      <c r="Y134" s="104">
        <v>32.259374999999999</v>
      </c>
      <c r="Z134" s="101">
        <f t="shared" si="14"/>
        <v>0.69374999999999998</v>
      </c>
    </row>
    <row r="135" spans="1:26" x14ac:dyDescent="0.25">
      <c r="A135" s="100"/>
      <c r="B135" s="100"/>
      <c r="C135" s="100"/>
      <c r="D135" s="100">
        <v>6</v>
      </c>
      <c r="E135" s="100">
        <v>463</v>
      </c>
      <c r="F135" s="100">
        <v>63</v>
      </c>
      <c r="G135" s="100">
        <v>84</v>
      </c>
      <c r="H135" s="100">
        <v>316</v>
      </c>
      <c r="I135" s="100">
        <v>463</v>
      </c>
      <c r="J135" s="100">
        <v>0</v>
      </c>
      <c r="K135" s="100">
        <f t="shared" si="10"/>
        <v>463</v>
      </c>
      <c r="L135" s="100">
        <v>0</v>
      </c>
      <c r="M135" s="101">
        <f t="shared" si="11"/>
        <v>0.68250539956803458</v>
      </c>
      <c r="N135" s="101">
        <f t="shared" si="12"/>
        <v>0.18142548596112312</v>
      </c>
      <c r="O135" s="101">
        <f t="shared" si="13"/>
        <v>0.13606911447084233</v>
      </c>
      <c r="P135" s="102">
        <v>295</v>
      </c>
      <c r="Q135" s="102">
        <v>263</v>
      </c>
      <c r="R135" s="102">
        <v>82</v>
      </c>
      <c r="S135" s="102">
        <v>0</v>
      </c>
      <c r="T135" s="102">
        <v>640</v>
      </c>
      <c r="U135" s="103">
        <v>0.4609375</v>
      </c>
      <c r="V135" s="103">
        <v>0.41093750000000001</v>
      </c>
      <c r="W135" s="103">
        <v>0.12812499999999999</v>
      </c>
      <c r="X135" s="103">
        <v>0</v>
      </c>
      <c r="Y135" s="104">
        <v>25.134374999999999</v>
      </c>
      <c r="Z135" s="101">
        <f t="shared" si="14"/>
        <v>0.72343749999999996</v>
      </c>
    </row>
    <row r="136" spans="1:26" x14ac:dyDescent="0.25">
      <c r="A136" s="100"/>
      <c r="B136" s="100"/>
      <c r="C136" s="100"/>
      <c r="D136" s="100">
        <v>7</v>
      </c>
      <c r="E136" s="100">
        <v>482</v>
      </c>
      <c r="F136" s="100">
        <v>70</v>
      </c>
      <c r="G136" s="100">
        <v>111</v>
      </c>
      <c r="H136" s="100">
        <v>301</v>
      </c>
      <c r="I136" s="100">
        <v>482</v>
      </c>
      <c r="J136" s="100">
        <v>0</v>
      </c>
      <c r="K136" s="100">
        <f t="shared" si="10"/>
        <v>482</v>
      </c>
      <c r="L136" s="100">
        <v>0</v>
      </c>
      <c r="M136" s="101">
        <f t="shared" si="11"/>
        <v>0.62448132780082988</v>
      </c>
      <c r="N136" s="101">
        <f t="shared" si="12"/>
        <v>0.23029045643153526</v>
      </c>
      <c r="O136" s="101">
        <f t="shared" si="13"/>
        <v>0.14522821576763487</v>
      </c>
      <c r="P136" s="102">
        <v>300</v>
      </c>
      <c r="Q136" s="102">
        <v>251</v>
      </c>
      <c r="R136" s="102">
        <v>88</v>
      </c>
      <c r="S136" s="102">
        <v>1</v>
      </c>
      <c r="T136" s="102">
        <v>640</v>
      </c>
      <c r="U136" s="103">
        <v>0.46875</v>
      </c>
      <c r="V136" s="103">
        <v>0.39218750000000002</v>
      </c>
      <c r="W136" s="103">
        <v>0.13750000000000001</v>
      </c>
      <c r="X136" s="103">
        <v>1.5625000000000001E-3</v>
      </c>
      <c r="Y136" s="104">
        <v>20.160937499999999</v>
      </c>
      <c r="Z136" s="101">
        <f t="shared" si="14"/>
        <v>0.75312500000000004</v>
      </c>
    </row>
    <row r="137" spans="1:26" x14ac:dyDescent="0.25">
      <c r="A137" s="100">
        <v>21</v>
      </c>
      <c r="B137" s="100" t="s">
        <v>193</v>
      </c>
      <c r="C137" s="100" t="s">
        <v>196</v>
      </c>
      <c r="D137" s="100">
        <v>1</v>
      </c>
      <c r="E137" s="100">
        <v>280</v>
      </c>
      <c r="F137" s="100">
        <v>31</v>
      </c>
      <c r="G137" s="100">
        <v>12</v>
      </c>
      <c r="H137" s="100">
        <v>235</v>
      </c>
      <c r="I137" s="100">
        <v>278</v>
      </c>
      <c r="J137" s="100">
        <v>2</v>
      </c>
      <c r="K137" s="100">
        <f t="shared" si="10"/>
        <v>280</v>
      </c>
      <c r="L137" s="100">
        <v>0</v>
      </c>
      <c r="M137" s="101">
        <f t="shared" si="11"/>
        <v>0.8392857142857143</v>
      </c>
      <c r="N137" s="101">
        <f t="shared" si="12"/>
        <v>4.2857142857142858E-2</v>
      </c>
      <c r="O137" s="101">
        <f t="shared" si="13"/>
        <v>0.11071428571428571</v>
      </c>
      <c r="P137" s="102">
        <v>69</v>
      </c>
      <c r="Q137" s="102">
        <v>241</v>
      </c>
      <c r="R137" s="102">
        <v>66</v>
      </c>
      <c r="S137" s="102">
        <v>4</v>
      </c>
      <c r="T137" s="102">
        <v>380</v>
      </c>
      <c r="U137" s="103">
        <v>0.18157894736842106</v>
      </c>
      <c r="V137" s="103">
        <v>0.63421052631578945</v>
      </c>
      <c r="W137" s="103">
        <v>0.1736842105263158</v>
      </c>
      <c r="X137" s="103">
        <v>1.0526315789473684E-2</v>
      </c>
      <c r="Y137" s="104">
        <v>66.918421052631572</v>
      </c>
      <c r="Z137" s="101">
        <f t="shared" si="14"/>
        <v>0.73684210526315785</v>
      </c>
    </row>
    <row r="138" spans="1:26" x14ac:dyDescent="0.25">
      <c r="A138" s="100"/>
      <c r="B138" s="100"/>
      <c r="C138" s="100"/>
      <c r="D138" s="100">
        <v>2</v>
      </c>
      <c r="E138" s="100">
        <v>318</v>
      </c>
      <c r="F138" s="100">
        <v>53</v>
      </c>
      <c r="G138" s="100">
        <v>29</v>
      </c>
      <c r="H138" s="100">
        <v>235</v>
      </c>
      <c r="I138" s="100">
        <v>317</v>
      </c>
      <c r="J138" s="100">
        <v>1</v>
      </c>
      <c r="K138" s="100">
        <f t="shared" si="10"/>
        <v>318</v>
      </c>
      <c r="L138" s="100">
        <v>0</v>
      </c>
      <c r="M138" s="101">
        <f t="shared" si="11"/>
        <v>0.73899371069182385</v>
      </c>
      <c r="N138" s="101">
        <f t="shared" si="12"/>
        <v>9.1194968553459113E-2</v>
      </c>
      <c r="O138" s="101">
        <f t="shared" si="13"/>
        <v>0.16666666666666666</v>
      </c>
      <c r="P138" s="102">
        <v>109</v>
      </c>
      <c r="Q138" s="102">
        <v>207</v>
      </c>
      <c r="R138" s="102">
        <v>61</v>
      </c>
      <c r="S138" s="102">
        <v>3</v>
      </c>
      <c r="T138" s="102">
        <v>380</v>
      </c>
      <c r="U138" s="103">
        <v>0.2868421052631579</v>
      </c>
      <c r="V138" s="103">
        <v>0.54473684210526319</v>
      </c>
      <c r="W138" s="103">
        <v>0.16052631578947368</v>
      </c>
      <c r="X138" s="103">
        <v>7.8947368421052634E-3</v>
      </c>
      <c r="Y138" s="104">
        <v>60.231578947368419</v>
      </c>
      <c r="Z138" s="101">
        <f t="shared" si="14"/>
        <v>0.83684210526315794</v>
      </c>
    </row>
    <row r="139" spans="1:26" x14ac:dyDescent="0.25">
      <c r="A139" s="100"/>
      <c r="B139" s="100"/>
      <c r="C139" s="100"/>
      <c r="D139" s="100">
        <v>3</v>
      </c>
      <c r="E139" s="100">
        <v>335</v>
      </c>
      <c r="F139" s="100">
        <v>41</v>
      </c>
      <c r="G139" s="100">
        <v>29</v>
      </c>
      <c r="H139" s="100">
        <v>265</v>
      </c>
      <c r="I139" s="100">
        <v>335</v>
      </c>
      <c r="J139" s="100">
        <v>0</v>
      </c>
      <c r="K139" s="100">
        <f t="shared" si="10"/>
        <v>335</v>
      </c>
      <c r="L139" s="100">
        <v>0</v>
      </c>
      <c r="M139" s="101">
        <f t="shared" si="11"/>
        <v>0.79104477611940294</v>
      </c>
      <c r="N139" s="101">
        <f t="shared" si="12"/>
        <v>8.6567164179104483E-2</v>
      </c>
      <c r="O139" s="101">
        <f t="shared" si="13"/>
        <v>0.12238805970149254</v>
      </c>
      <c r="P139" s="102">
        <v>90</v>
      </c>
      <c r="Q139" s="102">
        <v>229</v>
      </c>
      <c r="R139" s="102">
        <v>59</v>
      </c>
      <c r="S139" s="102">
        <v>2</v>
      </c>
      <c r="T139" s="102">
        <v>380</v>
      </c>
      <c r="U139" s="103">
        <v>0.23684210526315788</v>
      </c>
      <c r="V139" s="103">
        <v>0.60263157894736841</v>
      </c>
      <c r="W139" s="103">
        <v>0.15526315789473685</v>
      </c>
      <c r="X139" s="103">
        <v>5.263157894736842E-3</v>
      </c>
      <c r="Y139" s="104">
        <v>53.69736842105263</v>
      </c>
      <c r="Z139" s="101">
        <f t="shared" si="14"/>
        <v>0.88157894736842102</v>
      </c>
    </row>
    <row r="140" spans="1:26" x14ac:dyDescent="0.25">
      <c r="A140" s="100"/>
      <c r="B140" s="100"/>
      <c r="C140" s="100"/>
      <c r="D140" s="100">
        <v>4</v>
      </c>
      <c r="E140" s="100">
        <v>499</v>
      </c>
      <c r="F140" s="100">
        <v>46</v>
      </c>
      <c r="G140" s="100">
        <v>60</v>
      </c>
      <c r="H140" s="100">
        <v>392</v>
      </c>
      <c r="I140" s="100">
        <v>498</v>
      </c>
      <c r="J140" s="100">
        <v>1</v>
      </c>
      <c r="K140" s="100">
        <f t="shared" si="10"/>
        <v>499</v>
      </c>
      <c r="L140" s="100">
        <v>0</v>
      </c>
      <c r="M140" s="101">
        <f t="shared" si="11"/>
        <v>0.78557114228456915</v>
      </c>
      <c r="N140" s="101">
        <f t="shared" si="12"/>
        <v>0.12024048096192384</v>
      </c>
      <c r="O140" s="101">
        <f t="shared" si="13"/>
        <v>9.2184368737474945E-2</v>
      </c>
      <c r="P140" s="102">
        <v>161</v>
      </c>
      <c r="Q140" s="102">
        <v>365</v>
      </c>
      <c r="R140" s="102">
        <v>140</v>
      </c>
      <c r="S140" s="102">
        <v>4</v>
      </c>
      <c r="T140" s="102">
        <v>670</v>
      </c>
      <c r="U140" s="103">
        <v>0.24029850746268658</v>
      </c>
      <c r="V140" s="103">
        <v>0.54477611940298509</v>
      </c>
      <c r="W140" s="103">
        <v>0.20895522388059701</v>
      </c>
      <c r="X140" s="103">
        <v>5.9701492537313433E-3</v>
      </c>
      <c r="Y140" s="104">
        <v>45.623880597014924</v>
      </c>
      <c r="Z140" s="101">
        <f t="shared" si="14"/>
        <v>0.74477611940298505</v>
      </c>
    </row>
    <row r="141" spans="1:26" x14ac:dyDescent="0.25">
      <c r="A141" s="100"/>
      <c r="B141" s="100"/>
      <c r="C141" s="100"/>
      <c r="D141" s="100">
        <v>5</v>
      </c>
      <c r="E141" s="100">
        <v>433</v>
      </c>
      <c r="F141" s="100">
        <v>60</v>
      </c>
      <c r="G141" s="100">
        <v>77</v>
      </c>
      <c r="H141" s="100">
        <v>296</v>
      </c>
      <c r="I141" s="100">
        <v>433</v>
      </c>
      <c r="J141" s="100">
        <v>0</v>
      </c>
      <c r="K141" s="100">
        <f t="shared" si="10"/>
        <v>433</v>
      </c>
      <c r="L141" s="100">
        <v>0</v>
      </c>
      <c r="M141" s="101">
        <f t="shared" si="11"/>
        <v>0.68360277136258663</v>
      </c>
      <c r="N141" s="101">
        <f t="shared" si="12"/>
        <v>0.17782909930715934</v>
      </c>
      <c r="O141" s="101">
        <f t="shared" si="13"/>
        <v>0.13856812933025403</v>
      </c>
      <c r="P141" s="102">
        <v>255</v>
      </c>
      <c r="Q141" s="102">
        <v>313</v>
      </c>
      <c r="R141" s="102">
        <v>100</v>
      </c>
      <c r="S141" s="102">
        <v>2</v>
      </c>
      <c r="T141" s="102">
        <v>670</v>
      </c>
      <c r="U141" s="103">
        <v>0.38059701492537312</v>
      </c>
      <c r="V141" s="103">
        <v>0.46716417910447761</v>
      </c>
      <c r="W141" s="103">
        <v>0.14925373134328357</v>
      </c>
      <c r="X141" s="103">
        <v>2.9850746268656717E-3</v>
      </c>
      <c r="Y141" s="104">
        <v>34.949253731343283</v>
      </c>
      <c r="Z141" s="101">
        <f t="shared" si="14"/>
        <v>0.64626865671641787</v>
      </c>
    </row>
    <row r="142" spans="1:26" x14ac:dyDescent="0.25">
      <c r="A142" s="100"/>
      <c r="B142" s="100"/>
      <c r="C142" s="100"/>
      <c r="D142" s="100">
        <v>6</v>
      </c>
      <c r="E142" s="100">
        <v>464</v>
      </c>
      <c r="F142" s="100">
        <v>59</v>
      </c>
      <c r="G142" s="100">
        <v>68</v>
      </c>
      <c r="H142" s="100">
        <v>333</v>
      </c>
      <c r="I142" s="100">
        <v>460</v>
      </c>
      <c r="J142" s="100">
        <v>4</v>
      </c>
      <c r="K142" s="100">
        <f t="shared" si="10"/>
        <v>464</v>
      </c>
      <c r="L142" s="100">
        <v>0</v>
      </c>
      <c r="M142" s="101">
        <f t="shared" si="11"/>
        <v>0.71767241379310343</v>
      </c>
      <c r="N142" s="101">
        <f t="shared" si="12"/>
        <v>0.14655172413793102</v>
      </c>
      <c r="O142" s="101">
        <f t="shared" si="13"/>
        <v>0.12715517241379309</v>
      </c>
      <c r="P142" s="102">
        <v>252</v>
      </c>
      <c r="Q142" s="102">
        <v>297</v>
      </c>
      <c r="R142" s="102">
        <v>121</v>
      </c>
      <c r="S142" s="102">
        <v>2</v>
      </c>
      <c r="T142" s="102">
        <v>672</v>
      </c>
      <c r="U142" s="103">
        <v>0.375</v>
      </c>
      <c r="V142" s="103">
        <v>0.4419642857142857</v>
      </c>
      <c r="W142" s="103">
        <v>0.18005952380952381</v>
      </c>
      <c r="X142" s="103">
        <v>2.976190476190476E-3</v>
      </c>
      <c r="Y142" s="104">
        <v>28.15029761904762</v>
      </c>
      <c r="Z142" s="101">
        <f t="shared" si="14"/>
        <v>0.69047619047619047</v>
      </c>
    </row>
    <row r="143" spans="1:26" x14ac:dyDescent="0.25">
      <c r="A143" s="100"/>
      <c r="B143" s="100"/>
      <c r="C143" s="100"/>
      <c r="D143" s="100">
        <v>7</v>
      </c>
      <c r="E143" s="100">
        <v>496</v>
      </c>
      <c r="F143" s="100">
        <v>54</v>
      </c>
      <c r="G143" s="100">
        <v>71</v>
      </c>
      <c r="H143" s="100">
        <v>371</v>
      </c>
      <c r="I143" s="100">
        <v>496</v>
      </c>
      <c r="J143" s="100">
        <v>0</v>
      </c>
      <c r="K143" s="100">
        <f t="shared" si="10"/>
        <v>496</v>
      </c>
      <c r="L143" s="100">
        <v>0</v>
      </c>
      <c r="M143" s="101">
        <f t="shared" si="11"/>
        <v>0.74798387096774188</v>
      </c>
      <c r="N143" s="101">
        <f t="shared" si="12"/>
        <v>0.14314516129032259</v>
      </c>
      <c r="O143" s="101">
        <f t="shared" si="13"/>
        <v>0.10887096774193548</v>
      </c>
      <c r="P143" s="102">
        <v>241</v>
      </c>
      <c r="Q143" s="102">
        <v>306</v>
      </c>
      <c r="R143" s="102">
        <v>125</v>
      </c>
      <c r="S143" s="102">
        <v>0</v>
      </c>
      <c r="T143" s="102">
        <v>672</v>
      </c>
      <c r="U143" s="103">
        <v>0.35863095238095238</v>
      </c>
      <c r="V143" s="103">
        <v>0.45535714285714285</v>
      </c>
      <c r="W143" s="103">
        <v>0.18601190476190477</v>
      </c>
      <c r="X143" s="103">
        <v>0</v>
      </c>
      <c r="Y143" s="104">
        <v>24.055059523809526</v>
      </c>
      <c r="Z143" s="101">
        <f t="shared" si="14"/>
        <v>0.73809523809523814</v>
      </c>
    </row>
    <row r="144" spans="1:26" x14ac:dyDescent="0.25">
      <c r="A144" s="100"/>
      <c r="B144" s="100"/>
      <c r="C144" s="100"/>
      <c r="D144" s="100">
        <v>8</v>
      </c>
      <c r="E144" s="100">
        <v>525</v>
      </c>
      <c r="F144" s="100">
        <v>54</v>
      </c>
      <c r="G144" s="100">
        <v>86</v>
      </c>
      <c r="H144" s="100">
        <v>385</v>
      </c>
      <c r="I144" s="100">
        <v>525</v>
      </c>
      <c r="J144" s="100">
        <v>0</v>
      </c>
      <c r="K144" s="100">
        <f t="shared" si="10"/>
        <v>525</v>
      </c>
      <c r="L144" s="100">
        <v>0</v>
      </c>
      <c r="M144" s="101">
        <f t="shared" si="11"/>
        <v>0.73333333333333328</v>
      </c>
      <c r="N144" s="101">
        <f t="shared" si="12"/>
        <v>0.16380952380952382</v>
      </c>
      <c r="O144" s="101">
        <f t="shared" si="13"/>
        <v>0.10285714285714286</v>
      </c>
      <c r="P144" s="102">
        <v>263</v>
      </c>
      <c r="Q144" s="102">
        <v>311</v>
      </c>
      <c r="R144" s="102">
        <v>98</v>
      </c>
      <c r="S144" s="102">
        <v>0</v>
      </c>
      <c r="T144" s="102">
        <v>672</v>
      </c>
      <c r="U144" s="103">
        <v>0.39136904761904762</v>
      </c>
      <c r="V144" s="103">
        <v>0.46279761904761907</v>
      </c>
      <c r="W144" s="103">
        <v>0.14583333333333334</v>
      </c>
      <c r="X144" s="103">
        <v>0</v>
      </c>
      <c r="Y144" s="104">
        <v>20.11904761904762</v>
      </c>
      <c r="Z144" s="101">
        <f t="shared" si="14"/>
        <v>0.78125</v>
      </c>
    </row>
    <row r="145" spans="1:26" x14ac:dyDescent="0.25">
      <c r="A145" s="100"/>
      <c r="B145" s="100"/>
      <c r="C145" s="100" t="s">
        <v>197</v>
      </c>
      <c r="D145" s="100">
        <v>1</v>
      </c>
      <c r="E145" s="100">
        <v>281</v>
      </c>
      <c r="F145" s="100">
        <v>30</v>
      </c>
      <c r="G145" s="100">
        <v>36</v>
      </c>
      <c r="H145" s="100">
        <v>214</v>
      </c>
      <c r="I145" s="100">
        <v>280</v>
      </c>
      <c r="J145" s="100">
        <v>1</v>
      </c>
      <c r="K145" s="100">
        <f t="shared" si="10"/>
        <v>281</v>
      </c>
      <c r="L145" s="100">
        <v>0</v>
      </c>
      <c r="M145" s="101">
        <f t="shared" si="11"/>
        <v>0.76156583629893237</v>
      </c>
      <c r="N145" s="101">
        <f t="shared" si="12"/>
        <v>0.12811387900355872</v>
      </c>
      <c r="O145" s="101">
        <f t="shared" si="13"/>
        <v>0.10676156583629894</v>
      </c>
      <c r="P145" s="102">
        <v>114</v>
      </c>
      <c r="Q145" s="102">
        <v>162</v>
      </c>
      <c r="R145" s="102">
        <v>96</v>
      </c>
      <c r="S145" s="102">
        <v>8</v>
      </c>
      <c r="T145" s="102">
        <v>380</v>
      </c>
      <c r="U145" s="103">
        <v>0.3</v>
      </c>
      <c r="V145" s="103">
        <v>0.4263157894736842</v>
      </c>
      <c r="W145" s="103">
        <v>0.25263157894736843</v>
      </c>
      <c r="X145" s="103">
        <v>2.1052631578947368E-2</v>
      </c>
      <c r="Y145" s="104">
        <v>69.102631578947367</v>
      </c>
      <c r="Z145" s="101">
        <f t="shared" si="14"/>
        <v>0.73947368421052628</v>
      </c>
    </row>
    <row r="146" spans="1:26" x14ac:dyDescent="0.25">
      <c r="A146" s="100"/>
      <c r="B146" s="100"/>
      <c r="C146" s="100"/>
      <c r="D146" s="100">
        <v>2</v>
      </c>
      <c r="E146" s="100">
        <v>298</v>
      </c>
      <c r="F146" s="100">
        <v>25</v>
      </c>
      <c r="G146" s="100">
        <v>22</v>
      </c>
      <c r="H146" s="100">
        <v>249</v>
      </c>
      <c r="I146" s="100">
        <v>296</v>
      </c>
      <c r="J146" s="100">
        <v>2</v>
      </c>
      <c r="K146" s="100">
        <f t="shared" si="10"/>
        <v>298</v>
      </c>
      <c r="L146" s="100">
        <v>0</v>
      </c>
      <c r="M146" s="101">
        <f t="shared" si="11"/>
        <v>0.83557046979865768</v>
      </c>
      <c r="N146" s="101">
        <f t="shared" si="12"/>
        <v>7.3825503355704702E-2</v>
      </c>
      <c r="O146" s="101">
        <f t="shared" si="13"/>
        <v>8.3892617449664433E-2</v>
      </c>
      <c r="P146" s="102">
        <v>97</v>
      </c>
      <c r="Q146" s="102">
        <v>168</v>
      </c>
      <c r="R146" s="102">
        <v>104</v>
      </c>
      <c r="S146" s="102">
        <v>11</v>
      </c>
      <c r="T146" s="102">
        <v>380</v>
      </c>
      <c r="U146" s="103">
        <v>0.25526315789473686</v>
      </c>
      <c r="V146" s="103">
        <v>0.44210526315789472</v>
      </c>
      <c r="W146" s="103">
        <v>0.27368421052631581</v>
      </c>
      <c r="X146" s="103">
        <v>2.8947368421052631E-2</v>
      </c>
      <c r="Y146" s="104">
        <v>61.165789473684214</v>
      </c>
      <c r="Z146" s="101">
        <f t="shared" si="14"/>
        <v>0.78421052631578947</v>
      </c>
    </row>
    <row r="147" spans="1:26" x14ac:dyDescent="0.25">
      <c r="A147" s="100"/>
      <c r="B147" s="100"/>
      <c r="C147" s="100"/>
      <c r="D147" s="100">
        <v>3</v>
      </c>
      <c r="E147" s="100">
        <v>303</v>
      </c>
      <c r="F147" s="100">
        <v>24</v>
      </c>
      <c r="G147" s="100">
        <v>39</v>
      </c>
      <c r="H147" s="100">
        <v>239</v>
      </c>
      <c r="I147" s="100">
        <v>302</v>
      </c>
      <c r="J147" s="100">
        <v>1</v>
      </c>
      <c r="K147" s="100">
        <f t="shared" si="10"/>
        <v>303</v>
      </c>
      <c r="L147" s="100">
        <v>0</v>
      </c>
      <c r="M147" s="101">
        <f t="shared" si="11"/>
        <v>0.78877887788778878</v>
      </c>
      <c r="N147" s="101">
        <f t="shared" si="12"/>
        <v>0.12871287128712872</v>
      </c>
      <c r="O147" s="101">
        <f t="shared" si="13"/>
        <v>7.9207920792079209E-2</v>
      </c>
      <c r="P147" s="102">
        <v>120</v>
      </c>
      <c r="Q147" s="102">
        <v>170</v>
      </c>
      <c r="R147" s="102">
        <v>82</v>
      </c>
      <c r="S147" s="102">
        <v>8</v>
      </c>
      <c r="T147" s="102">
        <v>380</v>
      </c>
      <c r="U147" s="103">
        <v>0.31578947368421051</v>
      </c>
      <c r="V147" s="103">
        <v>0.44736842105263158</v>
      </c>
      <c r="W147" s="103">
        <v>0.21578947368421053</v>
      </c>
      <c r="X147" s="103">
        <v>2.1052631578947368E-2</v>
      </c>
      <c r="Y147" s="104">
        <v>52.939473684210526</v>
      </c>
      <c r="Z147" s="101">
        <f t="shared" si="14"/>
        <v>0.79736842105263162</v>
      </c>
    </row>
    <row r="148" spans="1:26" x14ac:dyDescent="0.25">
      <c r="A148" s="100"/>
      <c r="B148" s="100"/>
      <c r="C148" s="100"/>
      <c r="D148" s="100">
        <v>4</v>
      </c>
      <c r="E148" s="100">
        <v>478</v>
      </c>
      <c r="F148" s="100">
        <v>66</v>
      </c>
      <c r="G148" s="100">
        <v>80</v>
      </c>
      <c r="H148" s="100">
        <v>330</v>
      </c>
      <c r="I148" s="100">
        <v>476</v>
      </c>
      <c r="J148" s="100">
        <v>2</v>
      </c>
      <c r="K148" s="100">
        <f t="shared" si="10"/>
        <v>478</v>
      </c>
      <c r="L148" s="100">
        <v>0</v>
      </c>
      <c r="M148" s="101">
        <f t="shared" si="11"/>
        <v>0.69037656903765687</v>
      </c>
      <c r="N148" s="101">
        <f t="shared" si="12"/>
        <v>0.16736401673640167</v>
      </c>
      <c r="O148" s="101">
        <f t="shared" si="13"/>
        <v>0.13807531380753138</v>
      </c>
      <c r="P148" s="102">
        <v>227</v>
      </c>
      <c r="Q148" s="102">
        <v>254</v>
      </c>
      <c r="R148" s="102">
        <v>152</v>
      </c>
      <c r="S148" s="102">
        <v>7</v>
      </c>
      <c r="T148" s="102">
        <v>640</v>
      </c>
      <c r="U148" s="103">
        <v>0.35468749999999999</v>
      </c>
      <c r="V148" s="103">
        <v>0.39687499999999998</v>
      </c>
      <c r="W148" s="103">
        <v>0.23749999999999999</v>
      </c>
      <c r="X148" s="103">
        <v>1.0937499999999999E-2</v>
      </c>
      <c r="Y148" s="104">
        <v>43.081249999999997</v>
      </c>
      <c r="Z148" s="101">
        <f t="shared" si="14"/>
        <v>0.74687499999999996</v>
      </c>
    </row>
    <row r="149" spans="1:26" x14ac:dyDescent="0.25">
      <c r="A149" s="100"/>
      <c r="B149" s="100"/>
      <c r="C149" s="100"/>
      <c r="D149" s="100">
        <v>5</v>
      </c>
      <c r="E149" s="100">
        <v>430</v>
      </c>
      <c r="F149" s="100">
        <v>63</v>
      </c>
      <c r="G149" s="100">
        <v>70</v>
      </c>
      <c r="H149" s="100">
        <v>296</v>
      </c>
      <c r="I149" s="100">
        <v>429</v>
      </c>
      <c r="J149" s="100">
        <v>1</v>
      </c>
      <c r="K149" s="100">
        <f t="shared" si="10"/>
        <v>430</v>
      </c>
      <c r="L149" s="100">
        <v>0</v>
      </c>
      <c r="M149" s="101">
        <f t="shared" si="11"/>
        <v>0.68837209302325586</v>
      </c>
      <c r="N149" s="101">
        <f t="shared" si="12"/>
        <v>0.16279069767441862</v>
      </c>
      <c r="O149" s="101">
        <f t="shared" si="13"/>
        <v>0.14651162790697675</v>
      </c>
      <c r="P149" s="102">
        <v>280</v>
      </c>
      <c r="Q149" s="102">
        <v>233</v>
      </c>
      <c r="R149" s="102">
        <v>119</v>
      </c>
      <c r="S149" s="102">
        <v>8</v>
      </c>
      <c r="T149" s="102">
        <v>640</v>
      </c>
      <c r="U149" s="103">
        <v>0.4375</v>
      </c>
      <c r="V149" s="103">
        <v>0.36406250000000001</v>
      </c>
      <c r="W149" s="103">
        <v>0.18593750000000001</v>
      </c>
      <c r="X149" s="103">
        <v>1.2500000000000001E-2</v>
      </c>
      <c r="Y149" s="104">
        <v>34.373437500000001</v>
      </c>
      <c r="Z149" s="101">
        <f t="shared" si="14"/>
        <v>0.671875</v>
      </c>
    </row>
    <row r="150" spans="1:26" x14ac:dyDescent="0.25">
      <c r="A150" s="100"/>
      <c r="B150" s="100"/>
      <c r="C150" s="100"/>
      <c r="D150" s="100">
        <v>6</v>
      </c>
      <c r="E150" s="100">
        <v>450</v>
      </c>
      <c r="F150" s="100">
        <v>45</v>
      </c>
      <c r="G150" s="100">
        <v>57</v>
      </c>
      <c r="H150" s="100">
        <v>343</v>
      </c>
      <c r="I150" s="100">
        <v>445</v>
      </c>
      <c r="J150" s="100">
        <v>5</v>
      </c>
      <c r="K150" s="100">
        <f t="shared" si="10"/>
        <v>450</v>
      </c>
      <c r="L150" s="100">
        <v>0</v>
      </c>
      <c r="M150" s="101">
        <f t="shared" si="11"/>
        <v>0.76222222222222225</v>
      </c>
      <c r="N150" s="101">
        <f t="shared" si="12"/>
        <v>0.12666666666666668</v>
      </c>
      <c r="O150" s="101">
        <f t="shared" si="13"/>
        <v>0.1</v>
      </c>
      <c r="P150" s="102">
        <v>259</v>
      </c>
      <c r="Q150" s="102">
        <v>232</v>
      </c>
      <c r="R150" s="102">
        <v>141</v>
      </c>
      <c r="S150" s="102">
        <v>9</v>
      </c>
      <c r="T150" s="102">
        <v>641</v>
      </c>
      <c r="U150" s="103">
        <v>0.40405616224648988</v>
      </c>
      <c r="V150" s="103">
        <v>0.36193447737909518</v>
      </c>
      <c r="W150" s="103">
        <v>0.21996879875195008</v>
      </c>
      <c r="X150" s="103">
        <v>1.4040561622464899E-2</v>
      </c>
      <c r="Y150" s="104">
        <v>28.533541341653667</v>
      </c>
      <c r="Z150" s="101">
        <f t="shared" si="14"/>
        <v>0.70202808112324488</v>
      </c>
    </row>
    <row r="151" spans="1:26" x14ac:dyDescent="0.25">
      <c r="A151" s="100"/>
      <c r="B151" s="100"/>
      <c r="C151" s="100"/>
      <c r="D151" s="100">
        <v>7</v>
      </c>
      <c r="E151" s="100">
        <v>478</v>
      </c>
      <c r="F151" s="100">
        <v>53</v>
      </c>
      <c r="G151" s="100">
        <v>64</v>
      </c>
      <c r="H151" s="100">
        <v>361</v>
      </c>
      <c r="I151" s="100">
        <v>478</v>
      </c>
      <c r="J151" s="100">
        <v>0</v>
      </c>
      <c r="K151" s="100">
        <f t="shared" si="10"/>
        <v>478</v>
      </c>
      <c r="L151" s="100">
        <v>0</v>
      </c>
      <c r="M151" s="101">
        <f t="shared" si="11"/>
        <v>0.75523012552301261</v>
      </c>
      <c r="N151" s="101">
        <f t="shared" si="12"/>
        <v>0.13389121338912133</v>
      </c>
      <c r="O151" s="101">
        <f t="shared" si="13"/>
        <v>0.11087866108786611</v>
      </c>
      <c r="P151" s="102">
        <v>299</v>
      </c>
      <c r="Q151" s="102">
        <v>233</v>
      </c>
      <c r="R151" s="102">
        <v>103</v>
      </c>
      <c r="S151" s="102">
        <v>6</v>
      </c>
      <c r="T151" s="102">
        <v>641</v>
      </c>
      <c r="U151" s="103">
        <v>0.46645865834633388</v>
      </c>
      <c r="V151" s="103">
        <v>0.36349453978159124</v>
      </c>
      <c r="W151" s="103">
        <v>0.1606864274570983</v>
      </c>
      <c r="X151" s="103">
        <v>9.3603744149765994E-3</v>
      </c>
      <c r="Y151" s="104">
        <v>24.068642745709827</v>
      </c>
      <c r="Z151" s="101">
        <f t="shared" si="14"/>
        <v>0.74570982839313571</v>
      </c>
    </row>
    <row r="152" spans="1:26" x14ac:dyDescent="0.25">
      <c r="A152" s="100"/>
      <c r="B152" s="100"/>
      <c r="C152" s="100"/>
      <c r="D152" s="100">
        <v>8</v>
      </c>
      <c r="E152" s="100">
        <v>507</v>
      </c>
      <c r="F152" s="100">
        <v>46</v>
      </c>
      <c r="G152" s="100">
        <v>76</v>
      </c>
      <c r="H152" s="100">
        <v>384</v>
      </c>
      <c r="I152" s="100">
        <v>506</v>
      </c>
      <c r="J152" s="100">
        <v>1</v>
      </c>
      <c r="K152" s="100">
        <f t="shared" si="10"/>
        <v>507</v>
      </c>
      <c r="L152" s="100">
        <v>0</v>
      </c>
      <c r="M152" s="101">
        <f t="shared" si="11"/>
        <v>0.75739644970414199</v>
      </c>
      <c r="N152" s="101">
        <f t="shared" si="12"/>
        <v>0.14990138067061143</v>
      </c>
      <c r="O152" s="101">
        <f t="shared" si="13"/>
        <v>9.0729783037475351E-2</v>
      </c>
      <c r="P152" s="102">
        <v>288</v>
      </c>
      <c r="Q152" s="102">
        <v>235</v>
      </c>
      <c r="R152" s="102">
        <v>115</v>
      </c>
      <c r="S152" s="102">
        <v>3</v>
      </c>
      <c r="T152" s="102">
        <v>641</v>
      </c>
      <c r="U152" s="103">
        <v>0.44929797191887677</v>
      </c>
      <c r="V152" s="103">
        <v>0.36661466458658348</v>
      </c>
      <c r="W152" s="103">
        <v>0.1794071762870515</v>
      </c>
      <c r="X152" s="103">
        <v>4.6801872074882997E-3</v>
      </c>
      <c r="Y152" s="104">
        <v>19.975039001560063</v>
      </c>
      <c r="Z152" s="101">
        <f t="shared" si="14"/>
        <v>0.7909516380655226</v>
      </c>
    </row>
    <row r="153" spans="1:26" x14ac:dyDescent="0.25">
      <c r="A153" s="100">
        <v>21</v>
      </c>
      <c r="B153" s="100" t="s">
        <v>193</v>
      </c>
      <c r="C153" s="100" t="s">
        <v>198</v>
      </c>
      <c r="D153" s="100">
        <v>1</v>
      </c>
      <c r="E153" s="100">
        <v>296</v>
      </c>
      <c r="F153" s="100">
        <v>80</v>
      </c>
      <c r="G153" s="100">
        <v>44</v>
      </c>
      <c r="H153" s="100">
        <v>170</v>
      </c>
      <c r="I153" s="100">
        <v>294</v>
      </c>
      <c r="J153" s="100">
        <v>2</v>
      </c>
      <c r="K153" s="100">
        <f t="shared" si="10"/>
        <v>296</v>
      </c>
      <c r="L153" s="100">
        <v>0</v>
      </c>
      <c r="M153" s="101">
        <f t="shared" si="11"/>
        <v>0.57432432432432434</v>
      </c>
      <c r="N153" s="101">
        <f t="shared" si="12"/>
        <v>0.14864864864864866</v>
      </c>
      <c r="O153" s="101">
        <f t="shared" si="13"/>
        <v>0.27027027027027029</v>
      </c>
      <c r="P153" s="102">
        <v>176</v>
      </c>
      <c r="Q153" s="102">
        <v>124</v>
      </c>
      <c r="R153" s="102">
        <v>67</v>
      </c>
      <c r="S153" s="102">
        <v>3</v>
      </c>
      <c r="T153" s="102">
        <v>370</v>
      </c>
      <c r="U153" s="103">
        <v>0.4756756756756757</v>
      </c>
      <c r="V153" s="103">
        <v>0.33513513513513515</v>
      </c>
      <c r="W153" s="103">
        <v>0.18108108108108109</v>
      </c>
      <c r="X153" s="103">
        <v>8.1081081081081086E-3</v>
      </c>
      <c r="Y153" s="104">
        <v>61.775675675675679</v>
      </c>
      <c r="Z153" s="101">
        <f t="shared" si="14"/>
        <v>0.8</v>
      </c>
    </row>
    <row r="154" spans="1:26" x14ac:dyDescent="0.25">
      <c r="A154" s="100"/>
      <c r="B154" s="100"/>
      <c r="C154" s="100"/>
      <c r="D154" s="100">
        <v>2</v>
      </c>
      <c r="E154" s="100">
        <v>298</v>
      </c>
      <c r="F154" s="100">
        <v>47</v>
      </c>
      <c r="G154" s="100">
        <v>41</v>
      </c>
      <c r="H154" s="100">
        <v>209</v>
      </c>
      <c r="I154" s="100">
        <v>297</v>
      </c>
      <c r="J154" s="100">
        <v>1</v>
      </c>
      <c r="K154" s="100">
        <f t="shared" si="10"/>
        <v>298</v>
      </c>
      <c r="L154" s="100">
        <v>0</v>
      </c>
      <c r="M154" s="101">
        <f t="shared" si="11"/>
        <v>0.70134228187919467</v>
      </c>
      <c r="N154" s="101">
        <f t="shared" si="12"/>
        <v>0.13758389261744966</v>
      </c>
      <c r="O154" s="101">
        <f t="shared" si="13"/>
        <v>0.15771812080536912</v>
      </c>
      <c r="P154" s="102">
        <v>131</v>
      </c>
      <c r="Q154" s="102">
        <v>168</v>
      </c>
      <c r="R154" s="102">
        <v>68</v>
      </c>
      <c r="S154" s="102">
        <v>3</v>
      </c>
      <c r="T154" s="102">
        <v>370</v>
      </c>
      <c r="U154" s="103">
        <v>0.35405405405405405</v>
      </c>
      <c r="V154" s="103">
        <v>0.45405405405405408</v>
      </c>
      <c r="W154" s="103">
        <v>0.18378378378378379</v>
      </c>
      <c r="X154" s="103">
        <v>8.1081081081081086E-3</v>
      </c>
      <c r="Y154" s="104">
        <v>50.859459459459458</v>
      </c>
      <c r="Z154" s="101">
        <f t="shared" si="14"/>
        <v>0.80540540540540539</v>
      </c>
    </row>
    <row r="155" spans="1:26" x14ac:dyDescent="0.25">
      <c r="A155" s="100"/>
      <c r="B155" s="100"/>
      <c r="C155" s="100"/>
      <c r="D155" s="100">
        <v>3</v>
      </c>
      <c r="E155" s="100">
        <v>406</v>
      </c>
      <c r="F155" s="100">
        <v>57</v>
      </c>
      <c r="G155" s="100">
        <v>54</v>
      </c>
      <c r="H155" s="100">
        <v>294</v>
      </c>
      <c r="I155" s="100">
        <v>405</v>
      </c>
      <c r="J155" s="100">
        <v>1</v>
      </c>
      <c r="K155" s="100">
        <f t="shared" si="10"/>
        <v>406</v>
      </c>
      <c r="L155" s="100">
        <v>0</v>
      </c>
      <c r="M155" s="101">
        <f t="shared" si="11"/>
        <v>0.72413793103448276</v>
      </c>
      <c r="N155" s="101">
        <f t="shared" si="12"/>
        <v>0.13300492610837439</v>
      </c>
      <c r="O155" s="101">
        <f t="shared" si="13"/>
        <v>0.14039408866995073</v>
      </c>
      <c r="P155" s="102">
        <v>198</v>
      </c>
      <c r="Q155" s="102">
        <v>269</v>
      </c>
      <c r="R155" s="102">
        <v>94</v>
      </c>
      <c r="S155" s="102">
        <v>5</v>
      </c>
      <c r="T155" s="102">
        <v>566</v>
      </c>
      <c r="U155" s="103">
        <v>0.34982332155477031</v>
      </c>
      <c r="V155" s="103">
        <v>0.47526501766784451</v>
      </c>
      <c r="W155" s="103">
        <v>0.16607773851590105</v>
      </c>
      <c r="X155" s="103">
        <v>8.8339222614840993E-3</v>
      </c>
      <c r="Y155" s="104">
        <v>38.118374558303884</v>
      </c>
      <c r="Z155" s="101">
        <f t="shared" si="14"/>
        <v>0.71731448763250882</v>
      </c>
    </row>
    <row r="156" spans="1:26" x14ac:dyDescent="0.25">
      <c r="A156" s="100"/>
      <c r="B156" s="100"/>
      <c r="C156" s="100"/>
      <c r="D156" s="100">
        <v>4</v>
      </c>
      <c r="E156" s="100">
        <v>402</v>
      </c>
      <c r="F156" s="100">
        <v>43</v>
      </c>
      <c r="G156" s="100">
        <v>74</v>
      </c>
      <c r="H156" s="100">
        <v>283</v>
      </c>
      <c r="I156" s="100">
        <v>400</v>
      </c>
      <c r="J156" s="100">
        <v>2</v>
      </c>
      <c r="K156" s="100">
        <f t="shared" si="10"/>
        <v>402</v>
      </c>
      <c r="L156" s="100">
        <v>0</v>
      </c>
      <c r="M156" s="101">
        <f t="shared" si="11"/>
        <v>0.70398009950248752</v>
      </c>
      <c r="N156" s="101">
        <f t="shared" si="12"/>
        <v>0.18407960199004975</v>
      </c>
      <c r="O156" s="101">
        <f t="shared" si="13"/>
        <v>0.10696517412935323</v>
      </c>
      <c r="P156" s="102">
        <v>257</v>
      </c>
      <c r="Q156" s="102">
        <v>234</v>
      </c>
      <c r="R156" s="102">
        <v>72</v>
      </c>
      <c r="S156" s="102">
        <v>3</v>
      </c>
      <c r="T156" s="102">
        <v>566</v>
      </c>
      <c r="U156" s="103">
        <v>0.45406360424028269</v>
      </c>
      <c r="V156" s="103">
        <v>0.41342756183745583</v>
      </c>
      <c r="W156" s="103">
        <v>0.12720848056537101</v>
      </c>
      <c r="X156" s="103">
        <v>5.3003533568904597E-3</v>
      </c>
      <c r="Y156" s="104">
        <v>28.632508833922262</v>
      </c>
      <c r="Z156" s="101">
        <f t="shared" si="14"/>
        <v>0.71024734982332161</v>
      </c>
    </row>
    <row r="157" spans="1:26" x14ac:dyDescent="0.25">
      <c r="A157" s="100"/>
      <c r="B157" s="100"/>
      <c r="C157" s="100"/>
      <c r="D157" s="100">
        <v>5</v>
      </c>
      <c r="E157" s="100">
        <v>459</v>
      </c>
      <c r="F157" s="100">
        <v>58</v>
      </c>
      <c r="G157" s="100">
        <v>71</v>
      </c>
      <c r="H157" s="100">
        <v>330</v>
      </c>
      <c r="I157" s="100">
        <v>459</v>
      </c>
      <c r="J157" s="100">
        <v>0</v>
      </c>
      <c r="K157" s="100">
        <f t="shared" si="10"/>
        <v>459</v>
      </c>
      <c r="L157" s="100">
        <v>0</v>
      </c>
      <c r="M157" s="101">
        <f t="shared" si="11"/>
        <v>0.71895424836601307</v>
      </c>
      <c r="N157" s="101">
        <f t="shared" si="12"/>
        <v>0.15468409586056645</v>
      </c>
      <c r="O157" s="101">
        <f t="shared" si="13"/>
        <v>0.12636165577342048</v>
      </c>
      <c r="P157" s="102">
        <v>262</v>
      </c>
      <c r="Q157" s="102">
        <v>228</v>
      </c>
      <c r="R157" s="102">
        <v>76</v>
      </c>
      <c r="S157" s="102">
        <v>0</v>
      </c>
      <c r="T157" s="102">
        <v>566</v>
      </c>
      <c r="U157" s="103">
        <v>0.4628975265017668</v>
      </c>
      <c r="V157" s="103">
        <v>0.40282685512367489</v>
      </c>
      <c r="W157" s="103">
        <v>0.13427561837455831</v>
      </c>
      <c r="X157" s="103">
        <v>0</v>
      </c>
      <c r="Y157" s="104">
        <v>23.657243816254418</v>
      </c>
      <c r="Z157" s="101">
        <f t="shared" si="14"/>
        <v>0.81095406360424027</v>
      </c>
    </row>
    <row r="158" spans="1:26" x14ac:dyDescent="0.25">
      <c r="A158" s="100"/>
      <c r="B158" s="100"/>
      <c r="C158" s="100"/>
      <c r="D158" s="100">
        <v>6</v>
      </c>
      <c r="E158" s="100">
        <v>474</v>
      </c>
      <c r="F158" s="100">
        <v>57</v>
      </c>
      <c r="G158" s="100">
        <v>86</v>
      </c>
      <c r="H158" s="100">
        <v>326</v>
      </c>
      <c r="I158" s="100">
        <v>469</v>
      </c>
      <c r="J158" s="100">
        <v>5</v>
      </c>
      <c r="K158" s="100">
        <f t="shared" si="10"/>
        <v>474</v>
      </c>
      <c r="L158" s="100">
        <v>0</v>
      </c>
      <c r="M158" s="101">
        <f t="shared" si="11"/>
        <v>0.68776371308016881</v>
      </c>
      <c r="N158" s="101">
        <f t="shared" si="12"/>
        <v>0.18143459915611815</v>
      </c>
      <c r="O158" s="101">
        <f t="shared" si="13"/>
        <v>0.12025316455696203</v>
      </c>
      <c r="P158" s="102">
        <v>270</v>
      </c>
      <c r="Q158" s="102">
        <v>221</v>
      </c>
      <c r="R158" s="102">
        <v>75</v>
      </c>
      <c r="S158" s="102">
        <v>0</v>
      </c>
      <c r="T158" s="102">
        <v>566</v>
      </c>
      <c r="U158" s="103">
        <v>0.47703180212014135</v>
      </c>
      <c r="V158" s="103">
        <v>0.39045936395759717</v>
      </c>
      <c r="W158" s="103">
        <v>0.13250883392226148</v>
      </c>
      <c r="X158" s="103">
        <v>0</v>
      </c>
      <c r="Y158" s="104">
        <v>19.514134275618375</v>
      </c>
      <c r="Z158" s="101">
        <f t="shared" si="14"/>
        <v>0.83745583038869253</v>
      </c>
    </row>
    <row r="159" spans="1:26" x14ac:dyDescent="0.25">
      <c r="A159" s="100"/>
      <c r="B159" s="100"/>
      <c r="C159" s="100" t="s">
        <v>199</v>
      </c>
      <c r="D159" s="100">
        <v>1</v>
      </c>
      <c r="E159" s="100">
        <v>295</v>
      </c>
      <c r="F159" s="100">
        <v>104</v>
      </c>
      <c r="G159" s="100">
        <v>121</v>
      </c>
      <c r="H159" s="100">
        <v>69</v>
      </c>
      <c r="I159" s="100">
        <v>294</v>
      </c>
      <c r="J159" s="100">
        <v>1</v>
      </c>
      <c r="K159" s="100">
        <f t="shared" si="10"/>
        <v>295</v>
      </c>
      <c r="L159" s="100">
        <v>0</v>
      </c>
      <c r="M159" s="101">
        <f t="shared" si="11"/>
        <v>0.23389830508474577</v>
      </c>
      <c r="N159" s="101">
        <f t="shared" si="12"/>
        <v>0.4101694915254237</v>
      </c>
      <c r="O159" s="101">
        <f t="shared" si="13"/>
        <v>0.35254237288135593</v>
      </c>
      <c r="P159" s="102">
        <v>305</v>
      </c>
      <c r="Q159" s="102">
        <v>14</v>
      </c>
      <c r="R159" s="102">
        <v>28</v>
      </c>
      <c r="S159" s="102">
        <v>3</v>
      </c>
      <c r="T159" s="102">
        <v>350</v>
      </c>
      <c r="U159" s="103">
        <v>0.87142857142857144</v>
      </c>
      <c r="V159" s="103">
        <v>0.04</v>
      </c>
      <c r="W159" s="103">
        <v>0.08</v>
      </c>
      <c r="X159" s="103">
        <v>8.5714285714285719E-3</v>
      </c>
      <c r="Y159" s="104">
        <v>43.548571428571428</v>
      </c>
      <c r="Z159" s="101">
        <f t="shared" si="14"/>
        <v>0.84285714285714286</v>
      </c>
    </row>
    <row r="160" spans="1:26" x14ac:dyDescent="0.25">
      <c r="A160" s="100"/>
      <c r="B160" s="100"/>
      <c r="C160" s="100"/>
      <c r="D160" s="100">
        <v>2</v>
      </c>
      <c r="E160" s="100">
        <v>362</v>
      </c>
      <c r="F160" s="100">
        <v>102</v>
      </c>
      <c r="G160" s="100">
        <v>186</v>
      </c>
      <c r="H160" s="100">
        <v>72</v>
      </c>
      <c r="I160" s="100">
        <v>360</v>
      </c>
      <c r="J160" s="100">
        <v>2</v>
      </c>
      <c r="K160" s="100">
        <f t="shared" si="10"/>
        <v>362</v>
      </c>
      <c r="L160" s="100">
        <v>0</v>
      </c>
      <c r="M160" s="101">
        <f t="shared" si="11"/>
        <v>0.19889502762430938</v>
      </c>
      <c r="N160" s="101">
        <f t="shared" si="12"/>
        <v>0.51381215469613262</v>
      </c>
      <c r="O160" s="101">
        <f t="shared" si="13"/>
        <v>0.28176795580110497</v>
      </c>
      <c r="P160" s="102">
        <v>417</v>
      </c>
      <c r="Q160" s="102">
        <v>6</v>
      </c>
      <c r="R160" s="102">
        <v>19</v>
      </c>
      <c r="S160" s="102">
        <v>0</v>
      </c>
      <c r="T160" s="102">
        <v>442</v>
      </c>
      <c r="U160" s="103">
        <v>0.9434389140271493</v>
      </c>
      <c r="V160" s="103">
        <v>1.3574660633484163E-2</v>
      </c>
      <c r="W160" s="103">
        <v>4.2986425339366516E-2</v>
      </c>
      <c r="X160" s="103">
        <v>0</v>
      </c>
      <c r="Y160" s="104">
        <v>22.70814479638009</v>
      </c>
      <c r="Z160" s="101">
        <f t="shared" si="14"/>
        <v>0.8190045248868778</v>
      </c>
    </row>
    <row r="161" spans="1:26" x14ac:dyDescent="0.25">
      <c r="A161" s="29">
        <v>22</v>
      </c>
      <c r="B161" s="29" t="s">
        <v>200</v>
      </c>
      <c r="C161" s="29" t="s">
        <v>201</v>
      </c>
      <c r="D161" s="29">
        <v>1</v>
      </c>
      <c r="E161" s="29">
        <v>214</v>
      </c>
      <c r="F161" s="29">
        <v>15</v>
      </c>
      <c r="G161" s="29">
        <v>3</v>
      </c>
      <c r="H161" s="29">
        <v>193</v>
      </c>
      <c r="I161" s="29">
        <v>211</v>
      </c>
      <c r="J161" s="29">
        <v>3</v>
      </c>
      <c r="K161" s="29">
        <f t="shared" si="10"/>
        <v>214</v>
      </c>
      <c r="L161" s="29">
        <v>0</v>
      </c>
      <c r="M161" s="30">
        <f t="shared" si="11"/>
        <v>0.90186915887850472</v>
      </c>
      <c r="N161" s="30">
        <f t="shared" si="12"/>
        <v>1.4018691588785047E-2</v>
      </c>
      <c r="O161" s="30">
        <f t="shared" si="13"/>
        <v>7.0093457943925228E-2</v>
      </c>
      <c r="P161" s="31">
        <v>12</v>
      </c>
      <c r="Q161" s="31">
        <v>247</v>
      </c>
      <c r="R161" s="31">
        <v>29</v>
      </c>
      <c r="S161" s="31">
        <v>2</v>
      </c>
      <c r="T161" s="31">
        <v>290</v>
      </c>
      <c r="U161" s="32">
        <v>4.1379310344827586E-2</v>
      </c>
      <c r="V161" s="32">
        <v>0.85172413793103452</v>
      </c>
      <c r="W161" s="32">
        <v>0.1</v>
      </c>
      <c r="X161" s="32">
        <v>6.8965517241379309E-3</v>
      </c>
      <c r="Y161" s="34">
        <v>69.110344827586204</v>
      </c>
      <c r="Z161" s="30">
        <f t="shared" si="14"/>
        <v>0.73793103448275865</v>
      </c>
    </row>
    <row r="162" spans="1:26" x14ac:dyDescent="0.25">
      <c r="A162" s="29"/>
      <c r="B162" s="29"/>
      <c r="C162" s="29"/>
      <c r="D162" s="29">
        <v>2</v>
      </c>
      <c r="E162" s="29">
        <v>229</v>
      </c>
      <c r="F162" s="29">
        <v>13</v>
      </c>
      <c r="G162" s="29">
        <v>15</v>
      </c>
      <c r="H162" s="29">
        <v>199</v>
      </c>
      <c r="I162" s="29">
        <v>227</v>
      </c>
      <c r="J162" s="29">
        <v>2</v>
      </c>
      <c r="K162" s="29">
        <f t="shared" si="10"/>
        <v>229</v>
      </c>
      <c r="L162" s="29">
        <v>0</v>
      </c>
      <c r="M162" s="30">
        <f t="shared" si="11"/>
        <v>0.86899563318777295</v>
      </c>
      <c r="N162" s="30">
        <f t="shared" si="12"/>
        <v>6.5502183406113537E-2</v>
      </c>
      <c r="O162" s="30">
        <f t="shared" si="13"/>
        <v>5.6768558951965066E-2</v>
      </c>
      <c r="P162" s="31">
        <v>43</v>
      </c>
      <c r="Q162" s="31">
        <v>189</v>
      </c>
      <c r="R162" s="31">
        <v>81</v>
      </c>
      <c r="S162" s="31">
        <v>0</v>
      </c>
      <c r="T162" s="31">
        <v>313</v>
      </c>
      <c r="U162" s="32">
        <v>0.13738019169329074</v>
      </c>
      <c r="V162" s="32">
        <v>0.60383386581469645</v>
      </c>
      <c r="W162" s="32">
        <v>0.25878594249201275</v>
      </c>
      <c r="X162" s="32">
        <v>0</v>
      </c>
      <c r="Y162" s="34">
        <v>39.482428115015978</v>
      </c>
      <c r="Z162" s="30">
        <f t="shared" si="14"/>
        <v>0.73162939297124596</v>
      </c>
    </row>
    <row r="163" spans="1:26" x14ac:dyDescent="0.25">
      <c r="A163" s="29">
        <v>23</v>
      </c>
      <c r="B163" s="29" t="s">
        <v>202</v>
      </c>
      <c r="C163" s="29" t="s">
        <v>203</v>
      </c>
      <c r="D163" s="29">
        <v>1</v>
      </c>
      <c r="E163" s="29">
        <v>223</v>
      </c>
      <c r="F163" s="29">
        <v>20</v>
      </c>
      <c r="G163" s="29">
        <v>8</v>
      </c>
      <c r="H163" s="29">
        <v>192</v>
      </c>
      <c r="I163" s="29">
        <v>220</v>
      </c>
      <c r="J163" s="29">
        <v>3</v>
      </c>
      <c r="K163" s="29">
        <f t="shared" si="10"/>
        <v>223</v>
      </c>
      <c r="L163" s="29">
        <v>0</v>
      </c>
      <c r="M163" s="30">
        <f t="shared" si="11"/>
        <v>0.86098654708520184</v>
      </c>
      <c r="N163" s="30">
        <f t="shared" si="12"/>
        <v>3.5874439461883408E-2</v>
      </c>
      <c r="O163" s="30">
        <f t="shared" si="13"/>
        <v>8.9686098654708515E-2</v>
      </c>
      <c r="P163" s="31">
        <v>11</v>
      </c>
      <c r="Q163" s="31">
        <v>300</v>
      </c>
      <c r="R163" s="31">
        <v>56</v>
      </c>
      <c r="S163" s="31">
        <v>3</v>
      </c>
      <c r="T163" s="31">
        <v>370</v>
      </c>
      <c r="U163" s="32">
        <v>2.9729729729729731E-2</v>
      </c>
      <c r="V163" s="32">
        <v>0.81081081081081086</v>
      </c>
      <c r="W163" s="32">
        <v>0.15135135135135136</v>
      </c>
      <c r="X163" s="32">
        <v>8.1081081081081086E-3</v>
      </c>
      <c r="Y163" s="34">
        <v>76.824324324324323</v>
      </c>
      <c r="Z163" s="30">
        <f t="shared" si="14"/>
        <v>0.60270270270270265</v>
      </c>
    </row>
    <row r="164" spans="1:26" x14ac:dyDescent="0.25">
      <c r="A164" s="29"/>
      <c r="B164" s="29"/>
      <c r="C164" s="29"/>
      <c r="D164" s="29">
        <v>2</v>
      </c>
      <c r="E164" s="29">
        <v>286</v>
      </c>
      <c r="F164" s="29">
        <v>18</v>
      </c>
      <c r="G164" s="29">
        <v>3</v>
      </c>
      <c r="H164" s="29">
        <v>263</v>
      </c>
      <c r="I164" s="29">
        <v>284</v>
      </c>
      <c r="J164" s="29">
        <v>2</v>
      </c>
      <c r="K164" s="29">
        <f t="shared" si="10"/>
        <v>286</v>
      </c>
      <c r="L164" s="29">
        <v>0</v>
      </c>
      <c r="M164" s="30">
        <f t="shared" si="11"/>
        <v>0.91958041958041958</v>
      </c>
      <c r="N164" s="30">
        <f t="shared" si="12"/>
        <v>1.048951048951049E-2</v>
      </c>
      <c r="O164" s="30">
        <f t="shared" si="13"/>
        <v>6.2937062937062943E-2</v>
      </c>
      <c r="P164" s="31">
        <v>15</v>
      </c>
      <c r="Q164" s="31">
        <v>305</v>
      </c>
      <c r="R164" s="31">
        <v>47</v>
      </c>
      <c r="S164" s="31">
        <v>3</v>
      </c>
      <c r="T164" s="31">
        <v>370</v>
      </c>
      <c r="U164" s="32">
        <v>4.0540540540540543E-2</v>
      </c>
      <c r="V164" s="32">
        <v>0.82432432432432434</v>
      </c>
      <c r="W164" s="32">
        <v>0.12702702702702703</v>
      </c>
      <c r="X164" s="32">
        <v>8.1081081081081086E-3</v>
      </c>
      <c r="Y164" s="34">
        <v>65.467567567567571</v>
      </c>
      <c r="Z164" s="30">
        <f t="shared" si="14"/>
        <v>0.77297297297297296</v>
      </c>
    </row>
    <row r="165" spans="1:26" x14ac:dyDescent="0.25">
      <c r="A165" s="29"/>
      <c r="B165" s="29"/>
      <c r="C165" s="29"/>
      <c r="D165" s="29">
        <v>3</v>
      </c>
      <c r="E165" s="29">
        <v>394</v>
      </c>
      <c r="F165" s="29">
        <v>48</v>
      </c>
      <c r="G165" s="29">
        <v>31</v>
      </c>
      <c r="H165" s="29">
        <v>313</v>
      </c>
      <c r="I165" s="29">
        <v>392</v>
      </c>
      <c r="J165" s="29">
        <v>2</v>
      </c>
      <c r="K165" s="29">
        <f t="shared" si="10"/>
        <v>394</v>
      </c>
      <c r="L165" s="29">
        <v>0</v>
      </c>
      <c r="M165" s="30">
        <f t="shared" si="11"/>
        <v>0.79441624365482233</v>
      </c>
      <c r="N165" s="30">
        <f t="shared" si="12"/>
        <v>7.8680203045685279E-2</v>
      </c>
      <c r="O165" s="30">
        <f t="shared" si="13"/>
        <v>0.12182741116751269</v>
      </c>
      <c r="P165" s="31">
        <v>92</v>
      </c>
      <c r="Q165" s="31">
        <v>319</v>
      </c>
      <c r="R165" s="31">
        <v>82</v>
      </c>
      <c r="S165" s="31">
        <v>3</v>
      </c>
      <c r="T165" s="31">
        <v>496</v>
      </c>
      <c r="U165" s="32">
        <v>0.18548387096774194</v>
      </c>
      <c r="V165" s="32">
        <v>0.64314516129032262</v>
      </c>
      <c r="W165" s="32">
        <v>0.16532258064516128</v>
      </c>
      <c r="X165" s="32">
        <v>6.0483870967741934E-3</v>
      </c>
      <c r="Y165" s="34">
        <v>46.625</v>
      </c>
      <c r="Z165" s="30">
        <f t="shared" si="14"/>
        <v>0.79435483870967738</v>
      </c>
    </row>
    <row r="166" spans="1:26" x14ac:dyDescent="0.25">
      <c r="A166" s="29">
        <v>24</v>
      </c>
      <c r="B166" s="29" t="s">
        <v>204</v>
      </c>
      <c r="C166" s="29" t="s">
        <v>205</v>
      </c>
      <c r="D166" s="29">
        <v>1</v>
      </c>
      <c r="E166" s="29">
        <v>176</v>
      </c>
      <c r="F166" s="29">
        <v>13</v>
      </c>
      <c r="G166" s="29">
        <v>2</v>
      </c>
      <c r="H166" s="29">
        <v>159</v>
      </c>
      <c r="I166" s="29">
        <v>174</v>
      </c>
      <c r="J166" s="29">
        <v>2</v>
      </c>
      <c r="K166" s="29">
        <f t="shared" si="10"/>
        <v>176</v>
      </c>
      <c r="L166" s="29">
        <v>0</v>
      </c>
      <c r="M166" s="30">
        <f t="shared" si="11"/>
        <v>0.90340909090909094</v>
      </c>
      <c r="N166" s="30">
        <f t="shared" si="12"/>
        <v>1.1363636363636364E-2</v>
      </c>
      <c r="O166" s="30">
        <f t="shared" si="13"/>
        <v>7.3863636363636367E-2</v>
      </c>
      <c r="P166" s="31">
        <v>10</v>
      </c>
      <c r="Q166" s="31">
        <v>232</v>
      </c>
      <c r="R166" s="31">
        <v>38</v>
      </c>
      <c r="S166" s="31">
        <v>4</v>
      </c>
      <c r="T166" s="31">
        <v>284</v>
      </c>
      <c r="U166" s="32">
        <v>3.5211267605633804E-2</v>
      </c>
      <c r="V166" s="32">
        <v>0.81690140845070425</v>
      </c>
      <c r="W166" s="32">
        <v>0.13380281690140844</v>
      </c>
      <c r="X166" s="32">
        <v>1.4084507042253521E-2</v>
      </c>
      <c r="Y166" s="34">
        <v>72.852112676056336</v>
      </c>
      <c r="Z166" s="30">
        <f t="shared" si="14"/>
        <v>0.61971830985915488</v>
      </c>
    </row>
    <row r="167" spans="1:26" x14ac:dyDescent="0.25">
      <c r="A167" s="29"/>
      <c r="B167" s="29"/>
      <c r="C167" s="29"/>
      <c r="D167" s="29">
        <v>2</v>
      </c>
      <c r="E167" s="29">
        <v>213</v>
      </c>
      <c r="F167" s="29">
        <v>17</v>
      </c>
      <c r="G167" s="29">
        <v>8</v>
      </c>
      <c r="H167" s="29">
        <v>187</v>
      </c>
      <c r="I167" s="29">
        <v>212</v>
      </c>
      <c r="J167" s="29">
        <v>1</v>
      </c>
      <c r="K167" s="29">
        <f t="shared" si="10"/>
        <v>213</v>
      </c>
      <c r="L167" s="29">
        <v>0</v>
      </c>
      <c r="M167" s="30">
        <f t="shared" si="11"/>
        <v>0.8779342723004695</v>
      </c>
      <c r="N167" s="30">
        <f t="shared" si="12"/>
        <v>3.7558685446009391E-2</v>
      </c>
      <c r="O167" s="30">
        <f t="shared" si="13"/>
        <v>7.9812206572769953E-2</v>
      </c>
      <c r="P167" s="31">
        <v>39</v>
      </c>
      <c r="Q167" s="31">
        <v>195</v>
      </c>
      <c r="R167" s="31">
        <v>48</v>
      </c>
      <c r="S167" s="31">
        <v>2</v>
      </c>
      <c r="T167" s="31">
        <v>284</v>
      </c>
      <c r="U167" s="32">
        <v>0.13732394366197184</v>
      </c>
      <c r="V167" s="32">
        <v>0.68661971830985913</v>
      </c>
      <c r="W167" s="32">
        <v>0.16901408450704225</v>
      </c>
      <c r="X167" s="32">
        <v>7.0422535211267607E-3</v>
      </c>
      <c r="Y167" s="34">
        <v>46.742957746478872</v>
      </c>
      <c r="Z167" s="30">
        <f t="shared" si="14"/>
        <v>0.75</v>
      </c>
    </row>
    <row r="168" spans="1:26" x14ac:dyDescent="0.25">
      <c r="A168" s="29">
        <v>25</v>
      </c>
      <c r="B168" s="29" t="s">
        <v>206</v>
      </c>
      <c r="C168" s="29" t="s">
        <v>207</v>
      </c>
      <c r="D168" s="29">
        <v>1</v>
      </c>
      <c r="E168" s="29">
        <v>150</v>
      </c>
      <c r="F168" s="29">
        <v>22</v>
      </c>
      <c r="G168" s="29">
        <v>6</v>
      </c>
      <c r="H168" s="29">
        <v>121</v>
      </c>
      <c r="I168" s="29">
        <v>149</v>
      </c>
      <c r="J168" s="29">
        <v>1</v>
      </c>
      <c r="K168" s="29">
        <f t="shared" si="10"/>
        <v>150</v>
      </c>
      <c r="L168" s="29">
        <v>0</v>
      </c>
      <c r="M168" s="30">
        <f t="shared" si="11"/>
        <v>0.80666666666666664</v>
      </c>
      <c r="N168" s="30">
        <f t="shared" si="12"/>
        <v>0.04</v>
      </c>
      <c r="O168" s="30">
        <f t="shared" si="13"/>
        <v>0.14666666666666667</v>
      </c>
      <c r="P168" s="31">
        <v>25</v>
      </c>
      <c r="Q168" s="31">
        <v>191</v>
      </c>
      <c r="R168" s="31">
        <v>142</v>
      </c>
      <c r="S168" s="31">
        <v>22</v>
      </c>
      <c r="T168" s="31">
        <v>380</v>
      </c>
      <c r="U168" s="32">
        <v>6.5789473684210523E-2</v>
      </c>
      <c r="V168" s="32">
        <v>0.50263157894736843</v>
      </c>
      <c r="W168" s="32">
        <v>0.37368421052631579</v>
      </c>
      <c r="X168" s="32">
        <v>5.7894736842105263E-2</v>
      </c>
      <c r="Y168" s="34">
        <v>82.786842105263162</v>
      </c>
      <c r="Z168" s="30">
        <f t="shared" si="14"/>
        <v>0.39473684210526316</v>
      </c>
    </row>
    <row r="169" spans="1:26" x14ac:dyDescent="0.25">
      <c r="A169" s="29"/>
      <c r="B169" s="29"/>
      <c r="C169" s="29"/>
      <c r="D169" s="29">
        <v>2</v>
      </c>
      <c r="E169" s="29">
        <v>225</v>
      </c>
      <c r="F169" s="29">
        <v>28</v>
      </c>
      <c r="G169" s="29">
        <v>6</v>
      </c>
      <c r="H169" s="29">
        <v>190</v>
      </c>
      <c r="I169" s="29">
        <v>224</v>
      </c>
      <c r="J169" s="29">
        <v>1</v>
      </c>
      <c r="K169" s="29">
        <f t="shared" si="10"/>
        <v>225</v>
      </c>
      <c r="L169" s="29">
        <v>0</v>
      </c>
      <c r="M169" s="30">
        <f t="shared" si="11"/>
        <v>0.84444444444444444</v>
      </c>
      <c r="N169" s="30">
        <f t="shared" si="12"/>
        <v>2.6666666666666668E-2</v>
      </c>
      <c r="O169" s="30">
        <f t="shared" si="13"/>
        <v>0.12444444444444444</v>
      </c>
      <c r="P169" s="31">
        <v>24</v>
      </c>
      <c r="Q169" s="31">
        <v>199</v>
      </c>
      <c r="R169" s="31">
        <v>144</v>
      </c>
      <c r="S169" s="31">
        <v>13</v>
      </c>
      <c r="T169" s="31">
        <v>380</v>
      </c>
      <c r="U169" s="32">
        <v>6.3157894736842107E-2</v>
      </c>
      <c r="V169" s="32">
        <v>0.52368421052631575</v>
      </c>
      <c r="W169" s="32">
        <v>0.37894736842105264</v>
      </c>
      <c r="X169" s="32">
        <v>3.4210526315789476E-2</v>
      </c>
      <c r="Y169" s="34">
        <v>74.589473684210532</v>
      </c>
      <c r="Z169" s="30">
        <f t="shared" si="14"/>
        <v>0.59210526315789469</v>
      </c>
    </row>
    <row r="170" spans="1:26" x14ac:dyDescent="0.25">
      <c r="A170" s="29"/>
      <c r="B170" s="29"/>
      <c r="C170" s="29"/>
      <c r="D170" s="29">
        <v>3</v>
      </c>
      <c r="E170" s="29">
        <v>246</v>
      </c>
      <c r="F170" s="29">
        <v>26</v>
      </c>
      <c r="G170" s="29">
        <v>18</v>
      </c>
      <c r="H170" s="29">
        <v>196</v>
      </c>
      <c r="I170" s="29">
        <v>240</v>
      </c>
      <c r="J170" s="29">
        <v>6</v>
      </c>
      <c r="K170" s="29">
        <f t="shared" si="10"/>
        <v>246</v>
      </c>
      <c r="L170" s="29">
        <v>0</v>
      </c>
      <c r="M170" s="30">
        <f t="shared" si="11"/>
        <v>0.7967479674796748</v>
      </c>
      <c r="N170" s="30">
        <f t="shared" si="12"/>
        <v>7.3170731707317069E-2</v>
      </c>
      <c r="O170" s="30">
        <f t="shared" si="13"/>
        <v>0.10569105691056911</v>
      </c>
      <c r="P170" s="31">
        <v>39</v>
      </c>
      <c r="Q170" s="31">
        <v>198</v>
      </c>
      <c r="R170" s="31">
        <v>135</v>
      </c>
      <c r="S170" s="31">
        <v>8</v>
      </c>
      <c r="T170" s="31">
        <v>380</v>
      </c>
      <c r="U170" s="32">
        <v>0.10263157894736842</v>
      </c>
      <c r="V170" s="32">
        <v>0.52105263157894732</v>
      </c>
      <c r="W170" s="32">
        <v>0.35526315789473684</v>
      </c>
      <c r="X170" s="32">
        <v>2.1052631578947368E-2</v>
      </c>
      <c r="Y170" s="34">
        <v>67.418421052631572</v>
      </c>
      <c r="Z170" s="30">
        <f t="shared" si="14"/>
        <v>0.64736842105263159</v>
      </c>
    </row>
    <row r="171" spans="1:26" x14ac:dyDescent="0.25">
      <c r="A171" s="29"/>
      <c r="B171" s="29"/>
      <c r="C171" s="29"/>
      <c r="D171" s="29">
        <v>4</v>
      </c>
      <c r="E171" s="29">
        <v>253</v>
      </c>
      <c r="F171" s="29">
        <v>30</v>
      </c>
      <c r="G171" s="29">
        <v>10</v>
      </c>
      <c r="H171" s="29">
        <v>211</v>
      </c>
      <c r="I171" s="29">
        <v>251</v>
      </c>
      <c r="J171" s="29">
        <v>2</v>
      </c>
      <c r="K171" s="29">
        <f t="shared" si="10"/>
        <v>253</v>
      </c>
      <c r="L171" s="29">
        <v>0</v>
      </c>
      <c r="M171" s="30">
        <f t="shared" si="11"/>
        <v>0.83399209486166004</v>
      </c>
      <c r="N171" s="30">
        <f t="shared" si="12"/>
        <v>3.9525691699604744E-2</v>
      </c>
      <c r="O171" s="30">
        <f t="shared" si="13"/>
        <v>0.11857707509881422</v>
      </c>
      <c r="P171" s="31">
        <v>43</v>
      </c>
      <c r="Q171" s="31">
        <v>180</v>
      </c>
      <c r="R171" s="31">
        <v>149</v>
      </c>
      <c r="S171" s="31">
        <v>8</v>
      </c>
      <c r="T171" s="31">
        <v>380</v>
      </c>
      <c r="U171" s="32">
        <v>0.11315789473684211</v>
      </c>
      <c r="V171" s="32">
        <v>0.47368421052631576</v>
      </c>
      <c r="W171" s="32">
        <v>0.39210526315789473</v>
      </c>
      <c r="X171" s="32">
        <v>2.1052631578947368E-2</v>
      </c>
      <c r="Y171" s="34">
        <v>60.778947368421051</v>
      </c>
      <c r="Z171" s="30">
        <f t="shared" si="14"/>
        <v>0.66578947368421049</v>
      </c>
    </row>
    <row r="172" spans="1:26" x14ac:dyDescent="0.25">
      <c r="A172" s="29"/>
      <c r="B172" s="29"/>
      <c r="C172" s="29"/>
      <c r="D172" s="29">
        <v>5</v>
      </c>
      <c r="E172" s="29">
        <v>354</v>
      </c>
      <c r="F172" s="29">
        <v>39</v>
      </c>
      <c r="G172" s="29">
        <v>28</v>
      </c>
      <c r="H172" s="29">
        <v>286</v>
      </c>
      <c r="I172" s="29">
        <v>353</v>
      </c>
      <c r="J172" s="29">
        <v>1</v>
      </c>
      <c r="K172" s="29">
        <f t="shared" si="10"/>
        <v>354</v>
      </c>
      <c r="L172" s="29">
        <v>0</v>
      </c>
      <c r="M172" s="30">
        <f t="shared" si="11"/>
        <v>0.80790960451977401</v>
      </c>
      <c r="N172" s="30">
        <f t="shared" si="12"/>
        <v>7.909604519774012E-2</v>
      </c>
      <c r="O172" s="30">
        <f t="shared" si="13"/>
        <v>0.11016949152542373</v>
      </c>
      <c r="P172" s="31">
        <v>80</v>
      </c>
      <c r="Q172" s="31">
        <v>244</v>
      </c>
      <c r="R172" s="31">
        <v>205</v>
      </c>
      <c r="S172" s="31">
        <v>13</v>
      </c>
      <c r="T172" s="31">
        <v>542</v>
      </c>
      <c r="U172" s="32">
        <v>0.14760147601476015</v>
      </c>
      <c r="V172" s="32">
        <v>0.45018450184501846</v>
      </c>
      <c r="W172" s="32">
        <v>0.37822878228782286</v>
      </c>
      <c r="X172" s="32">
        <v>2.3985239852398525E-2</v>
      </c>
      <c r="Y172" s="34">
        <v>52.230627306273064</v>
      </c>
      <c r="Z172" s="30">
        <f t="shared" si="14"/>
        <v>0.65313653136531369</v>
      </c>
    </row>
    <row r="173" spans="1:26" x14ac:dyDescent="0.25">
      <c r="A173" s="29"/>
      <c r="B173" s="29"/>
      <c r="C173" s="29"/>
      <c r="D173" s="29">
        <v>6</v>
      </c>
      <c r="E173" s="29">
        <v>350</v>
      </c>
      <c r="F173" s="29">
        <v>35</v>
      </c>
      <c r="G173" s="29">
        <v>27</v>
      </c>
      <c r="H173" s="29">
        <v>287</v>
      </c>
      <c r="I173" s="29">
        <v>349</v>
      </c>
      <c r="J173" s="29">
        <v>1</v>
      </c>
      <c r="K173" s="29">
        <f t="shared" si="10"/>
        <v>350</v>
      </c>
      <c r="L173" s="29">
        <v>0</v>
      </c>
      <c r="M173" s="30">
        <f t="shared" si="11"/>
        <v>0.82</v>
      </c>
      <c r="N173" s="30">
        <f t="shared" si="12"/>
        <v>7.7142857142857138E-2</v>
      </c>
      <c r="O173" s="30">
        <f t="shared" si="13"/>
        <v>0.1</v>
      </c>
      <c r="P173" s="31">
        <v>100</v>
      </c>
      <c r="Q173" s="31">
        <v>220</v>
      </c>
      <c r="R173" s="31">
        <v>221</v>
      </c>
      <c r="S173" s="31">
        <v>1</v>
      </c>
      <c r="T173" s="31">
        <v>542</v>
      </c>
      <c r="U173" s="32">
        <v>0.18450184501845018</v>
      </c>
      <c r="V173" s="32">
        <v>0.4059040590405904</v>
      </c>
      <c r="W173" s="32">
        <v>0.40774907749077488</v>
      </c>
      <c r="X173" s="32">
        <v>1.8450184501845018E-3</v>
      </c>
      <c r="Y173" s="34">
        <v>39.76568265682657</v>
      </c>
      <c r="Z173" s="30">
        <f t="shared" si="14"/>
        <v>0.64575645756457567</v>
      </c>
    </row>
    <row r="174" spans="1:26" x14ac:dyDescent="0.25">
      <c r="A174" s="29"/>
      <c r="B174" s="29"/>
      <c r="C174" s="29"/>
      <c r="D174" s="29">
        <v>7</v>
      </c>
      <c r="E174" s="29">
        <v>371</v>
      </c>
      <c r="F174" s="29">
        <v>31</v>
      </c>
      <c r="G174" s="29">
        <v>41</v>
      </c>
      <c r="H174" s="29">
        <v>298</v>
      </c>
      <c r="I174" s="29">
        <v>370</v>
      </c>
      <c r="J174" s="29">
        <v>1</v>
      </c>
      <c r="K174" s="29">
        <f t="shared" si="10"/>
        <v>371</v>
      </c>
      <c r="L174" s="29">
        <v>0</v>
      </c>
      <c r="M174" s="30">
        <f t="shared" si="11"/>
        <v>0.80323450134770891</v>
      </c>
      <c r="N174" s="30">
        <f t="shared" si="12"/>
        <v>0.11051212938005391</v>
      </c>
      <c r="O174" s="30">
        <f t="shared" si="13"/>
        <v>8.3557951482479784E-2</v>
      </c>
      <c r="P174" s="31">
        <v>123</v>
      </c>
      <c r="Q174" s="31">
        <v>189</v>
      </c>
      <c r="R174" s="31">
        <v>228</v>
      </c>
      <c r="S174" s="31">
        <v>2</v>
      </c>
      <c r="T174" s="31">
        <v>542</v>
      </c>
      <c r="U174" s="32">
        <v>0.22693726937269373</v>
      </c>
      <c r="V174" s="32">
        <v>0.34870848708487084</v>
      </c>
      <c r="W174" s="32">
        <v>0.42066420664206644</v>
      </c>
      <c r="X174" s="32">
        <v>3.6900369003690036E-3</v>
      </c>
      <c r="Y174" s="34">
        <v>26.06088560885609</v>
      </c>
      <c r="Z174" s="30">
        <f t="shared" si="14"/>
        <v>0.68450184501845024</v>
      </c>
    </row>
    <row r="175" spans="1:26" x14ac:dyDescent="0.25">
      <c r="A175" s="29">
        <v>26</v>
      </c>
      <c r="B175" s="29" t="s">
        <v>208</v>
      </c>
      <c r="C175" s="29" t="s">
        <v>209</v>
      </c>
      <c r="D175" s="29">
        <v>1</v>
      </c>
      <c r="E175" s="29">
        <v>203</v>
      </c>
      <c r="F175" s="29">
        <v>30</v>
      </c>
      <c r="G175" s="29">
        <v>4</v>
      </c>
      <c r="H175" s="29">
        <v>162</v>
      </c>
      <c r="I175" s="29">
        <v>196</v>
      </c>
      <c r="J175" s="29">
        <v>7</v>
      </c>
      <c r="K175" s="29">
        <f t="shared" si="10"/>
        <v>203</v>
      </c>
      <c r="L175" s="29">
        <v>0</v>
      </c>
      <c r="M175" s="30">
        <f t="shared" si="11"/>
        <v>0.79802955665024633</v>
      </c>
      <c r="N175" s="30">
        <f t="shared" si="12"/>
        <v>1.9704433497536946E-2</v>
      </c>
      <c r="O175" s="30">
        <f t="shared" si="13"/>
        <v>0.14778325123152711</v>
      </c>
      <c r="P175" s="31">
        <v>3</v>
      </c>
      <c r="Q175" s="31">
        <v>364</v>
      </c>
      <c r="R175" s="31">
        <v>11</v>
      </c>
      <c r="S175" s="31">
        <v>2</v>
      </c>
      <c r="T175" s="31">
        <v>380</v>
      </c>
      <c r="U175" s="32">
        <v>7.8947368421052634E-3</v>
      </c>
      <c r="V175" s="32">
        <v>0.95789473684210524</v>
      </c>
      <c r="W175" s="32">
        <v>2.8947368421052631E-2</v>
      </c>
      <c r="X175" s="32">
        <v>5.263157894736842E-3</v>
      </c>
      <c r="Y175" s="34">
        <v>76.205263157894734</v>
      </c>
      <c r="Z175" s="30">
        <f t="shared" si="14"/>
        <v>0.53421052631578947</v>
      </c>
    </row>
    <row r="176" spans="1:26" x14ac:dyDescent="0.25">
      <c r="A176" s="29"/>
      <c r="B176" s="29"/>
      <c r="C176" s="29"/>
      <c r="D176" s="29">
        <v>2</v>
      </c>
      <c r="E176" s="29">
        <v>279</v>
      </c>
      <c r="F176" s="29">
        <v>32</v>
      </c>
      <c r="G176" s="29">
        <v>3</v>
      </c>
      <c r="H176" s="29">
        <v>242</v>
      </c>
      <c r="I176" s="29">
        <v>277</v>
      </c>
      <c r="J176" s="29">
        <v>2</v>
      </c>
      <c r="K176" s="29">
        <f t="shared" si="10"/>
        <v>279</v>
      </c>
      <c r="L176" s="29">
        <v>0</v>
      </c>
      <c r="M176" s="30">
        <f t="shared" si="11"/>
        <v>0.86738351254480284</v>
      </c>
      <c r="N176" s="30">
        <f t="shared" si="12"/>
        <v>1.0752688172043012E-2</v>
      </c>
      <c r="O176" s="30">
        <f t="shared" si="13"/>
        <v>0.11469534050179211</v>
      </c>
      <c r="P176" s="31">
        <v>2</v>
      </c>
      <c r="Q176" s="31">
        <v>360</v>
      </c>
      <c r="R176" s="31">
        <v>16</v>
      </c>
      <c r="S176" s="31">
        <v>2</v>
      </c>
      <c r="T176" s="31">
        <v>380</v>
      </c>
      <c r="U176" s="32">
        <v>5.263157894736842E-3</v>
      </c>
      <c r="V176" s="32">
        <v>0.94736842105263153</v>
      </c>
      <c r="W176" s="32">
        <v>4.2105263157894736E-2</v>
      </c>
      <c r="X176" s="32">
        <v>5.263157894736842E-3</v>
      </c>
      <c r="Y176" s="34">
        <v>71.118421052631575</v>
      </c>
      <c r="Z176" s="30">
        <f t="shared" si="14"/>
        <v>0.73421052631578942</v>
      </c>
    </row>
    <row r="177" spans="1:26" x14ac:dyDescent="0.25">
      <c r="A177" s="29"/>
      <c r="B177" s="29"/>
      <c r="C177" s="29"/>
      <c r="D177" s="29">
        <v>3</v>
      </c>
      <c r="E177" s="29">
        <v>313</v>
      </c>
      <c r="F177" s="29">
        <v>26</v>
      </c>
      <c r="G177" s="29">
        <v>1</v>
      </c>
      <c r="H177" s="29">
        <v>280</v>
      </c>
      <c r="I177" s="29">
        <v>307</v>
      </c>
      <c r="J177" s="29">
        <v>6</v>
      </c>
      <c r="K177" s="29">
        <f t="shared" si="10"/>
        <v>313</v>
      </c>
      <c r="L177" s="29">
        <v>0</v>
      </c>
      <c r="M177" s="30">
        <f t="shared" si="11"/>
        <v>0.89456869009584661</v>
      </c>
      <c r="N177" s="30">
        <f t="shared" si="12"/>
        <v>3.1948881789137379E-3</v>
      </c>
      <c r="O177" s="30">
        <f t="shared" si="13"/>
        <v>8.3067092651757185E-2</v>
      </c>
      <c r="P177" s="31">
        <v>1</v>
      </c>
      <c r="Q177" s="31">
        <v>358</v>
      </c>
      <c r="R177" s="31">
        <v>19</v>
      </c>
      <c r="S177" s="31">
        <v>2</v>
      </c>
      <c r="T177" s="31">
        <v>380</v>
      </c>
      <c r="U177" s="32">
        <v>2.631578947368421E-3</v>
      </c>
      <c r="V177" s="32">
        <v>0.94210526315789478</v>
      </c>
      <c r="W177" s="32">
        <v>0.05</v>
      </c>
      <c r="X177" s="32">
        <v>5.263157894736842E-3</v>
      </c>
      <c r="Y177" s="34">
        <v>64</v>
      </c>
      <c r="Z177" s="30">
        <f t="shared" si="14"/>
        <v>0.8236842105263158</v>
      </c>
    </row>
    <row r="178" spans="1:26" x14ac:dyDescent="0.25">
      <c r="A178" s="29"/>
      <c r="B178" s="29"/>
      <c r="C178" s="29"/>
      <c r="D178" s="29">
        <v>4</v>
      </c>
      <c r="E178" s="29">
        <v>305</v>
      </c>
      <c r="F178" s="29">
        <v>25</v>
      </c>
      <c r="G178" s="29">
        <v>3</v>
      </c>
      <c r="H178" s="29">
        <v>274</v>
      </c>
      <c r="I178" s="29">
        <v>302</v>
      </c>
      <c r="J178" s="29">
        <v>3</v>
      </c>
      <c r="K178" s="29">
        <f t="shared" si="10"/>
        <v>305</v>
      </c>
      <c r="L178" s="29">
        <v>0</v>
      </c>
      <c r="M178" s="30">
        <f t="shared" si="11"/>
        <v>0.89836065573770496</v>
      </c>
      <c r="N178" s="30">
        <f t="shared" si="12"/>
        <v>9.8360655737704927E-3</v>
      </c>
      <c r="O178" s="30">
        <f t="shared" si="13"/>
        <v>8.1967213114754092E-2</v>
      </c>
      <c r="P178" s="31">
        <v>8</v>
      </c>
      <c r="Q178" s="31">
        <v>361</v>
      </c>
      <c r="R178" s="31">
        <v>10</v>
      </c>
      <c r="S178" s="31">
        <v>1</v>
      </c>
      <c r="T178" s="31">
        <v>380</v>
      </c>
      <c r="U178" s="32">
        <v>2.1052631578947368E-2</v>
      </c>
      <c r="V178" s="32">
        <v>0.95</v>
      </c>
      <c r="W178" s="32">
        <v>2.6315789473684209E-2</v>
      </c>
      <c r="X178" s="32">
        <v>2.631578947368421E-3</v>
      </c>
      <c r="Y178" s="34">
        <v>58.797368421052632</v>
      </c>
      <c r="Z178" s="30">
        <f t="shared" si="14"/>
        <v>0.80263157894736847</v>
      </c>
    </row>
    <row r="179" spans="1:26" x14ac:dyDescent="0.25">
      <c r="A179" s="29"/>
      <c r="B179" s="29"/>
      <c r="C179" s="29"/>
      <c r="D179" s="29">
        <v>5</v>
      </c>
      <c r="E179" s="29">
        <v>546</v>
      </c>
      <c r="F179" s="29">
        <v>19</v>
      </c>
      <c r="G179" s="29">
        <v>8</v>
      </c>
      <c r="H179" s="29">
        <v>518</v>
      </c>
      <c r="I179" s="29">
        <v>545</v>
      </c>
      <c r="J179" s="29">
        <v>1</v>
      </c>
      <c r="K179" s="29">
        <f t="shared" si="10"/>
        <v>546</v>
      </c>
      <c r="L179" s="29">
        <v>0</v>
      </c>
      <c r="M179" s="30">
        <f t="shared" si="11"/>
        <v>0.94871794871794868</v>
      </c>
      <c r="N179" s="30">
        <f t="shared" si="12"/>
        <v>1.4652014652014652E-2</v>
      </c>
      <c r="O179" s="30">
        <f t="shared" si="13"/>
        <v>3.47985347985348E-2</v>
      </c>
      <c r="P179" s="31">
        <v>5</v>
      </c>
      <c r="Q179" s="31">
        <v>621</v>
      </c>
      <c r="R179" s="31">
        <v>18</v>
      </c>
      <c r="S179" s="31">
        <v>1</v>
      </c>
      <c r="T179" s="31">
        <v>645</v>
      </c>
      <c r="U179" s="32">
        <v>7.7519379844961239E-3</v>
      </c>
      <c r="V179" s="32">
        <v>0.96279069767441861</v>
      </c>
      <c r="W179" s="32">
        <v>2.7906976744186046E-2</v>
      </c>
      <c r="X179" s="32">
        <v>1.5503875968992248E-3</v>
      </c>
      <c r="Y179" s="34">
        <v>52.096124031007754</v>
      </c>
      <c r="Z179" s="30">
        <f t="shared" si="14"/>
        <v>0.84651162790697676</v>
      </c>
    </row>
    <row r="180" spans="1:26" x14ac:dyDescent="0.25">
      <c r="A180" s="29"/>
      <c r="B180" s="29"/>
      <c r="C180" s="29"/>
      <c r="D180" s="29">
        <v>6</v>
      </c>
      <c r="E180" s="29">
        <v>495</v>
      </c>
      <c r="F180" s="29">
        <v>21</v>
      </c>
      <c r="G180" s="29">
        <v>3</v>
      </c>
      <c r="H180" s="29">
        <v>471</v>
      </c>
      <c r="I180" s="29">
        <v>495</v>
      </c>
      <c r="J180" s="29">
        <v>0</v>
      </c>
      <c r="K180" s="29">
        <f t="shared" si="10"/>
        <v>495</v>
      </c>
      <c r="L180" s="29">
        <v>0</v>
      </c>
      <c r="M180" s="30">
        <f t="shared" si="11"/>
        <v>0.95151515151515154</v>
      </c>
      <c r="N180" s="30">
        <f t="shared" si="12"/>
        <v>6.0606060606060606E-3</v>
      </c>
      <c r="O180" s="30">
        <f t="shared" si="13"/>
        <v>4.2424242424242427E-2</v>
      </c>
      <c r="P180" s="31">
        <v>12</v>
      </c>
      <c r="Q180" s="31">
        <v>607</v>
      </c>
      <c r="R180" s="31">
        <v>26</v>
      </c>
      <c r="S180" s="31">
        <v>0</v>
      </c>
      <c r="T180" s="31">
        <v>645</v>
      </c>
      <c r="U180" s="32">
        <v>1.8604651162790697E-2</v>
      </c>
      <c r="V180" s="32">
        <v>0.94108527131782949</v>
      </c>
      <c r="W180" s="32">
        <v>4.0310077519379844E-2</v>
      </c>
      <c r="X180" s="32">
        <v>0</v>
      </c>
      <c r="Y180" s="34">
        <v>42.181395348837206</v>
      </c>
      <c r="Z180" s="30">
        <f t="shared" si="14"/>
        <v>0.76744186046511631</v>
      </c>
    </row>
    <row r="181" spans="1:26" x14ac:dyDescent="0.25">
      <c r="A181" s="29"/>
      <c r="B181" s="29"/>
      <c r="C181" s="29"/>
      <c r="D181" s="29">
        <v>7</v>
      </c>
      <c r="E181" s="29">
        <v>499</v>
      </c>
      <c r="F181" s="29">
        <v>25</v>
      </c>
      <c r="G181" s="29">
        <v>12</v>
      </c>
      <c r="H181" s="29">
        <v>462</v>
      </c>
      <c r="I181" s="29">
        <v>499</v>
      </c>
      <c r="J181" s="29">
        <v>0</v>
      </c>
      <c r="K181" s="29">
        <f t="shared" si="10"/>
        <v>499</v>
      </c>
      <c r="L181" s="29">
        <v>0</v>
      </c>
      <c r="M181" s="30">
        <f t="shared" si="11"/>
        <v>0.92585170340681366</v>
      </c>
      <c r="N181" s="30">
        <f t="shared" si="12"/>
        <v>2.4048096192384769E-2</v>
      </c>
      <c r="O181" s="30">
        <f t="shared" si="13"/>
        <v>5.0100200400801605E-2</v>
      </c>
      <c r="P181" s="31">
        <v>43</v>
      </c>
      <c r="Q181" s="31">
        <v>562</v>
      </c>
      <c r="R181" s="31">
        <v>39</v>
      </c>
      <c r="S181" s="31">
        <v>1</v>
      </c>
      <c r="T181" s="31">
        <v>645</v>
      </c>
      <c r="U181" s="32">
        <v>6.6666666666666666E-2</v>
      </c>
      <c r="V181" s="32">
        <v>0.87131782945736436</v>
      </c>
      <c r="W181" s="32">
        <v>6.0465116279069767E-2</v>
      </c>
      <c r="X181" s="32">
        <v>1.5503875968992248E-3</v>
      </c>
      <c r="Y181" s="34">
        <v>27.190697674418605</v>
      </c>
      <c r="Z181" s="30">
        <f t="shared" si="14"/>
        <v>0.77364341085271315</v>
      </c>
    </row>
    <row r="182" spans="1:26" x14ac:dyDescent="0.25">
      <c r="A182" s="29">
        <v>27</v>
      </c>
      <c r="B182" s="29" t="s">
        <v>210</v>
      </c>
      <c r="C182" s="29" t="s">
        <v>211</v>
      </c>
      <c r="D182" s="29">
        <v>1</v>
      </c>
      <c r="E182" s="29">
        <v>243</v>
      </c>
      <c r="F182" s="29">
        <v>110</v>
      </c>
      <c r="G182" s="29">
        <v>33</v>
      </c>
      <c r="H182" s="29">
        <v>97</v>
      </c>
      <c r="I182" s="29">
        <v>240</v>
      </c>
      <c r="J182" s="29">
        <v>3</v>
      </c>
      <c r="K182" s="29">
        <f t="shared" si="10"/>
        <v>243</v>
      </c>
      <c r="L182" s="29">
        <v>0</v>
      </c>
      <c r="M182" s="30">
        <f t="shared" si="11"/>
        <v>0.3991769547325103</v>
      </c>
      <c r="N182" s="30">
        <f t="shared" si="12"/>
        <v>0.13580246913580246</v>
      </c>
      <c r="O182" s="30">
        <f t="shared" si="13"/>
        <v>0.45267489711934156</v>
      </c>
      <c r="P182" s="31">
        <v>233</v>
      </c>
      <c r="Q182" s="31">
        <v>45</v>
      </c>
      <c r="R182" s="31">
        <v>39</v>
      </c>
      <c r="S182" s="31">
        <v>3</v>
      </c>
      <c r="T182" s="31">
        <v>320</v>
      </c>
      <c r="U182" s="32">
        <v>0.72812500000000002</v>
      </c>
      <c r="V182" s="32">
        <v>0.140625</v>
      </c>
      <c r="W182" s="32">
        <v>0.121875</v>
      </c>
      <c r="X182" s="32">
        <v>9.3749999999999997E-3</v>
      </c>
      <c r="Y182" s="34">
        <v>69.915625000000006</v>
      </c>
      <c r="Z182" s="30">
        <f t="shared" si="14"/>
        <v>0.75937500000000002</v>
      </c>
    </row>
    <row r="183" spans="1:26" x14ac:dyDescent="0.25">
      <c r="A183" s="29"/>
      <c r="B183" s="29"/>
      <c r="C183" s="29"/>
      <c r="D183" s="29">
        <v>2</v>
      </c>
      <c r="E183" s="29">
        <v>261</v>
      </c>
      <c r="F183" s="29">
        <v>88</v>
      </c>
      <c r="G183" s="29">
        <v>72</v>
      </c>
      <c r="H183" s="29">
        <v>97</v>
      </c>
      <c r="I183" s="29">
        <v>257</v>
      </c>
      <c r="J183" s="29">
        <v>4</v>
      </c>
      <c r="K183" s="29">
        <f t="shared" si="10"/>
        <v>261</v>
      </c>
      <c r="L183" s="29">
        <v>0</v>
      </c>
      <c r="M183" s="30">
        <f t="shared" si="11"/>
        <v>0.37164750957854409</v>
      </c>
      <c r="N183" s="30">
        <f t="shared" si="12"/>
        <v>0.27586206896551724</v>
      </c>
      <c r="O183" s="30">
        <f t="shared" si="13"/>
        <v>0.33716475095785442</v>
      </c>
      <c r="P183" s="31">
        <v>263</v>
      </c>
      <c r="Q183" s="31">
        <v>28</v>
      </c>
      <c r="R183" s="31">
        <v>26</v>
      </c>
      <c r="S183" s="31">
        <v>3</v>
      </c>
      <c r="T183" s="31">
        <v>320</v>
      </c>
      <c r="U183" s="32">
        <v>0.82187500000000002</v>
      </c>
      <c r="V183" s="32">
        <v>8.7499999999999994E-2</v>
      </c>
      <c r="W183" s="32">
        <v>8.1250000000000003E-2</v>
      </c>
      <c r="X183" s="32">
        <v>9.3749999999999997E-3</v>
      </c>
      <c r="Y183" s="34">
        <v>61.565624999999997</v>
      </c>
      <c r="Z183" s="30">
        <f t="shared" si="14"/>
        <v>0.81562500000000004</v>
      </c>
    </row>
    <row r="184" spans="1:26" x14ac:dyDescent="0.25">
      <c r="A184" s="29"/>
      <c r="B184" s="29"/>
      <c r="C184" s="29"/>
      <c r="D184" s="29">
        <v>3</v>
      </c>
      <c r="E184" s="29">
        <v>418</v>
      </c>
      <c r="F184" s="29">
        <v>137</v>
      </c>
      <c r="G184" s="29">
        <v>126</v>
      </c>
      <c r="H184" s="29">
        <v>154</v>
      </c>
      <c r="I184" s="29">
        <v>417</v>
      </c>
      <c r="J184" s="29">
        <v>1</v>
      </c>
      <c r="K184" s="29">
        <f t="shared" si="10"/>
        <v>418</v>
      </c>
      <c r="L184" s="29">
        <v>0</v>
      </c>
      <c r="M184" s="30">
        <f t="shared" si="11"/>
        <v>0.36842105263157893</v>
      </c>
      <c r="N184" s="30">
        <f t="shared" si="12"/>
        <v>0.30143540669856461</v>
      </c>
      <c r="O184" s="30">
        <f t="shared" si="13"/>
        <v>0.32775119617224879</v>
      </c>
      <c r="P184" s="31">
        <v>441</v>
      </c>
      <c r="Q184" s="31">
        <v>76</v>
      </c>
      <c r="R184" s="31">
        <v>59</v>
      </c>
      <c r="S184" s="31">
        <v>2</v>
      </c>
      <c r="T184" s="31">
        <v>578</v>
      </c>
      <c r="U184" s="32">
        <v>0.76297577854671284</v>
      </c>
      <c r="V184" s="32">
        <v>0.13148788927335639</v>
      </c>
      <c r="W184" s="32">
        <v>0.10207612456747404</v>
      </c>
      <c r="X184" s="32">
        <v>3.4602076124567475E-3</v>
      </c>
      <c r="Y184" s="34">
        <v>45.673010380622834</v>
      </c>
      <c r="Z184" s="30">
        <f t="shared" si="14"/>
        <v>0.72318339100346019</v>
      </c>
    </row>
    <row r="185" spans="1:26" x14ac:dyDescent="0.25">
      <c r="A185" s="29"/>
      <c r="B185" s="29"/>
      <c r="C185" s="29"/>
      <c r="D185" s="29">
        <v>4</v>
      </c>
      <c r="E185" s="29">
        <v>450</v>
      </c>
      <c r="F185" s="29">
        <v>137</v>
      </c>
      <c r="G185" s="29">
        <v>148</v>
      </c>
      <c r="H185" s="29">
        <v>165</v>
      </c>
      <c r="I185" s="29">
        <v>450</v>
      </c>
      <c r="J185" s="29">
        <v>0</v>
      </c>
      <c r="K185" s="29">
        <f t="shared" si="10"/>
        <v>450</v>
      </c>
      <c r="L185" s="29">
        <v>0</v>
      </c>
      <c r="M185" s="30">
        <f t="shared" si="11"/>
        <v>0.36666666666666664</v>
      </c>
      <c r="N185" s="30">
        <f t="shared" si="12"/>
        <v>0.3288888888888889</v>
      </c>
      <c r="O185" s="30">
        <f t="shared" si="13"/>
        <v>0.30444444444444446</v>
      </c>
      <c r="P185" s="31">
        <v>514</v>
      </c>
      <c r="Q185" s="31">
        <v>30</v>
      </c>
      <c r="R185" s="31">
        <v>34</v>
      </c>
      <c r="S185" s="31">
        <v>0</v>
      </c>
      <c r="T185" s="31">
        <v>578</v>
      </c>
      <c r="U185" s="32">
        <v>0.88927335640138405</v>
      </c>
      <c r="V185" s="32">
        <v>5.1903114186851208E-2</v>
      </c>
      <c r="W185" s="32">
        <v>5.8823529411764705E-2</v>
      </c>
      <c r="X185" s="32">
        <v>0</v>
      </c>
      <c r="Y185" s="34">
        <v>36.463667820069205</v>
      </c>
      <c r="Z185" s="30">
        <f t="shared" si="14"/>
        <v>0.77854671280276821</v>
      </c>
    </row>
    <row r="186" spans="1:26" x14ac:dyDescent="0.25">
      <c r="A186" s="29"/>
      <c r="B186" s="29"/>
      <c r="C186" s="29"/>
      <c r="D186" s="29">
        <v>5</v>
      </c>
      <c r="E186" s="29">
        <v>465</v>
      </c>
      <c r="F186" s="29">
        <v>114</v>
      </c>
      <c r="G186" s="29">
        <v>132</v>
      </c>
      <c r="H186" s="29">
        <v>217</v>
      </c>
      <c r="I186" s="29">
        <v>463</v>
      </c>
      <c r="J186" s="29">
        <v>2</v>
      </c>
      <c r="K186" s="29">
        <f t="shared" si="10"/>
        <v>465</v>
      </c>
      <c r="L186" s="29">
        <v>0</v>
      </c>
      <c r="M186" s="30">
        <f t="shared" si="11"/>
        <v>0.46666666666666667</v>
      </c>
      <c r="N186" s="30">
        <f t="shared" si="12"/>
        <v>0.28387096774193549</v>
      </c>
      <c r="O186" s="30">
        <f t="shared" si="13"/>
        <v>0.24516129032258063</v>
      </c>
      <c r="P186" s="31">
        <v>476</v>
      </c>
      <c r="Q186" s="31">
        <v>57</v>
      </c>
      <c r="R186" s="31">
        <v>45</v>
      </c>
      <c r="S186" s="31">
        <v>1</v>
      </c>
      <c r="T186" s="31">
        <v>579</v>
      </c>
      <c r="U186" s="32">
        <v>0.82210708117443865</v>
      </c>
      <c r="V186" s="32">
        <v>9.8445595854922283E-2</v>
      </c>
      <c r="W186" s="32">
        <v>7.7720207253886009E-2</v>
      </c>
      <c r="X186" s="32">
        <v>1.7271157167530224E-3</v>
      </c>
      <c r="Y186" s="34">
        <v>25.511226252158895</v>
      </c>
      <c r="Z186" s="30">
        <f t="shared" si="14"/>
        <v>0.80310880829015541</v>
      </c>
    </row>
    <row r="187" spans="1:26" x14ac:dyDescent="0.25">
      <c r="A187" s="29"/>
      <c r="B187" s="29"/>
      <c r="C187" s="29" t="s">
        <v>212</v>
      </c>
      <c r="D187" s="29">
        <v>1</v>
      </c>
      <c r="E187" s="29">
        <v>232</v>
      </c>
      <c r="F187" s="29">
        <v>59</v>
      </c>
      <c r="G187" s="29">
        <v>58</v>
      </c>
      <c r="H187" s="29">
        <v>114</v>
      </c>
      <c r="I187" s="29">
        <v>231</v>
      </c>
      <c r="J187" s="29">
        <v>1</v>
      </c>
      <c r="K187" s="29">
        <f t="shared" si="10"/>
        <v>232</v>
      </c>
      <c r="L187" s="29">
        <v>0</v>
      </c>
      <c r="M187" s="30">
        <f t="shared" si="11"/>
        <v>0.49137931034482757</v>
      </c>
      <c r="N187" s="30">
        <f t="shared" si="12"/>
        <v>0.25</v>
      </c>
      <c r="O187" s="30">
        <f t="shared" si="13"/>
        <v>0.25431034482758619</v>
      </c>
      <c r="P187" s="31">
        <v>171</v>
      </c>
      <c r="Q187" s="31">
        <v>65</v>
      </c>
      <c r="R187" s="31">
        <v>77</v>
      </c>
      <c r="S187" s="31">
        <v>3</v>
      </c>
      <c r="T187" s="31">
        <v>316</v>
      </c>
      <c r="U187" s="32">
        <v>0.54113924050632911</v>
      </c>
      <c r="V187" s="32">
        <v>0.20569620253164558</v>
      </c>
      <c r="W187" s="32">
        <v>0.24367088607594936</v>
      </c>
      <c r="X187" s="32">
        <v>9.4936708860759497E-3</v>
      </c>
      <c r="Y187" s="34">
        <v>48.566455696202532</v>
      </c>
      <c r="Z187" s="30">
        <f t="shared" si="14"/>
        <v>0.73417721518987344</v>
      </c>
    </row>
    <row r="188" spans="1:26" x14ac:dyDescent="0.25">
      <c r="A188" s="29"/>
      <c r="B188" s="29"/>
      <c r="C188" s="29"/>
      <c r="D188" s="29">
        <v>2</v>
      </c>
      <c r="E188" s="29">
        <v>241</v>
      </c>
      <c r="F188" s="29">
        <v>49</v>
      </c>
      <c r="G188" s="29">
        <v>73</v>
      </c>
      <c r="H188" s="29">
        <v>119</v>
      </c>
      <c r="I188" s="29">
        <v>241</v>
      </c>
      <c r="J188" s="29">
        <v>0</v>
      </c>
      <c r="K188" s="29">
        <f t="shared" si="10"/>
        <v>241</v>
      </c>
      <c r="L188" s="29">
        <v>0</v>
      </c>
      <c r="M188" s="30">
        <f t="shared" si="11"/>
        <v>0.49377593360995853</v>
      </c>
      <c r="N188" s="30">
        <f t="shared" si="12"/>
        <v>0.30290456431535268</v>
      </c>
      <c r="O188" s="30">
        <f t="shared" si="13"/>
        <v>0.2033195020746888</v>
      </c>
      <c r="P188" s="31">
        <v>211</v>
      </c>
      <c r="Q188" s="31">
        <v>59</v>
      </c>
      <c r="R188" s="31">
        <v>47</v>
      </c>
      <c r="S188" s="31">
        <v>0</v>
      </c>
      <c r="T188" s="31">
        <v>317</v>
      </c>
      <c r="U188" s="32">
        <v>0.66561514195583593</v>
      </c>
      <c r="V188" s="32">
        <v>0.18611987381703471</v>
      </c>
      <c r="W188" s="32">
        <v>0.14826498422712933</v>
      </c>
      <c r="X188" s="32">
        <v>0</v>
      </c>
      <c r="Y188" s="34">
        <v>25.050473186119874</v>
      </c>
      <c r="Z188" s="30">
        <f t="shared" si="14"/>
        <v>0.76025236593059942</v>
      </c>
    </row>
    <row r="189" spans="1:26" x14ac:dyDescent="0.25">
      <c r="A189" s="29">
        <v>28</v>
      </c>
      <c r="B189" s="29" t="s">
        <v>213</v>
      </c>
      <c r="C189" s="29" t="s">
        <v>214</v>
      </c>
      <c r="D189" s="29">
        <v>1</v>
      </c>
      <c r="E189" s="29">
        <v>198</v>
      </c>
      <c r="F189" s="29">
        <v>17</v>
      </c>
      <c r="G189" s="29">
        <v>5</v>
      </c>
      <c r="H189" s="29">
        <v>172</v>
      </c>
      <c r="I189" s="29">
        <v>194</v>
      </c>
      <c r="J189" s="29">
        <v>4</v>
      </c>
      <c r="K189" s="29">
        <f t="shared" si="10"/>
        <v>198</v>
      </c>
      <c r="L189" s="29">
        <v>0</v>
      </c>
      <c r="M189" s="30">
        <f t="shared" si="11"/>
        <v>0.86868686868686873</v>
      </c>
      <c r="N189" s="30">
        <f t="shared" si="12"/>
        <v>2.5252525252525252E-2</v>
      </c>
      <c r="O189" s="30">
        <f t="shared" si="13"/>
        <v>8.5858585858585856E-2</v>
      </c>
      <c r="P189" s="31">
        <v>27</v>
      </c>
      <c r="Q189" s="31">
        <v>135</v>
      </c>
      <c r="R189" s="31">
        <v>144</v>
      </c>
      <c r="S189" s="31">
        <v>14</v>
      </c>
      <c r="T189" s="31">
        <v>320</v>
      </c>
      <c r="U189" s="32">
        <v>8.4375000000000006E-2</v>
      </c>
      <c r="V189" s="32">
        <v>0.421875</v>
      </c>
      <c r="W189" s="32">
        <v>0.45</v>
      </c>
      <c r="X189" s="32">
        <v>4.3749999999999997E-2</v>
      </c>
      <c r="Y189" s="34">
        <v>73.478125000000006</v>
      </c>
      <c r="Z189" s="30">
        <f t="shared" si="14"/>
        <v>0.61875000000000002</v>
      </c>
    </row>
    <row r="190" spans="1:26" x14ac:dyDescent="0.25">
      <c r="A190" s="29"/>
      <c r="B190" s="29"/>
      <c r="C190" s="29"/>
      <c r="D190" s="29">
        <v>2</v>
      </c>
      <c r="E190" s="29">
        <v>256</v>
      </c>
      <c r="F190" s="29">
        <v>26</v>
      </c>
      <c r="G190" s="29">
        <v>10</v>
      </c>
      <c r="H190" s="29">
        <v>218</v>
      </c>
      <c r="I190" s="29">
        <v>254</v>
      </c>
      <c r="J190" s="29">
        <v>2</v>
      </c>
      <c r="K190" s="29">
        <f t="shared" si="10"/>
        <v>256</v>
      </c>
      <c r="L190" s="29">
        <v>0</v>
      </c>
      <c r="M190" s="30">
        <f t="shared" si="11"/>
        <v>0.8515625</v>
      </c>
      <c r="N190" s="30">
        <f t="shared" si="12"/>
        <v>3.90625E-2</v>
      </c>
      <c r="O190" s="30">
        <f t="shared" si="13"/>
        <v>0.1015625</v>
      </c>
      <c r="P190" s="31">
        <v>38</v>
      </c>
      <c r="Q190" s="31">
        <v>128</v>
      </c>
      <c r="R190" s="31">
        <v>136</v>
      </c>
      <c r="S190" s="31">
        <v>18</v>
      </c>
      <c r="T190" s="31">
        <v>320</v>
      </c>
      <c r="U190" s="32">
        <v>0.11874999999999999</v>
      </c>
      <c r="V190" s="32">
        <v>0.4</v>
      </c>
      <c r="W190" s="32">
        <v>0.42499999999999999</v>
      </c>
      <c r="X190" s="32">
        <v>5.6250000000000001E-2</v>
      </c>
      <c r="Y190" s="34">
        <v>55.353124999999999</v>
      </c>
      <c r="Z190" s="30">
        <f t="shared" si="14"/>
        <v>0.8</v>
      </c>
    </row>
    <row r="191" spans="1:26" x14ac:dyDescent="0.25">
      <c r="A191" s="29"/>
      <c r="B191" s="29"/>
      <c r="C191" s="29"/>
      <c r="D191" s="29">
        <v>3</v>
      </c>
      <c r="E191" s="29">
        <v>312</v>
      </c>
      <c r="F191" s="29">
        <v>33</v>
      </c>
      <c r="G191" s="29">
        <v>22</v>
      </c>
      <c r="H191" s="29">
        <v>257</v>
      </c>
      <c r="I191" s="29">
        <v>312</v>
      </c>
      <c r="J191" s="29">
        <v>0</v>
      </c>
      <c r="K191" s="29">
        <f t="shared" si="10"/>
        <v>312</v>
      </c>
      <c r="L191" s="29">
        <v>0</v>
      </c>
      <c r="M191" s="30">
        <f t="shared" si="11"/>
        <v>0.82371794871794868</v>
      </c>
      <c r="N191" s="30">
        <f t="shared" si="12"/>
        <v>7.0512820512820512E-2</v>
      </c>
      <c r="O191" s="30">
        <f t="shared" si="13"/>
        <v>0.10576923076923077</v>
      </c>
      <c r="P191" s="31">
        <v>77</v>
      </c>
      <c r="Q191" s="31">
        <v>174</v>
      </c>
      <c r="R191" s="31">
        <v>175</v>
      </c>
      <c r="S191" s="31">
        <v>6</v>
      </c>
      <c r="T191" s="31">
        <v>432</v>
      </c>
      <c r="U191" s="32">
        <v>0.17824074074074073</v>
      </c>
      <c r="V191" s="32">
        <v>0.40277777777777779</v>
      </c>
      <c r="W191" s="32">
        <v>0.40509259259259262</v>
      </c>
      <c r="X191" s="32">
        <v>1.3888888888888888E-2</v>
      </c>
      <c r="Y191" s="34">
        <v>37.807870370370374</v>
      </c>
      <c r="Z191" s="30">
        <f t="shared" si="14"/>
        <v>0.72222222222222221</v>
      </c>
    </row>
    <row r="192" spans="1:26" x14ac:dyDescent="0.25">
      <c r="A192" s="29">
        <v>29</v>
      </c>
      <c r="B192" s="29" t="s">
        <v>215</v>
      </c>
      <c r="C192" s="29" t="s">
        <v>216</v>
      </c>
      <c r="D192" s="29">
        <v>1</v>
      </c>
      <c r="E192" s="29">
        <v>213</v>
      </c>
      <c r="F192" s="29">
        <v>23</v>
      </c>
      <c r="G192" s="29">
        <v>6</v>
      </c>
      <c r="H192" s="29">
        <v>180</v>
      </c>
      <c r="I192" s="29">
        <v>209</v>
      </c>
      <c r="J192" s="29">
        <v>4</v>
      </c>
      <c r="K192" s="29">
        <f t="shared" si="10"/>
        <v>213</v>
      </c>
      <c r="L192" s="29">
        <v>0</v>
      </c>
      <c r="M192" s="30">
        <f t="shared" si="11"/>
        <v>0.84507042253521125</v>
      </c>
      <c r="N192" s="30">
        <f t="shared" si="12"/>
        <v>2.8169014084507043E-2</v>
      </c>
      <c r="O192" s="30">
        <f t="shared" si="13"/>
        <v>0.107981220657277</v>
      </c>
      <c r="P192" s="31">
        <v>27</v>
      </c>
      <c r="Q192" s="31">
        <v>251</v>
      </c>
      <c r="R192" s="31">
        <v>94</v>
      </c>
      <c r="S192" s="31">
        <v>8</v>
      </c>
      <c r="T192" s="31">
        <v>380</v>
      </c>
      <c r="U192" s="32">
        <v>7.1052631578947367E-2</v>
      </c>
      <c r="V192" s="32">
        <v>0.66052631578947374</v>
      </c>
      <c r="W192" s="32">
        <v>0.24736842105263157</v>
      </c>
      <c r="X192" s="32">
        <v>2.1052631578947368E-2</v>
      </c>
      <c r="Y192" s="34">
        <v>76.184210526315795</v>
      </c>
      <c r="Z192" s="30">
        <f t="shared" si="14"/>
        <v>0.56052631578947365</v>
      </c>
    </row>
    <row r="193" spans="1:26" x14ac:dyDescent="0.25">
      <c r="A193" s="29"/>
      <c r="B193" s="29"/>
      <c r="C193" s="29"/>
      <c r="D193" s="29">
        <v>2</v>
      </c>
      <c r="E193" s="29">
        <v>288</v>
      </c>
      <c r="F193" s="29">
        <v>30</v>
      </c>
      <c r="G193" s="29">
        <v>12</v>
      </c>
      <c r="H193" s="29">
        <v>246</v>
      </c>
      <c r="I193" s="29">
        <v>288</v>
      </c>
      <c r="J193" s="29">
        <v>0</v>
      </c>
      <c r="K193" s="29">
        <f t="shared" si="10"/>
        <v>288</v>
      </c>
      <c r="L193" s="29">
        <v>0</v>
      </c>
      <c r="M193" s="30">
        <f t="shared" si="11"/>
        <v>0.85416666666666663</v>
      </c>
      <c r="N193" s="30">
        <f t="shared" si="12"/>
        <v>4.1666666666666664E-2</v>
      </c>
      <c r="O193" s="30">
        <f t="shared" si="13"/>
        <v>0.10416666666666667</v>
      </c>
      <c r="P193" s="31">
        <v>42</v>
      </c>
      <c r="Q193" s="31">
        <v>239</v>
      </c>
      <c r="R193" s="31">
        <v>93</v>
      </c>
      <c r="S193" s="31">
        <v>6</v>
      </c>
      <c r="T193" s="31">
        <v>380</v>
      </c>
      <c r="U193" s="32">
        <v>0.11052631578947368</v>
      </c>
      <c r="V193" s="32">
        <v>0.62894736842105259</v>
      </c>
      <c r="W193" s="32">
        <v>0.24473684210526317</v>
      </c>
      <c r="X193" s="32">
        <v>1.5789473684210527E-2</v>
      </c>
      <c r="Y193" s="34">
        <v>63.478947368421053</v>
      </c>
      <c r="Z193" s="30">
        <f t="shared" si="14"/>
        <v>0.75789473684210529</v>
      </c>
    </row>
    <row r="194" spans="1:26" x14ac:dyDescent="0.25">
      <c r="A194" s="29"/>
      <c r="B194" s="29"/>
      <c r="C194" s="29"/>
      <c r="D194" s="29">
        <v>3</v>
      </c>
      <c r="E194" s="29">
        <v>327</v>
      </c>
      <c r="F194" s="29">
        <v>41</v>
      </c>
      <c r="G194" s="29">
        <v>9</v>
      </c>
      <c r="H194" s="29">
        <v>273</v>
      </c>
      <c r="I194" s="29">
        <v>323</v>
      </c>
      <c r="J194" s="29">
        <v>4</v>
      </c>
      <c r="K194" s="29">
        <f t="shared" si="10"/>
        <v>327</v>
      </c>
      <c r="L194" s="29">
        <v>0</v>
      </c>
      <c r="M194" s="30">
        <f t="shared" si="11"/>
        <v>0.83486238532110091</v>
      </c>
      <c r="N194" s="30">
        <f t="shared" si="12"/>
        <v>2.7522935779816515E-2</v>
      </c>
      <c r="O194" s="30">
        <f t="shared" si="13"/>
        <v>0.12538226299694188</v>
      </c>
      <c r="P194" s="31">
        <v>45</v>
      </c>
      <c r="Q194" s="31">
        <v>276</v>
      </c>
      <c r="R194" s="31">
        <v>101</v>
      </c>
      <c r="S194" s="31">
        <v>13</v>
      </c>
      <c r="T194" s="31">
        <v>435</v>
      </c>
      <c r="U194" s="32">
        <v>0.10344827586206896</v>
      </c>
      <c r="V194" s="32">
        <v>0.6344827586206897</v>
      </c>
      <c r="W194" s="32">
        <v>0.23218390804597702</v>
      </c>
      <c r="X194" s="32">
        <v>2.9885057471264367E-2</v>
      </c>
      <c r="Y194" s="34">
        <v>52.793103448275865</v>
      </c>
      <c r="Z194" s="30">
        <f t="shared" si="14"/>
        <v>0.75172413793103443</v>
      </c>
    </row>
    <row r="195" spans="1:26" x14ac:dyDescent="0.25">
      <c r="A195" s="29"/>
      <c r="B195" s="29"/>
      <c r="C195" s="29"/>
      <c r="D195" s="29">
        <v>4</v>
      </c>
      <c r="E195" s="29">
        <v>303</v>
      </c>
      <c r="F195" s="29">
        <v>36</v>
      </c>
      <c r="G195" s="29">
        <v>19</v>
      </c>
      <c r="H195" s="29">
        <v>246</v>
      </c>
      <c r="I195" s="29">
        <v>301</v>
      </c>
      <c r="J195" s="29">
        <v>2</v>
      </c>
      <c r="K195" s="29">
        <f t="shared" ref="K195:K258" si="15">J195+I195</f>
        <v>303</v>
      </c>
      <c r="L195" s="29">
        <v>0</v>
      </c>
      <c r="M195" s="30">
        <f t="shared" ref="M195:M258" si="16">H195/K195</f>
        <v>0.81188118811881194</v>
      </c>
      <c r="N195" s="30">
        <f t="shared" ref="N195:N258" si="17">G195/K195</f>
        <v>6.2706270627062702E-2</v>
      </c>
      <c r="O195" s="30">
        <f t="shared" ref="O195:O258" si="18">F195/K195</f>
        <v>0.11881188118811881</v>
      </c>
      <c r="P195" s="31">
        <v>66</v>
      </c>
      <c r="Q195" s="31">
        <v>258</v>
      </c>
      <c r="R195" s="31">
        <v>105</v>
      </c>
      <c r="S195" s="31">
        <v>7</v>
      </c>
      <c r="T195" s="31">
        <v>436</v>
      </c>
      <c r="U195" s="32">
        <v>0.15137614678899083</v>
      </c>
      <c r="V195" s="32">
        <v>0.59174311926605505</v>
      </c>
      <c r="W195" s="32">
        <v>0.24082568807339449</v>
      </c>
      <c r="X195" s="32">
        <v>1.6055045871559634E-2</v>
      </c>
      <c r="Y195" s="34">
        <v>39.199541284403672</v>
      </c>
      <c r="Z195" s="30">
        <f t="shared" ref="Z195:Z258" si="19">K195/T195</f>
        <v>0.69495412844036697</v>
      </c>
    </row>
    <row r="196" spans="1:26" x14ac:dyDescent="0.25">
      <c r="A196" s="29"/>
      <c r="B196" s="29"/>
      <c r="C196" s="29"/>
      <c r="D196" s="29">
        <v>5</v>
      </c>
      <c r="E196" s="29">
        <v>325</v>
      </c>
      <c r="F196" s="29">
        <v>49</v>
      </c>
      <c r="G196" s="29">
        <v>41</v>
      </c>
      <c r="H196" s="29">
        <v>233</v>
      </c>
      <c r="I196" s="29">
        <v>323</v>
      </c>
      <c r="J196" s="29">
        <v>2</v>
      </c>
      <c r="K196" s="29">
        <f t="shared" si="15"/>
        <v>325</v>
      </c>
      <c r="L196" s="29">
        <v>0</v>
      </c>
      <c r="M196" s="30">
        <f t="shared" si="16"/>
        <v>0.71692307692307689</v>
      </c>
      <c r="N196" s="30">
        <f t="shared" si="17"/>
        <v>0.12615384615384614</v>
      </c>
      <c r="O196" s="30">
        <f t="shared" si="18"/>
        <v>0.15076923076923077</v>
      </c>
      <c r="P196" s="31">
        <v>125</v>
      </c>
      <c r="Q196" s="31">
        <v>215</v>
      </c>
      <c r="R196" s="31">
        <v>85</v>
      </c>
      <c r="S196" s="31">
        <v>11</v>
      </c>
      <c r="T196" s="31">
        <v>436</v>
      </c>
      <c r="U196" s="32">
        <v>0.28669724770642202</v>
      </c>
      <c r="V196" s="32">
        <v>0.49311926605504586</v>
      </c>
      <c r="W196" s="32">
        <v>0.19495412844036697</v>
      </c>
      <c r="X196" s="32">
        <v>2.5229357798165139E-2</v>
      </c>
      <c r="Y196" s="34">
        <v>26.522935779816514</v>
      </c>
      <c r="Z196" s="30">
        <f t="shared" si="19"/>
        <v>0.74541284403669728</v>
      </c>
    </row>
    <row r="197" spans="1:26" x14ac:dyDescent="0.25">
      <c r="A197" s="29">
        <v>30</v>
      </c>
      <c r="B197" s="29" t="s">
        <v>217</v>
      </c>
      <c r="C197" s="29" t="s">
        <v>218</v>
      </c>
      <c r="D197" s="29">
        <v>1</v>
      </c>
      <c r="E197" s="29">
        <v>247</v>
      </c>
      <c r="F197" s="29">
        <v>59</v>
      </c>
      <c r="G197" s="29">
        <v>15</v>
      </c>
      <c r="H197" s="29">
        <v>168</v>
      </c>
      <c r="I197" s="29">
        <v>242</v>
      </c>
      <c r="J197" s="29">
        <v>5</v>
      </c>
      <c r="K197" s="29">
        <f t="shared" si="15"/>
        <v>247</v>
      </c>
      <c r="L197" s="29">
        <v>0</v>
      </c>
      <c r="M197" s="30">
        <f t="shared" si="16"/>
        <v>0.68016194331983804</v>
      </c>
      <c r="N197" s="30">
        <f t="shared" si="17"/>
        <v>6.0728744939271252E-2</v>
      </c>
      <c r="O197" s="30">
        <f t="shared" si="18"/>
        <v>0.23886639676113361</v>
      </c>
      <c r="P197" s="31">
        <v>66</v>
      </c>
      <c r="Q197" s="31">
        <v>126</v>
      </c>
      <c r="R197" s="31">
        <v>180</v>
      </c>
      <c r="S197" s="31">
        <v>8</v>
      </c>
      <c r="T197" s="31">
        <v>380</v>
      </c>
      <c r="U197" s="32">
        <v>0.1736842105263158</v>
      </c>
      <c r="V197" s="32">
        <v>0.33157894736842103</v>
      </c>
      <c r="W197" s="32">
        <v>0.47368421052631576</v>
      </c>
      <c r="X197" s="32">
        <v>2.1052631578947368E-2</v>
      </c>
      <c r="Y197" s="34">
        <v>72.284210526315789</v>
      </c>
      <c r="Z197" s="30">
        <f t="shared" si="19"/>
        <v>0.65</v>
      </c>
    </row>
    <row r="198" spans="1:26" x14ac:dyDescent="0.25">
      <c r="A198" s="29"/>
      <c r="B198" s="29"/>
      <c r="C198" s="29"/>
      <c r="D198" s="29">
        <v>2</v>
      </c>
      <c r="E198" s="29">
        <v>305</v>
      </c>
      <c r="F198" s="29">
        <v>56</v>
      </c>
      <c r="G198" s="29">
        <v>17</v>
      </c>
      <c r="H198" s="29">
        <v>227</v>
      </c>
      <c r="I198" s="29">
        <v>300</v>
      </c>
      <c r="J198" s="29">
        <v>5</v>
      </c>
      <c r="K198" s="29">
        <f t="shared" si="15"/>
        <v>305</v>
      </c>
      <c r="L198" s="29">
        <v>0</v>
      </c>
      <c r="M198" s="30">
        <f t="shared" si="16"/>
        <v>0.74426229508196717</v>
      </c>
      <c r="N198" s="30">
        <f t="shared" si="17"/>
        <v>5.5737704918032788E-2</v>
      </c>
      <c r="O198" s="30">
        <f t="shared" si="18"/>
        <v>0.18360655737704917</v>
      </c>
      <c r="P198" s="31">
        <v>77</v>
      </c>
      <c r="Q198" s="31">
        <v>91</v>
      </c>
      <c r="R198" s="31">
        <v>204</v>
      </c>
      <c r="S198" s="31">
        <v>8</v>
      </c>
      <c r="T198" s="31">
        <v>380</v>
      </c>
      <c r="U198" s="32">
        <v>0.20263157894736841</v>
      </c>
      <c r="V198" s="32">
        <v>0.23947368421052631</v>
      </c>
      <c r="W198" s="32">
        <v>0.5368421052631579</v>
      </c>
      <c r="X198" s="32">
        <v>2.1052631578947368E-2</v>
      </c>
      <c r="Y198" s="34">
        <v>65.305263157894743</v>
      </c>
      <c r="Z198" s="30">
        <f t="shared" si="19"/>
        <v>0.80263157894736847</v>
      </c>
    </row>
    <row r="199" spans="1:26" x14ac:dyDescent="0.25">
      <c r="A199" s="29"/>
      <c r="B199" s="29"/>
      <c r="C199" s="29"/>
      <c r="D199" s="29">
        <v>3</v>
      </c>
      <c r="E199" s="29">
        <v>316</v>
      </c>
      <c r="F199" s="29">
        <v>62</v>
      </c>
      <c r="G199" s="29">
        <v>30</v>
      </c>
      <c r="H199" s="29">
        <v>216</v>
      </c>
      <c r="I199" s="29">
        <v>308</v>
      </c>
      <c r="J199" s="29">
        <v>7</v>
      </c>
      <c r="K199" s="29">
        <f t="shared" si="15"/>
        <v>315</v>
      </c>
      <c r="L199" s="29">
        <v>1</v>
      </c>
      <c r="M199" s="30">
        <f t="shared" si="16"/>
        <v>0.68571428571428572</v>
      </c>
      <c r="N199" s="30">
        <f t="shared" si="17"/>
        <v>9.5238095238095233E-2</v>
      </c>
      <c r="O199" s="30">
        <f t="shared" si="18"/>
        <v>0.19682539682539682</v>
      </c>
      <c r="P199" s="31">
        <v>92</v>
      </c>
      <c r="Q199" s="31">
        <v>82</v>
      </c>
      <c r="R199" s="31">
        <v>195</v>
      </c>
      <c r="S199" s="31">
        <v>11</v>
      </c>
      <c r="T199" s="31">
        <v>380</v>
      </c>
      <c r="U199" s="32">
        <v>0.24210526315789474</v>
      </c>
      <c r="V199" s="32">
        <v>0.21578947368421053</v>
      </c>
      <c r="W199" s="32">
        <v>0.51315789473684215</v>
      </c>
      <c r="X199" s="32">
        <v>2.8947368421052631E-2</v>
      </c>
      <c r="Y199" s="34">
        <v>56.873684210526314</v>
      </c>
      <c r="Z199" s="30">
        <f t="shared" si="19"/>
        <v>0.82894736842105265</v>
      </c>
    </row>
    <row r="200" spans="1:26" x14ac:dyDescent="0.25">
      <c r="A200" s="29"/>
      <c r="B200" s="29"/>
      <c r="C200" s="29"/>
      <c r="D200" s="29">
        <v>4</v>
      </c>
      <c r="E200" s="29">
        <v>401</v>
      </c>
      <c r="F200" s="29">
        <v>83</v>
      </c>
      <c r="G200" s="29">
        <v>60</v>
      </c>
      <c r="H200" s="29">
        <v>224</v>
      </c>
      <c r="I200" s="29">
        <v>367</v>
      </c>
      <c r="J200" s="29">
        <v>34</v>
      </c>
      <c r="K200" s="29">
        <f t="shared" si="15"/>
        <v>401</v>
      </c>
      <c r="L200" s="29">
        <v>0</v>
      </c>
      <c r="M200" s="30">
        <f t="shared" si="16"/>
        <v>0.55860349127182041</v>
      </c>
      <c r="N200" s="30">
        <f t="shared" si="17"/>
        <v>0.14962593516209477</v>
      </c>
      <c r="O200" s="30">
        <f t="shared" si="18"/>
        <v>0.20698254364089774</v>
      </c>
      <c r="P200" s="31">
        <v>276</v>
      </c>
      <c r="Q200" s="31">
        <v>135</v>
      </c>
      <c r="R200" s="31">
        <v>173</v>
      </c>
      <c r="S200" s="31">
        <v>13</v>
      </c>
      <c r="T200" s="31">
        <v>597</v>
      </c>
      <c r="U200" s="32">
        <v>0.46231155778894473</v>
      </c>
      <c r="V200" s="32">
        <v>0.22613065326633167</v>
      </c>
      <c r="W200" s="32">
        <v>0.2897822445561139</v>
      </c>
      <c r="X200" s="32">
        <v>2.1775544388609715E-2</v>
      </c>
      <c r="Y200" s="34">
        <v>49.077051926298161</v>
      </c>
      <c r="Z200" s="30">
        <f t="shared" si="19"/>
        <v>0.67169179229480735</v>
      </c>
    </row>
    <row r="201" spans="1:26" x14ac:dyDescent="0.25">
      <c r="A201" s="29"/>
      <c r="B201" s="29"/>
      <c r="C201" s="29"/>
      <c r="D201" s="29">
        <v>5</v>
      </c>
      <c r="E201" s="29">
        <v>420</v>
      </c>
      <c r="F201" s="29">
        <v>67</v>
      </c>
      <c r="G201" s="29">
        <v>81</v>
      </c>
      <c r="H201" s="29">
        <v>271</v>
      </c>
      <c r="I201" s="29">
        <v>419</v>
      </c>
      <c r="J201" s="29">
        <v>1</v>
      </c>
      <c r="K201" s="29">
        <f t="shared" si="15"/>
        <v>420</v>
      </c>
      <c r="L201" s="29">
        <v>0</v>
      </c>
      <c r="M201" s="30">
        <f t="shared" si="16"/>
        <v>0.64523809523809528</v>
      </c>
      <c r="N201" s="30">
        <f t="shared" si="17"/>
        <v>0.19285714285714287</v>
      </c>
      <c r="O201" s="30">
        <f t="shared" si="18"/>
        <v>0.15952380952380951</v>
      </c>
      <c r="P201" s="31">
        <v>261</v>
      </c>
      <c r="Q201" s="31">
        <v>99</v>
      </c>
      <c r="R201" s="31">
        <v>224</v>
      </c>
      <c r="S201" s="31">
        <v>13</v>
      </c>
      <c r="T201" s="31">
        <v>597</v>
      </c>
      <c r="U201" s="32">
        <v>0.43718592964824121</v>
      </c>
      <c r="V201" s="32">
        <v>0.16582914572864321</v>
      </c>
      <c r="W201" s="32">
        <v>0.37520938023450584</v>
      </c>
      <c r="X201" s="32">
        <v>2.1775544388609715E-2</v>
      </c>
      <c r="Y201" s="34">
        <v>41.825795644891123</v>
      </c>
      <c r="Z201" s="30">
        <f t="shared" si="19"/>
        <v>0.70351758793969854</v>
      </c>
    </row>
    <row r="202" spans="1:26" x14ac:dyDescent="0.25">
      <c r="A202" s="29"/>
      <c r="B202" s="29"/>
      <c r="C202" s="29"/>
      <c r="D202" s="29">
        <v>6</v>
      </c>
      <c r="E202" s="29">
        <v>396</v>
      </c>
      <c r="F202" s="29">
        <v>66</v>
      </c>
      <c r="G202" s="29">
        <v>56</v>
      </c>
      <c r="H202" s="29">
        <v>269</v>
      </c>
      <c r="I202" s="29">
        <v>391</v>
      </c>
      <c r="J202" s="29">
        <v>5</v>
      </c>
      <c r="K202" s="29">
        <f t="shared" si="15"/>
        <v>396</v>
      </c>
      <c r="L202" s="29">
        <v>0</v>
      </c>
      <c r="M202" s="30">
        <f t="shared" si="16"/>
        <v>0.67929292929292928</v>
      </c>
      <c r="N202" s="30">
        <f t="shared" si="17"/>
        <v>0.14141414141414141</v>
      </c>
      <c r="O202" s="30">
        <f t="shared" si="18"/>
        <v>0.16666666666666666</v>
      </c>
      <c r="P202" s="31">
        <v>268</v>
      </c>
      <c r="Q202" s="31">
        <v>82</v>
      </c>
      <c r="R202" s="31">
        <v>238</v>
      </c>
      <c r="S202" s="31">
        <v>10</v>
      </c>
      <c r="T202" s="31">
        <v>598</v>
      </c>
      <c r="U202" s="32">
        <v>0.44816053511705684</v>
      </c>
      <c r="V202" s="32">
        <v>0.13712374581939799</v>
      </c>
      <c r="W202" s="32">
        <v>0.39799331103678931</v>
      </c>
      <c r="X202" s="32">
        <v>1.6722408026755852E-2</v>
      </c>
      <c r="Y202" s="34">
        <v>35.449832775919731</v>
      </c>
      <c r="Z202" s="30">
        <f t="shared" si="19"/>
        <v>0.66220735785953178</v>
      </c>
    </row>
    <row r="203" spans="1:26" x14ac:dyDescent="0.25">
      <c r="A203" s="29"/>
      <c r="B203" s="29"/>
      <c r="C203" s="29"/>
      <c r="D203" s="29">
        <v>7</v>
      </c>
      <c r="E203" s="29">
        <v>458</v>
      </c>
      <c r="F203" s="29">
        <v>59</v>
      </c>
      <c r="G203" s="29">
        <v>65</v>
      </c>
      <c r="H203" s="29">
        <v>331</v>
      </c>
      <c r="I203" s="29">
        <v>455</v>
      </c>
      <c r="J203" s="29">
        <v>3</v>
      </c>
      <c r="K203" s="29">
        <f t="shared" si="15"/>
        <v>458</v>
      </c>
      <c r="L203" s="29">
        <v>0</v>
      </c>
      <c r="M203" s="30">
        <f t="shared" si="16"/>
        <v>0.72270742358078599</v>
      </c>
      <c r="N203" s="30">
        <f t="shared" si="17"/>
        <v>0.14192139737991266</v>
      </c>
      <c r="O203" s="30">
        <f t="shared" si="18"/>
        <v>0.12882096069868995</v>
      </c>
      <c r="P203" s="31">
        <v>210</v>
      </c>
      <c r="Q203" s="31">
        <v>87</v>
      </c>
      <c r="R203" s="31">
        <v>301</v>
      </c>
      <c r="S203" s="31">
        <v>0</v>
      </c>
      <c r="T203" s="31">
        <v>598</v>
      </c>
      <c r="U203" s="32">
        <v>0.3511705685618729</v>
      </c>
      <c r="V203" s="32">
        <v>0.14548494983277591</v>
      </c>
      <c r="W203" s="32">
        <v>0.50334448160535117</v>
      </c>
      <c r="X203" s="32">
        <v>0</v>
      </c>
      <c r="Y203" s="34">
        <v>25.008361204013379</v>
      </c>
      <c r="Z203" s="30">
        <f t="shared" si="19"/>
        <v>0.76588628762541811</v>
      </c>
    </row>
    <row r="204" spans="1:26" x14ac:dyDescent="0.25">
      <c r="A204" s="105">
        <v>31</v>
      </c>
      <c r="B204" s="105" t="s">
        <v>219</v>
      </c>
      <c r="C204" s="105" t="s">
        <v>220</v>
      </c>
      <c r="D204" s="105">
        <v>1</v>
      </c>
      <c r="E204" s="105">
        <v>267</v>
      </c>
      <c r="F204" s="105">
        <v>51</v>
      </c>
      <c r="G204" s="105">
        <v>8</v>
      </c>
      <c r="H204" s="105">
        <v>206</v>
      </c>
      <c r="I204" s="105">
        <v>265</v>
      </c>
      <c r="J204" s="105">
        <v>2</v>
      </c>
      <c r="K204" s="105">
        <f t="shared" si="15"/>
        <v>267</v>
      </c>
      <c r="L204" s="105">
        <v>0</v>
      </c>
      <c r="M204" s="106">
        <f t="shared" si="16"/>
        <v>0.77153558052434457</v>
      </c>
      <c r="N204" s="106">
        <f t="shared" si="17"/>
        <v>2.9962546816479401E-2</v>
      </c>
      <c r="O204" s="106">
        <f t="shared" si="18"/>
        <v>0.19101123595505617</v>
      </c>
      <c r="P204" s="107">
        <v>46</v>
      </c>
      <c r="Q204" s="107">
        <v>279</v>
      </c>
      <c r="R204" s="107">
        <v>54</v>
      </c>
      <c r="S204" s="107">
        <v>1</v>
      </c>
      <c r="T204" s="107">
        <v>380</v>
      </c>
      <c r="U204" s="108">
        <v>0.12105263157894737</v>
      </c>
      <c r="V204" s="108">
        <v>0.73421052631578942</v>
      </c>
      <c r="W204" s="108">
        <v>0.14210526315789473</v>
      </c>
      <c r="X204" s="108">
        <v>2.631578947368421E-3</v>
      </c>
      <c r="Y204" s="109">
        <v>69.815789473684205</v>
      </c>
      <c r="Z204" s="106">
        <f t="shared" si="19"/>
        <v>0.70263157894736838</v>
      </c>
    </row>
    <row r="205" spans="1:26" x14ac:dyDescent="0.25">
      <c r="A205" s="105"/>
      <c r="B205" s="105"/>
      <c r="C205" s="105"/>
      <c r="D205" s="105">
        <v>2</v>
      </c>
      <c r="E205" s="105">
        <v>324</v>
      </c>
      <c r="F205" s="105">
        <v>51</v>
      </c>
      <c r="G205" s="105">
        <v>10</v>
      </c>
      <c r="H205" s="105">
        <v>263</v>
      </c>
      <c r="I205" s="105">
        <v>324</v>
      </c>
      <c r="J205" s="105">
        <v>0</v>
      </c>
      <c r="K205" s="105">
        <f t="shared" si="15"/>
        <v>324</v>
      </c>
      <c r="L205" s="105">
        <v>0</v>
      </c>
      <c r="M205" s="106">
        <f t="shared" si="16"/>
        <v>0.81172839506172845</v>
      </c>
      <c r="N205" s="106">
        <f t="shared" si="17"/>
        <v>3.0864197530864196E-2</v>
      </c>
      <c r="O205" s="106">
        <f t="shared" si="18"/>
        <v>0.15740740740740741</v>
      </c>
      <c r="P205" s="107">
        <v>48</v>
      </c>
      <c r="Q205" s="107">
        <v>305</v>
      </c>
      <c r="R205" s="107">
        <v>27</v>
      </c>
      <c r="S205" s="107">
        <v>0</v>
      </c>
      <c r="T205" s="107">
        <v>380</v>
      </c>
      <c r="U205" s="108">
        <v>0.12631578947368421</v>
      </c>
      <c r="V205" s="108">
        <v>0.80263157894736847</v>
      </c>
      <c r="W205" s="108">
        <v>7.1052631578947367E-2</v>
      </c>
      <c r="X205" s="108">
        <v>0</v>
      </c>
      <c r="Y205" s="109">
        <v>62.042105263157893</v>
      </c>
      <c r="Z205" s="106">
        <f t="shared" si="19"/>
        <v>0.85263157894736841</v>
      </c>
    </row>
    <row r="206" spans="1:26" x14ac:dyDescent="0.25">
      <c r="A206" s="105"/>
      <c r="B206" s="105"/>
      <c r="C206" s="105"/>
      <c r="D206" s="105">
        <v>3</v>
      </c>
      <c r="E206" s="105">
        <v>325</v>
      </c>
      <c r="F206" s="105">
        <v>43</v>
      </c>
      <c r="G206" s="105">
        <v>13</v>
      </c>
      <c r="H206" s="105">
        <v>268</v>
      </c>
      <c r="I206" s="105">
        <v>324</v>
      </c>
      <c r="J206" s="105">
        <v>1</v>
      </c>
      <c r="K206" s="105">
        <f t="shared" si="15"/>
        <v>325</v>
      </c>
      <c r="L206" s="105">
        <v>0</v>
      </c>
      <c r="M206" s="106">
        <f t="shared" si="16"/>
        <v>0.82461538461538464</v>
      </c>
      <c r="N206" s="106">
        <f t="shared" si="17"/>
        <v>0.04</v>
      </c>
      <c r="O206" s="106">
        <f t="shared" si="18"/>
        <v>0.13230769230769232</v>
      </c>
      <c r="P206" s="107">
        <v>40</v>
      </c>
      <c r="Q206" s="107">
        <v>305</v>
      </c>
      <c r="R206" s="107">
        <v>32</v>
      </c>
      <c r="S206" s="107">
        <v>3</v>
      </c>
      <c r="T206" s="107">
        <v>380</v>
      </c>
      <c r="U206" s="108">
        <v>0.10526315789473684</v>
      </c>
      <c r="V206" s="108">
        <v>0.80263157894736847</v>
      </c>
      <c r="W206" s="108">
        <v>8.4210526315789472E-2</v>
      </c>
      <c r="X206" s="108">
        <v>7.8947368421052634E-3</v>
      </c>
      <c r="Y206" s="109">
        <v>54.976315789473681</v>
      </c>
      <c r="Z206" s="106">
        <f t="shared" si="19"/>
        <v>0.85526315789473684</v>
      </c>
    </row>
    <row r="207" spans="1:26" x14ac:dyDescent="0.25">
      <c r="A207" s="105"/>
      <c r="B207" s="105"/>
      <c r="C207" s="105"/>
      <c r="D207" s="105">
        <v>4</v>
      </c>
      <c r="E207" s="105">
        <v>513</v>
      </c>
      <c r="F207" s="105">
        <v>29</v>
      </c>
      <c r="G207" s="105">
        <v>27</v>
      </c>
      <c r="H207" s="105">
        <v>453</v>
      </c>
      <c r="I207" s="105">
        <v>509</v>
      </c>
      <c r="J207" s="105">
        <v>4</v>
      </c>
      <c r="K207" s="105">
        <f t="shared" si="15"/>
        <v>513</v>
      </c>
      <c r="L207" s="105">
        <v>0</v>
      </c>
      <c r="M207" s="106">
        <f t="shared" si="16"/>
        <v>0.88304093567251463</v>
      </c>
      <c r="N207" s="106">
        <f t="shared" si="17"/>
        <v>5.2631578947368418E-2</v>
      </c>
      <c r="O207" s="106">
        <f t="shared" si="18"/>
        <v>5.6530214424951264E-2</v>
      </c>
      <c r="P207" s="107">
        <v>52</v>
      </c>
      <c r="Q207" s="107">
        <v>482</v>
      </c>
      <c r="R207" s="107">
        <v>85</v>
      </c>
      <c r="S207" s="107">
        <v>1</v>
      </c>
      <c r="T207" s="107">
        <v>620</v>
      </c>
      <c r="U207" s="108">
        <v>8.387096774193549E-2</v>
      </c>
      <c r="V207" s="108">
        <v>0.77741935483870972</v>
      </c>
      <c r="W207" s="108">
        <v>0.13709677419354838</v>
      </c>
      <c r="X207" s="108">
        <v>1.6129032258064516E-3</v>
      </c>
      <c r="Y207" s="109">
        <v>47.196774193548386</v>
      </c>
      <c r="Z207" s="106">
        <f t="shared" si="19"/>
        <v>0.82741935483870965</v>
      </c>
    </row>
    <row r="208" spans="1:26" x14ac:dyDescent="0.25">
      <c r="A208" s="105"/>
      <c r="B208" s="105"/>
      <c r="C208" s="105"/>
      <c r="D208" s="105">
        <v>5</v>
      </c>
      <c r="E208" s="105">
        <v>459</v>
      </c>
      <c r="F208" s="105">
        <v>31</v>
      </c>
      <c r="G208" s="105">
        <v>18</v>
      </c>
      <c r="H208" s="105">
        <v>410</v>
      </c>
      <c r="I208" s="105">
        <v>459</v>
      </c>
      <c r="J208" s="105">
        <v>0</v>
      </c>
      <c r="K208" s="105">
        <f t="shared" si="15"/>
        <v>459</v>
      </c>
      <c r="L208" s="105">
        <v>0</v>
      </c>
      <c r="M208" s="106">
        <f t="shared" si="16"/>
        <v>0.89324618736383443</v>
      </c>
      <c r="N208" s="106">
        <f t="shared" si="17"/>
        <v>3.9215686274509803E-2</v>
      </c>
      <c r="O208" s="106">
        <f t="shared" si="18"/>
        <v>6.7538126361655779E-2</v>
      </c>
      <c r="P208" s="107">
        <v>65</v>
      </c>
      <c r="Q208" s="107">
        <v>444</v>
      </c>
      <c r="R208" s="107">
        <v>112</v>
      </c>
      <c r="S208" s="107">
        <v>0</v>
      </c>
      <c r="T208" s="107">
        <v>621</v>
      </c>
      <c r="U208" s="108">
        <v>0.10466988727858294</v>
      </c>
      <c r="V208" s="108">
        <v>0.71497584541062797</v>
      </c>
      <c r="W208" s="108">
        <v>0.18035426731078905</v>
      </c>
      <c r="X208" s="108">
        <v>0</v>
      </c>
      <c r="Y208" s="109">
        <v>37.122383252818032</v>
      </c>
      <c r="Z208" s="106">
        <f t="shared" si="19"/>
        <v>0.73913043478260865</v>
      </c>
    </row>
    <row r="209" spans="1:26" x14ac:dyDescent="0.25">
      <c r="A209" s="105"/>
      <c r="B209" s="105"/>
      <c r="C209" s="105"/>
      <c r="D209" s="105">
        <v>6</v>
      </c>
      <c r="E209" s="105">
        <v>483</v>
      </c>
      <c r="F209" s="105">
        <v>30</v>
      </c>
      <c r="G209" s="105">
        <v>34</v>
      </c>
      <c r="H209" s="105">
        <v>408</v>
      </c>
      <c r="I209" s="105">
        <v>472</v>
      </c>
      <c r="J209" s="105">
        <v>11</v>
      </c>
      <c r="K209" s="105">
        <f t="shared" si="15"/>
        <v>483</v>
      </c>
      <c r="L209" s="105">
        <v>0</v>
      </c>
      <c r="M209" s="106">
        <f t="shared" si="16"/>
        <v>0.84472049689440998</v>
      </c>
      <c r="N209" s="106">
        <f t="shared" si="17"/>
        <v>7.0393374741200831E-2</v>
      </c>
      <c r="O209" s="106">
        <f t="shared" si="18"/>
        <v>6.2111801242236024E-2</v>
      </c>
      <c r="P209" s="107">
        <v>82</v>
      </c>
      <c r="Q209" s="107">
        <v>400</v>
      </c>
      <c r="R209" s="107">
        <v>138</v>
      </c>
      <c r="S209" s="107">
        <v>1</v>
      </c>
      <c r="T209" s="107">
        <v>621</v>
      </c>
      <c r="U209" s="108">
        <v>0.1320450885668277</v>
      </c>
      <c r="V209" s="108">
        <v>0.64412238325281801</v>
      </c>
      <c r="W209" s="108">
        <v>0.22222222222222221</v>
      </c>
      <c r="X209" s="108">
        <v>1.6103059581320451E-3</v>
      </c>
      <c r="Y209" s="109">
        <v>24.62962962962963</v>
      </c>
      <c r="Z209" s="106">
        <f t="shared" si="19"/>
        <v>0.77777777777777779</v>
      </c>
    </row>
    <row r="210" spans="1:26" x14ac:dyDescent="0.25">
      <c r="A210" s="105">
        <v>31</v>
      </c>
      <c r="B210" s="105" t="s">
        <v>219</v>
      </c>
      <c r="C210" s="105" t="s">
        <v>221</v>
      </c>
      <c r="D210" s="105">
        <v>1</v>
      </c>
      <c r="E210" s="105">
        <v>284</v>
      </c>
      <c r="F210" s="105">
        <v>121</v>
      </c>
      <c r="G210" s="105">
        <v>21</v>
      </c>
      <c r="H210" s="105">
        <v>139</v>
      </c>
      <c r="I210" s="105">
        <v>281</v>
      </c>
      <c r="J210" s="105">
        <v>3</v>
      </c>
      <c r="K210" s="105">
        <f t="shared" si="15"/>
        <v>284</v>
      </c>
      <c r="L210" s="105">
        <v>0</v>
      </c>
      <c r="M210" s="106">
        <f t="shared" si="16"/>
        <v>0.48943661971830987</v>
      </c>
      <c r="N210" s="106">
        <f t="shared" si="17"/>
        <v>7.3943661971830985E-2</v>
      </c>
      <c r="O210" s="106">
        <f t="shared" si="18"/>
        <v>0.426056338028169</v>
      </c>
      <c r="P210" s="107">
        <v>189</v>
      </c>
      <c r="Q210" s="107">
        <v>123</v>
      </c>
      <c r="R210" s="107">
        <v>56</v>
      </c>
      <c r="S210" s="107">
        <v>2</v>
      </c>
      <c r="T210" s="107">
        <v>370</v>
      </c>
      <c r="U210" s="108">
        <v>0.51081081081081081</v>
      </c>
      <c r="V210" s="108">
        <v>0.33243243243243242</v>
      </c>
      <c r="W210" s="108">
        <v>0.15135135135135136</v>
      </c>
      <c r="X210" s="108">
        <v>5.4054054054054057E-3</v>
      </c>
      <c r="Y210" s="109">
        <v>65.248648648648654</v>
      </c>
      <c r="Z210" s="106">
        <f t="shared" si="19"/>
        <v>0.76756756756756761</v>
      </c>
    </row>
    <row r="211" spans="1:26" x14ac:dyDescent="0.25">
      <c r="A211" s="105"/>
      <c r="B211" s="105"/>
      <c r="C211" s="105"/>
      <c r="D211" s="105">
        <v>2</v>
      </c>
      <c r="E211" s="105">
        <v>343</v>
      </c>
      <c r="F211" s="105">
        <v>92</v>
      </c>
      <c r="G211" s="105">
        <v>52</v>
      </c>
      <c r="H211" s="105">
        <v>197</v>
      </c>
      <c r="I211" s="105">
        <v>341</v>
      </c>
      <c r="J211" s="105">
        <v>2</v>
      </c>
      <c r="K211" s="105">
        <f t="shared" si="15"/>
        <v>343</v>
      </c>
      <c r="L211" s="105">
        <v>0</v>
      </c>
      <c r="M211" s="106">
        <f t="shared" si="16"/>
        <v>0.57434402332361512</v>
      </c>
      <c r="N211" s="106">
        <f t="shared" si="17"/>
        <v>0.15160349854227406</v>
      </c>
      <c r="O211" s="106">
        <f t="shared" si="18"/>
        <v>0.26822157434402333</v>
      </c>
      <c r="P211" s="107">
        <v>190</v>
      </c>
      <c r="Q211" s="107">
        <v>157</v>
      </c>
      <c r="R211" s="107">
        <v>80</v>
      </c>
      <c r="S211" s="107">
        <v>2</v>
      </c>
      <c r="T211" s="107">
        <v>429</v>
      </c>
      <c r="U211" s="108">
        <v>0.44289044289044288</v>
      </c>
      <c r="V211" s="108">
        <v>0.36596736596736595</v>
      </c>
      <c r="W211" s="108">
        <v>0.18648018648018649</v>
      </c>
      <c r="X211" s="108">
        <v>4.662004662004662E-3</v>
      </c>
      <c r="Y211" s="109">
        <v>44.694638694638698</v>
      </c>
      <c r="Z211" s="106">
        <f t="shared" si="19"/>
        <v>0.79953379953379955</v>
      </c>
    </row>
    <row r="212" spans="1:26" x14ac:dyDescent="0.25">
      <c r="A212" s="105"/>
      <c r="B212" s="105"/>
      <c r="C212" s="105"/>
      <c r="D212" s="105">
        <v>3</v>
      </c>
      <c r="E212" s="105">
        <v>324</v>
      </c>
      <c r="F212" s="105">
        <v>102</v>
      </c>
      <c r="G212" s="105">
        <v>114</v>
      </c>
      <c r="H212" s="105">
        <v>107</v>
      </c>
      <c r="I212" s="105">
        <v>323</v>
      </c>
      <c r="J212" s="105">
        <v>1</v>
      </c>
      <c r="K212" s="105">
        <f t="shared" si="15"/>
        <v>324</v>
      </c>
      <c r="L212" s="105">
        <v>0</v>
      </c>
      <c r="M212" s="106">
        <f t="shared" si="16"/>
        <v>0.33024691358024694</v>
      </c>
      <c r="N212" s="106">
        <f t="shared" si="17"/>
        <v>0.35185185185185186</v>
      </c>
      <c r="O212" s="106">
        <f t="shared" si="18"/>
        <v>0.31481481481481483</v>
      </c>
      <c r="P212" s="107">
        <v>356</v>
      </c>
      <c r="Q212" s="107">
        <v>51</v>
      </c>
      <c r="R212" s="107">
        <v>22</v>
      </c>
      <c r="S212" s="107">
        <v>0</v>
      </c>
      <c r="T212" s="107">
        <v>429</v>
      </c>
      <c r="U212" s="108">
        <v>0.82983682983682983</v>
      </c>
      <c r="V212" s="108">
        <v>0.11888111888111888</v>
      </c>
      <c r="W212" s="108">
        <v>5.128205128205128E-2</v>
      </c>
      <c r="X212" s="108">
        <v>0</v>
      </c>
      <c r="Y212" s="109">
        <v>27.547785547785548</v>
      </c>
      <c r="Z212" s="106">
        <f t="shared" si="19"/>
        <v>0.75524475524475521</v>
      </c>
    </row>
    <row r="213" spans="1:26" x14ac:dyDescent="0.25">
      <c r="A213" s="105">
        <v>32</v>
      </c>
      <c r="B213" s="105" t="s">
        <v>222</v>
      </c>
      <c r="C213" s="105" t="s">
        <v>223</v>
      </c>
      <c r="D213" s="105">
        <v>1</v>
      </c>
      <c r="E213" s="105">
        <v>256</v>
      </c>
      <c r="F213" s="105">
        <v>31</v>
      </c>
      <c r="G213" s="105">
        <v>11</v>
      </c>
      <c r="H213" s="105">
        <v>210</v>
      </c>
      <c r="I213" s="105">
        <v>252</v>
      </c>
      <c r="J213" s="105">
        <v>4</v>
      </c>
      <c r="K213" s="105">
        <f t="shared" si="15"/>
        <v>256</v>
      </c>
      <c r="L213" s="105">
        <v>0</v>
      </c>
      <c r="M213" s="106">
        <f t="shared" si="16"/>
        <v>0.8203125</v>
      </c>
      <c r="N213" s="106">
        <f t="shared" si="17"/>
        <v>4.296875E-2</v>
      </c>
      <c r="O213" s="106">
        <f t="shared" si="18"/>
        <v>0.12109375</v>
      </c>
      <c r="P213" s="107">
        <v>51</v>
      </c>
      <c r="Q213" s="107">
        <v>142</v>
      </c>
      <c r="R213" s="107">
        <v>172</v>
      </c>
      <c r="S213" s="107">
        <v>15</v>
      </c>
      <c r="T213" s="107">
        <v>380</v>
      </c>
      <c r="U213" s="108">
        <v>0.13421052631578947</v>
      </c>
      <c r="V213" s="108">
        <v>0.37368421052631579</v>
      </c>
      <c r="W213" s="108">
        <v>0.45263157894736844</v>
      </c>
      <c r="X213" s="108">
        <v>3.9473684210526314E-2</v>
      </c>
      <c r="Y213" s="109">
        <v>70.95</v>
      </c>
      <c r="Z213" s="106">
        <f t="shared" si="19"/>
        <v>0.67368421052631577</v>
      </c>
    </row>
    <row r="214" spans="1:26" x14ac:dyDescent="0.25">
      <c r="A214" s="105"/>
      <c r="B214" s="105"/>
      <c r="C214" s="105"/>
      <c r="D214" s="105">
        <v>2</v>
      </c>
      <c r="E214" s="105">
        <v>283</v>
      </c>
      <c r="F214" s="105">
        <v>39</v>
      </c>
      <c r="G214" s="105">
        <v>7</v>
      </c>
      <c r="H214" s="105">
        <v>231</v>
      </c>
      <c r="I214" s="105">
        <v>277</v>
      </c>
      <c r="J214" s="105">
        <v>6</v>
      </c>
      <c r="K214" s="105">
        <f t="shared" si="15"/>
        <v>283</v>
      </c>
      <c r="L214" s="105">
        <v>0</v>
      </c>
      <c r="M214" s="106">
        <f t="shared" si="16"/>
        <v>0.81625441696113077</v>
      </c>
      <c r="N214" s="106">
        <f t="shared" si="17"/>
        <v>2.4734982332155476E-2</v>
      </c>
      <c r="O214" s="106">
        <f t="shared" si="18"/>
        <v>0.13780918727915195</v>
      </c>
      <c r="P214" s="107">
        <v>38</v>
      </c>
      <c r="Q214" s="107">
        <v>153</v>
      </c>
      <c r="R214" s="107">
        <v>181</v>
      </c>
      <c r="S214" s="107">
        <v>8</v>
      </c>
      <c r="T214" s="107">
        <v>380</v>
      </c>
      <c r="U214" s="108">
        <v>0.1</v>
      </c>
      <c r="V214" s="108">
        <v>0.4026315789473684</v>
      </c>
      <c r="W214" s="108">
        <v>0.47631578947368419</v>
      </c>
      <c r="X214" s="108">
        <v>2.1052631578947368E-2</v>
      </c>
      <c r="Y214" s="109">
        <v>64.297368421052639</v>
      </c>
      <c r="Z214" s="106">
        <f t="shared" si="19"/>
        <v>0.74473684210526314</v>
      </c>
    </row>
    <row r="215" spans="1:26" x14ac:dyDescent="0.25">
      <c r="A215" s="105"/>
      <c r="B215" s="105"/>
      <c r="C215" s="105"/>
      <c r="D215" s="105">
        <v>3</v>
      </c>
      <c r="E215" s="105">
        <v>295</v>
      </c>
      <c r="F215" s="105">
        <v>36</v>
      </c>
      <c r="G215" s="105">
        <v>10</v>
      </c>
      <c r="H215" s="105">
        <v>246</v>
      </c>
      <c r="I215" s="105">
        <v>292</v>
      </c>
      <c r="J215" s="105">
        <v>3</v>
      </c>
      <c r="K215" s="105">
        <f t="shared" si="15"/>
        <v>295</v>
      </c>
      <c r="L215" s="105">
        <v>0</v>
      </c>
      <c r="M215" s="106">
        <f t="shared" si="16"/>
        <v>0.83389830508474572</v>
      </c>
      <c r="N215" s="106">
        <f t="shared" si="17"/>
        <v>3.3898305084745763E-2</v>
      </c>
      <c r="O215" s="106">
        <f t="shared" si="18"/>
        <v>0.12203389830508475</v>
      </c>
      <c r="P215" s="107">
        <v>40</v>
      </c>
      <c r="Q215" s="107">
        <v>155</v>
      </c>
      <c r="R215" s="107">
        <v>176</v>
      </c>
      <c r="S215" s="107">
        <v>9</v>
      </c>
      <c r="T215" s="107">
        <v>380</v>
      </c>
      <c r="U215" s="108">
        <v>0.10526315789473684</v>
      </c>
      <c r="V215" s="108">
        <v>0.40789473684210525</v>
      </c>
      <c r="W215" s="108">
        <v>0.4631578947368421</v>
      </c>
      <c r="X215" s="108">
        <v>2.368421052631579E-2</v>
      </c>
      <c r="Y215" s="109">
        <v>55.381578947368418</v>
      </c>
      <c r="Z215" s="106">
        <f t="shared" si="19"/>
        <v>0.77631578947368418</v>
      </c>
    </row>
    <row r="216" spans="1:26" x14ac:dyDescent="0.25">
      <c r="A216" s="105"/>
      <c r="B216" s="105"/>
      <c r="C216" s="105"/>
      <c r="D216" s="105">
        <v>4</v>
      </c>
      <c r="E216" s="105">
        <v>448</v>
      </c>
      <c r="F216" s="105">
        <v>30</v>
      </c>
      <c r="G216" s="105">
        <v>37</v>
      </c>
      <c r="H216" s="105">
        <v>380</v>
      </c>
      <c r="I216" s="105">
        <v>447</v>
      </c>
      <c r="J216" s="105">
        <v>1</v>
      </c>
      <c r="K216" s="105">
        <f t="shared" si="15"/>
        <v>448</v>
      </c>
      <c r="L216" s="105">
        <v>0</v>
      </c>
      <c r="M216" s="106">
        <f t="shared" si="16"/>
        <v>0.8482142857142857</v>
      </c>
      <c r="N216" s="106">
        <f t="shared" si="17"/>
        <v>8.2589285714285712E-2</v>
      </c>
      <c r="O216" s="106">
        <f t="shared" si="18"/>
        <v>6.6964285714285712E-2</v>
      </c>
      <c r="P216" s="107">
        <v>74</v>
      </c>
      <c r="Q216" s="107">
        <v>260</v>
      </c>
      <c r="R216" s="107">
        <v>242</v>
      </c>
      <c r="S216" s="107">
        <v>14</v>
      </c>
      <c r="T216" s="107">
        <v>590</v>
      </c>
      <c r="U216" s="108">
        <v>0.12542372881355932</v>
      </c>
      <c r="V216" s="108">
        <v>0.44067796610169491</v>
      </c>
      <c r="W216" s="108">
        <v>0.4101694915254237</v>
      </c>
      <c r="X216" s="108">
        <v>2.3728813559322035E-2</v>
      </c>
      <c r="Y216" s="109">
        <v>45.538983050847456</v>
      </c>
      <c r="Z216" s="106">
        <f t="shared" si="19"/>
        <v>0.7593220338983051</v>
      </c>
    </row>
    <row r="217" spans="1:26" x14ac:dyDescent="0.25">
      <c r="A217" s="105"/>
      <c r="B217" s="105"/>
      <c r="C217" s="105"/>
      <c r="D217" s="105">
        <v>5</v>
      </c>
      <c r="E217" s="105">
        <v>419</v>
      </c>
      <c r="F217" s="105">
        <v>36</v>
      </c>
      <c r="G217" s="105">
        <v>24</v>
      </c>
      <c r="H217" s="105">
        <v>358</v>
      </c>
      <c r="I217" s="105">
        <v>418</v>
      </c>
      <c r="J217" s="105">
        <v>1</v>
      </c>
      <c r="K217" s="105">
        <f t="shared" si="15"/>
        <v>419</v>
      </c>
      <c r="L217" s="105">
        <v>0</v>
      </c>
      <c r="M217" s="106">
        <f t="shared" si="16"/>
        <v>0.85441527446300713</v>
      </c>
      <c r="N217" s="106">
        <f t="shared" si="17"/>
        <v>5.7279236276849645E-2</v>
      </c>
      <c r="O217" s="106">
        <f t="shared" si="18"/>
        <v>8.5918854415274457E-2</v>
      </c>
      <c r="P217" s="107">
        <v>81</v>
      </c>
      <c r="Q217" s="107">
        <v>256</v>
      </c>
      <c r="R217" s="107">
        <v>245</v>
      </c>
      <c r="S217" s="107">
        <v>8</v>
      </c>
      <c r="T217" s="107">
        <v>590</v>
      </c>
      <c r="U217" s="108">
        <v>0.13728813559322034</v>
      </c>
      <c r="V217" s="108">
        <v>0.43389830508474575</v>
      </c>
      <c r="W217" s="108">
        <v>0.4152542372881356</v>
      </c>
      <c r="X217" s="108">
        <v>1.3559322033898305E-2</v>
      </c>
      <c r="Y217" s="109">
        <v>35.537288135593222</v>
      </c>
      <c r="Z217" s="106">
        <f t="shared" si="19"/>
        <v>0.71016949152542375</v>
      </c>
    </row>
    <row r="218" spans="1:26" x14ac:dyDescent="0.25">
      <c r="A218" s="105"/>
      <c r="B218" s="105"/>
      <c r="C218" s="105"/>
      <c r="D218" s="105">
        <v>6</v>
      </c>
      <c r="E218" s="105">
        <v>426</v>
      </c>
      <c r="F218" s="105">
        <v>30</v>
      </c>
      <c r="G218" s="105">
        <v>30</v>
      </c>
      <c r="H218" s="105">
        <v>363</v>
      </c>
      <c r="I218" s="105">
        <v>423</v>
      </c>
      <c r="J218" s="105">
        <v>3</v>
      </c>
      <c r="K218" s="105">
        <f t="shared" si="15"/>
        <v>426</v>
      </c>
      <c r="L218" s="105">
        <v>0</v>
      </c>
      <c r="M218" s="106">
        <f t="shared" si="16"/>
        <v>0.852112676056338</v>
      </c>
      <c r="N218" s="106">
        <f t="shared" si="17"/>
        <v>7.0422535211267609E-2</v>
      </c>
      <c r="O218" s="106">
        <f t="shared" si="18"/>
        <v>7.0422535211267609E-2</v>
      </c>
      <c r="P218" s="107">
        <v>85</v>
      </c>
      <c r="Q218" s="107">
        <v>218</v>
      </c>
      <c r="R218" s="107">
        <v>280</v>
      </c>
      <c r="S218" s="107">
        <v>7</v>
      </c>
      <c r="T218" s="107">
        <v>590</v>
      </c>
      <c r="U218" s="108">
        <v>0.1440677966101695</v>
      </c>
      <c r="V218" s="108">
        <v>0.36949152542372882</v>
      </c>
      <c r="W218" s="108">
        <v>0.47457627118644069</v>
      </c>
      <c r="X218" s="108">
        <v>1.1864406779661017E-2</v>
      </c>
      <c r="Y218" s="109">
        <v>24.349152542372881</v>
      </c>
      <c r="Z218" s="106">
        <f t="shared" si="19"/>
        <v>0.7220338983050848</v>
      </c>
    </row>
    <row r="219" spans="1:26" x14ac:dyDescent="0.25">
      <c r="A219" s="105">
        <v>33</v>
      </c>
      <c r="B219" s="105" t="s">
        <v>224</v>
      </c>
      <c r="C219" s="105" t="s">
        <v>225</v>
      </c>
      <c r="D219" s="105">
        <v>1</v>
      </c>
      <c r="E219" s="105">
        <v>298</v>
      </c>
      <c r="F219" s="105">
        <v>50</v>
      </c>
      <c r="G219" s="105">
        <v>9</v>
      </c>
      <c r="H219" s="105">
        <v>239</v>
      </c>
      <c r="I219" s="105">
        <v>298</v>
      </c>
      <c r="J219" s="105">
        <v>0</v>
      </c>
      <c r="K219" s="105">
        <f t="shared" si="15"/>
        <v>298</v>
      </c>
      <c r="L219" s="105">
        <v>0</v>
      </c>
      <c r="M219" s="106">
        <f t="shared" si="16"/>
        <v>0.80201342281879195</v>
      </c>
      <c r="N219" s="106">
        <f t="shared" si="17"/>
        <v>3.0201342281879196E-2</v>
      </c>
      <c r="O219" s="106">
        <f t="shared" si="18"/>
        <v>0.16778523489932887</v>
      </c>
      <c r="P219" s="107">
        <v>33</v>
      </c>
      <c r="Q219" s="107">
        <v>314</v>
      </c>
      <c r="R219" s="107">
        <v>51</v>
      </c>
      <c r="S219" s="107">
        <v>2</v>
      </c>
      <c r="T219" s="107">
        <v>400</v>
      </c>
      <c r="U219" s="108">
        <v>8.2500000000000004E-2</v>
      </c>
      <c r="V219" s="108">
        <v>0.78500000000000003</v>
      </c>
      <c r="W219" s="108">
        <v>0.1275</v>
      </c>
      <c r="X219" s="108">
        <v>5.0000000000000001E-3</v>
      </c>
      <c r="Y219" s="109">
        <v>69.075000000000003</v>
      </c>
      <c r="Z219" s="106">
        <f t="shared" si="19"/>
        <v>0.745</v>
      </c>
    </row>
    <row r="220" spans="1:26" x14ac:dyDescent="0.25">
      <c r="A220" s="105"/>
      <c r="B220" s="105"/>
      <c r="C220" s="105"/>
      <c r="D220" s="105">
        <v>2</v>
      </c>
      <c r="E220" s="105">
        <v>426</v>
      </c>
      <c r="F220" s="105">
        <v>52</v>
      </c>
      <c r="G220" s="105">
        <v>49</v>
      </c>
      <c r="H220" s="105">
        <v>325</v>
      </c>
      <c r="I220" s="105">
        <v>426</v>
      </c>
      <c r="J220" s="105">
        <v>0</v>
      </c>
      <c r="K220" s="105">
        <f t="shared" si="15"/>
        <v>426</v>
      </c>
      <c r="L220" s="105">
        <v>0</v>
      </c>
      <c r="M220" s="106">
        <f t="shared" si="16"/>
        <v>0.76291079812206575</v>
      </c>
      <c r="N220" s="106">
        <f t="shared" si="17"/>
        <v>0.11502347417840375</v>
      </c>
      <c r="O220" s="106">
        <f t="shared" si="18"/>
        <v>0.12206572769953052</v>
      </c>
      <c r="P220" s="107">
        <v>146</v>
      </c>
      <c r="Q220" s="107">
        <v>369</v>
      </c>
      <c r="R220" s="107">
        <v>89</v>
      </c>
      <c r="S220" s="107">
        <v>0</v>
      </c>
      <c r="T220" s="107">
        <v>604</v>
      </c>
      <c r="U220" s="108">
        <v>0.24172185430463577</v>
      </c>
      <c r="V220" s="108">
        <v>0.61092715231788075</v>
      </c>
      <c r="W220" s="108">
        <v>0.14735099337748345</v>
      </c>
      <c r="X220" s="108">
        <v>0</v>
      </c>
      <c r="Y220" s="109">
        <v>32.602649006622514</v>
      </c>
      <c r="Z220" s="106">
        <f t="shared" si="19"/>
        <v>0.70529801324503316</v>
      </c>
    </row>
    <row r="221" spans="1:26" x14ac:dyDescent="0.25">
      <c r="A221" s="105">
        <v>34</v>
      </c>
      <c r="B221" s="105" t="s">
        <v>226</v>
      </c>
      <c r="C221" s="105" t="s">
        <v>227</v>
      </c>
      <c r="D221" s="105">
        <v>1</v>
      </c>
      <c r="E221" s="105">
        <v>191</v>
      </c>
      <c r="F221" s="105">
        <v>37</v>
      </c>
      <c r="G221" s="105">
        <v>13</v>
      </c>
      <c r="H221" s="105">
        <v>134</v>
      </c>
      <c r="I221" s="105">
        <v>184</v>
      </c>
      <c r="J221" s="105">
        <v>7</v>
      </c>
      <c r="K221" s="105">
        <f t="shared" si="15"/>
        <v>191</v>
      </c>
      <c r="L221" s="105">
        <v>0</v>
      </c>
      <c r="M221" s="106">
        <f t="shared" si="16"/>
        <v>0.70157068062827221</v>
      </c>
      <c r="N221" s="106">
        <f t="shared" si="17"/>
        <v>6.8062827225130892E-2</v>
      </c>
      <c r="O221" s="106">
        <f t="shared" si="18"/>
        <v>0.193717277486911</v>
      </c>
      <c r="P221" s="107">
        <v>54</v>
      </c>
      <c r="Q221" s="107">
        <v>182</v>
      </c>
      <c r="R221" s="107">
        <v>126</v>
      </c>
      <c r="S221" s="107">
        <v>8</v>
      </c>
      <c r="T221" s="107">
        <v>370</v>
      </c>
      <c r="U221" s="108">
        <v>0.14594594594594595</v>
      </c>
      <c r="V221" s="108">
        <v>0.49189189189189192</v>
      </c>
      <c r="W221" s="108">
        <v>0.34054054054054056</v>
      </c>
      <c r="X221" s="108">
        <v>2.1621621621621623E-2</v>
      </c>
      <c r="Y221" s="109">
        <v>68.781081081081084</v>
      </c>
      <c r="Z221" s="106">
        <f t="shared" si="19"/>
        <v>0.51621621621621616</v>
      </c>
    </row>
    <row r="222" spans="1:26" x14ac:dyDescent="0.25">
      <c r="A222" s="105"/>
      <c r="B222" s="105"/>
      <c r="C222" s="105"/>
      <c r="D222" s="105">
        <v>2</v>
      </c>
      <c r="E222" s="105">
        <v>283</v>
      </c>
      <c r="F222" s="105">
        <v>48</v>
      </c>
      <c r="G222" s="105">
        <v>10</v>
      </c>
      <c r="H222" s="105">
        <v>222</v>
      </c>
      <c r="I222" s="105">
        <v>280</v>
      </c>
      <c r="J222" s="105">
        <v>3</v>
      </c>
      <c r="K222" s="105">
        <f t="shared" si="15"/>
        <v>283</v>
      </c>
      <c r="L222" s="105">
        <v>0</v>
      </c>
      <c r="M222" s="106">
        <f t="shared" si="16"/>
        <v>0.78445229681978801</v>
      </c>
      <c r="N222" s="106">
        <f t="shared" si="17"/>
        <v>3.5335689045936397E-2</v>
      </c>
      <c r="O222" s="106">
        <f t="shared" si="18"/>
        <v>0.16961130742049471</v>
      </c>
      <c r="P222" s="107">
        <v>51</v>
      </c>
      <c r="Q222" s="107">
        <v>211</v>
      </c>
      <c r="R222" s="107">
        <v>105</v>
      </c>
      <c r="S222" s="107">
        <v>3</v>
      </c>
      <c r="T222" s="107">
        <v>370</v>
      </c>
      <c r="U222" s="108">
        <v>0.13783783783783785</v>
      </c>
      <c r="V222" s="108">
        <v>0.57027027027027022</v>
      </c>
      <c r="W222" s="108">
        <v>0.28378378378378377</v>
      </c>
      <c r="X222" s="108">
        <v>8.1081081081081086E-3</v>
      </c>
      <c r="Y222" s="109">
        <v>74.697297297297297</v>
      </c>
      <c r="Z222" s="106">
        <f t="shared" si="19"/>
        <v>0.76486486486486482</v>
      </c>
    </row>
    <row r="223" spans="1:26" x14ac:dyDescent="0.25">
      <c r="A223" s="105"/>
      <c r="B223" s="105"/>
      <c r="C223" s="105"/>
      <c r="D223" s="105">
        <v>3</v>
      </c>
      <c r="E223" s="105">
        <v>294</v>
      </c>
      <c r="F223" s="105">
        <v>53</v>
      </c>
      <c r="G223" s="105">
        <v>20</v>
      </c>
      <c r="H223" s="105">
        <v>219</v>
      </c>
      <c r="I223" s="105">
        <v>292</v>
      </c>
      <c r="J223" s="105">
        <v>2</v>
      </c>
      <c r="K223" s="105">
        <f t="shared" si="15"/>
        <v>294</v>
      </c>
      <c r="L223" s="105">
        <v>0</v>
      </c>
      <c r="M223" s="106">
        <f t="shared" si="16"/>
        <v>0.74489795918367352</v>
      </c>
      <c r="N223" s="106">
        <f t="shared" si="17"/>
        <v>6.8027210884353748E-2</v>
      </c>
      <c r="O223" s="106">
        <f t="shared" si="18"/>
        <v>0.18027210884353742</v>
      </c>
      <c r="P223" s="107">
        <v>69</v>
      </c>
      <c r="Q223" s="107">
        <v>185</v>
      </c>
      <c r="R223" s="107">
        <v>111</v>
      </c>
      <c r="S223" s="107">
        <v>5</v>
      </c>
      <c r="T223" s="107">
        <v>370</v>
      </c>
      <c r="U223" s="108">
        <v>0.1864864864864865</v>
      </c>
      <c r="V223" s="108">
        <v>0.5</v>
      </c>
      <c r="W223" s="108">
        <v>0.3</v>
      </c>
      <c r="X223" s="108">
        <v>1.3513513513513514E-2</v>
      </c>
      <c r="Y223" s="109">
        <v>70.413513513513507</v>
      </c>
      <c r="Z223" s="106">
        <f t="shared" si="19"/>
        <v>0.79459459459459458</v>
      </c>
    </row>
    <row r="224" spans="1:26" x14ac:dyDescent="0.25">
      <c r="A224" s="105"/>
      <c r="B224" s="105"/>
      <c r="C224" s="105"/>
      <c r="D224" s="105">
        <v>4</v>
      </c>
      <c r="E224" s="105">
        <v>297</v>
      </c>
      <c r="F224" s="105">
        <v>62</v>
      </c>
      <c r="G224" s="105">
        <v>22</v>
      </c>
      <c r="H224" s="105">
        <v>210</v>
      </c>
      <c r="I224" s="105">
        <v>294</v>
      </c>
      <c r="J224" s="105">
        <v>3</v>
      </c>
      <c r="K224" s="105">
        <f t="shared" si="15"/>
        <v>297</v>
      </c>
      <c r="L224" s="105">
        <v>0</v>
      </c>
      <c r="M224" s="106">
        <f t="shared" si="16"/>
        <v>0.70707070707070707</v>
      </c>
      <c r="N224" s="106">
        <f t="shared" si="17"/>
        <v>7.407407407407407E-2</v>
      </c>
      <c r="O224" s="106">
        <f t="shared" si="18"/>
        <v>0.20875420875420875</v>
      </c>
      <c r="P224" s="107">
        <v>83</v>
      </c>
      <c r="Q224" s="107">
        <v>182</v>
      </c>
      <c r="R224" s="107">
        <v>97</v>
      </c>
      <c r="S224" s="107">
        <v>8</v>
      </c>
      <c r="T224" s="107">
        <v>370</v>
      </c>
      <c r="U224" s="108">
        <v>0.22432432432432434</v>
      </c>
      <c r="V224" s="108">
        <v>0.49189189189189192</v>
      </c>
      <c r="W224" s="108">
        <v>0.26216216216216215</v>
      </c>
      <c r="X224" s="108">
        <v>2.1621621621621623E-2</v>
      </c>
      <c r="Y224" s="109">
        <v>67.402702702702697</v>
      </c>
      <c r="Z224" s="106">
        <f t="shared" si="19"/>
        <v>0.80270270270270272</v>
      </c>
    </row>
    <row r="225" spans="1:26" x14ac:dyDescent="0.25">
      <c r="A225" s="105"/>
      <c r="B225" s="105"/>
      <c r="C225" s="105"/>
      <c r="D225" s="105">
        <v>5</v>
      </c>
      <c r="E225" s="105">
        <v>301</v>
      </c>
      <c r="F225" s="105">
        <v>36</v>
      </c>
      <c r="G225" s="105">
        <v>17</v>
      </c>
      <c r="H225" s="105">
        <v>247</v>
      </c>
      <c r="I225" s="105">
        <v>300</v>
      </c>
      <c r="J225" s="105">
        <v>1</v>
      </c>
      <c r="K225" s="105">
        <f t="shared" si="15"/>
        <v>301</v>
      </c>
      <c r="L225" s="105">
        <v>0</v>
      </c>
      <c r="M225" s="106">
        <f t="shared" si="16"/>
        <v>0.82059800664451832</v>
      </c>
      <c r="N225" s="106">
        <f t="shared" si="17"/>
        <v>5.647840531561462E-2</v>
      </c>
      <c r="O225" s="106">
        <f t="shared" si="18"/>
        <v>0.11960132890365449</v>
      </c>
      <c r="P225" s="107">
        <v>49</v>
      </c>
      <c r="Q225" s="107">
        <v>222</v>
      </c>
      <c r="R225" s="107">
        <v>96</v>
      </c>
      <c r="S225" s="107">
        <v>3</v>
      </c>
      <c r="T225" s="107">
        <v>370</v>
      </c>
      <c r="U225" s="108">
        <v>0.13243243243243244</v>
      </c>
      <c r="V225" s="108">
        <v>0.6</v>
      </c>
      <c r="W225" s="108">
        <v>0.25945945945945947</v>
      </c>
      <c r="X225" s="108">
        <v>8.1081081081081086E-3</v>
      </c>
      <c r="Y225" s="109">
        <v>64.708108108108107</v>
      </c>
      <c r="Z225" s="106">
        <f t="shared" si="19"/>
        <v>0.81351351351351353</v>
      </c>
    </row>
    <row r="226" spans="1:26" x14ac:dyDescent="0.25">
      <c r="A226" s="105"/>
      <c r="B226" s="105"/>
      <c r="C226" s="105"/>
      <c r="D226" s="105">
        <v>6</v>
      </c>
      <c r="E226" s="105">
        <v>296</v>
      </c>
      <c r="F226" s="105">
        <v>33</v>
      </c>
      <c r="G226" s="105">
        <v>16</v>
      </c>
      <c r="H226" s="105">
        <v>241</v>
      </c>
      <c r="I226" s="105">
        <v>290</v>
      </c>
      <c r="J226" s="105">
        <v>6</v>
      </c>
      <c r="K226" s="105">
        <f t="shared" si="15"/>
        <v>296</v>
      </c>
      <c r="L226" s="105">
        <v>0</v>
      </c>
      <c r="M226" s="106">
        <f t="shared" si="16"/>
        <v>0.81418918918918914</v>
      </c>
      <c r="N226" s="106">
        <f t="shared" si="17"/>
        <v>5.4054054054054057E-2</v>
      </c>
      <c r="O226" s="106">
        <f t="shared" si="18"/>
        <v>0.11148648648648649</v>
      </c>
      <c r="P226" s="107">
        <v>59</v>
      </c>
      <c r="Q226" s="107">
        <v>208</v>
      </c>
      <c r="R226" s="107">
        <v>98</v>
      </c>
      <c r="S226" s="107">
        <v>5</v>
      </c>
      <c r="T226" s="107">
        <v>370</v>
      </c>
      <c r="U226" s="108">
        <v>0.15945945945945947</v>
      </c>
      <c r="V226" s="108">
        <v>0.56216216216216219</v>
      </c>
      <c r="W226" s="108">
        <v>0.26486486486486488</v>
      </c>
      <c r="X226" s="108">
        <v>1.3513513513513514E-2</v>
      </c>
      <c r="Y226" s="109">
        <v>62.116216216216216</v>
      </c>
      <c r="Z226" s="106">
        <f t="shared" si="19"/>
        <v>0.8</v>
      </c>
    </row>
    <row r="227" spans="1:26" x14ac:dyDescent="0.25">
      <c r="A227" s="105"/>
      <c r="B227" s="105"/>
      <c r="C227" s="105"/>
      <c r="D227" s="105">
        <v>7</v>
      </c>
      <c r="E227" s="105">
        <v>294</v>
      </c>
      <c r="F227" s="105">
        <v>25</v>
      </c>
      <c r="G227" s="105">
        <v>12</v>
      </c>
      <c r="H227" s="105">
        <v>255</v>
      </c>
      <c r="I227" s="105">
        <v>292</v>
      </c>
      <c r="J227" s="105">
        <v>2</v>
      </c>
      <c r="K227" s="105">
        <f t="shared" si="15"/>
        <v>294</v>
      </c>
      <c r="L227" s="105">
        <v>0</v>
      </c>
      <c r="M227" s="106">
        <f t="shared" si="16"/>
        <v>0.86734693877551017</v>
      </c>
      <c r="N227" s="106">
        <f t="shared" si="17"/>
        <v>4.0816326530612242E-2</v>
      </c>
      <c r="O227" s="106">
        <f t="shared" si="18"/>
        <v>8.5034013605442174E-2</v>
      </c>
      <c r="P227" s="107">
        <v>41</v>
      </c>
      <c r="Q227" s="107">
        <v>227</v>
      </c>
      <c r="R227" s="107">
        <v>94</v>
      </c>
      <c r="S227" s="107">
        <v>8</v>
      </c>
      <c r="T227" s="107">
        <v>370</v>
      </c>
      <c r="U227" s="108">
        <v>0.11081081081081082</v>
      </c>
      <c r="V227" s="108">
        <v>0.61351351351351346</v>
      </c>
      <c r="W227" s="108">
        <v>0.25405405405405407</v>
      </c>
      <c r="X227" s="108">
        <v>2.1621621621621623E-2</v>
      </c>
      <c r="Y227" s="109">
        <v>59.645945945945947</v>
      </c>
      <c r="Z227" s="106">
        <f t="shared" si="19"/>
        <v>0.79459459459459458</v>
      </c>
    </row>
    <row r="228" spans="1:26" x14ac:dyDescent="0.25">
      <c r="A228" s="105"/>
      <c r="B228" s="105"/>
      <c r="C228" s="105"/>
      <c r="D228" s="105">
        <v>8</v>
      </c>
      <c r="E228" s="105">
        <v>434</v>
      </c>
      <c r="F228" s="105">
        <v>21</v>
      </c>
      <c r="G228" s="105">
        <v>9</v>
      </c>
      <c r="H228" s="105">
        <v>399</v>
      </c>
      <c r="I228" s="105">
        <v>429</v>
      </c>
      <c r="J228" s="105">
        <v>5</v>
      </c>
      <c r="K228" s="105">
        <f t="shared" si="15"/>
        <v>434</v>
      </c>
      <c r="L228" s="105">
        <v>0</v>
      </c>
      <c r="M228" s="106">
        <f t="shared" si="16"/>
        <v>0.91935483870967738</v>
      </c>
      <c r="N228" s="106">
        <f t="shared" si="17"/>
        <v>2.0737327188940093E-2</v>
      </c>
      <c r="O228" s="106">
        <f t="shared" si="18"/>
        <v>4.8387096774193547E-2</v>
      </c>
      <c r="P228" s="107">
        <v>54</v>
      </c>
      <c r="Q228" s="107">
        <v>331</v>
      </c>
      <c r="R228" s="107">
        <v>149</v>
      </c>
      <c r="S228" s="107">
        <v>7</v>
      </c>
      <c r="T228" s="107">
        <v>541</v>
      </c>
      <c r="U228" s="108">
        <v>9.9815157116451017E-2</v>
      </c>
      <c r="V228" s="108">
        <v>0.61182994454713491</v>
      </c>
      <c r="W228" s="108">
        <v>0.2754158964879852</v>
      </c>
      <c r="X228" s="108">
        <v>1.2939001848428836E-2</v>
      </c>
      <c r="Y228" s="109">
        <v>56.325323475046211</v>
      </c>
      <c r="Z228" s="106">
        <f t="shared" si="19"/>
        <v>0.80221811460258785</v>
      </c>
    </row>
    <row r="229" spans="1:26" x14ac:dyDescent="0.25">
      <c r="A229" s="105"/>
      <c r="B229" s="105"/>
      <c r="C229" s="105"/>
      <c r="D229" s="105">
        <v>9</v>
      </c>
      <c r="E229" s="105">
        <v>426</v>
      </c>
      <c r="F229" s="105">
        <v>34</v>
      </c>
      <c r="G229" s="105">
        <v>18</v>
      </c>
      <c r="H229" s="105">
        <v>374</v>
      </c>
      <c r="I229" s="105">
        <v>426</v>
      </c>
      <c r="J229" s="105">
        <v>0</v>
      </c>
      <c r="K229" s="105">
        <f t="shared" si="15"/>
        <v>426</v>
      </c>
      <c r="L229" s="105">
        <v>0</v>
      </c>
      <c r="M229" s="106">
        <f t="shared" si="16"/>
        <v>0.8779342723004695</v>
      </c>
      <c r="N229" s="106">
        <f t="shared" si="17"/>
        <v>4.2253521126760563E-2</v>
      </c>
      <c r="O229" s="106">
        <f t="shared" si="18"/>
        <v>7.9812206572769953E-2</v>
      </c>
      <c r="P229" s="107">
        <v>63</v>
      </c>
      <c r="Q229" s="107">
        <v>308</v>
      </c>
      <c r="R229" s="107">
        <v>160</v>
      </c>
      <c r="S229" s="107">
        <v>10</v>
      </c>
      <c r="T229" s="107">
        <v>541</v>
      </c>
      <c r="U229" s="108">
        <v>0.11645101663585952</v>
      </c>
      <c r="V229" s="108">
        <v>0.56931608133086875</v>
      </c>
      <c r="W229" s="108">
        <v>0.29574861367837341</v>
      </c>
      <c r="X229" s="108">
        <v>1.8484288354898338E-2</v>
      </c>
      <c r="Y229" s="109">
        <v>52.245841035120151</v>
      </c>
      <c r="Z229" s="106">
        <f t="shared" si="19"/>
        <v>0.78743068391866911</v>
      </c>
    </row>
    <row r="230" spans="1:26" x14ac:dyDescent="0.25">
      <c r="A230" s="105"/>
      <c r="B230" s="105"/>
      <c r="C230" s="105"/>
      <c r="D230" s="105">
        <v>10</v>
      </c>
      <c r="E230" s="105">
        <v>424</v>
      </c>
      <c r="F230" s="105">
        <v>37</v>
      </c>
      <c r="G230" s="105">
        <v>23</v>
      </c>
      <c r="H230" s="105">
        <v>363</v>
      </c>
      <c r="I230" s="105">
        <v>423</v>
      </c>
      <c r="J230" s="105">
        <v>1</v>
      </c>
      <c r="K230" s="105">
        <f t="shared" si="15"/>
        <v>424</v>
      </c>
      <c r="L230" s="105">
        <v>0</v>
      </c>
      <c r="M230" s="106">
        <f t="shared" si="16"/>
        <v>0.85613207547169812</v>
      </c>
      <c r="N230" s="106">
        <f t="shared" si="17"/>
        <v>5.4245283018867926E-2</v>
      </c>
      <c r="O230" s="106">
        <f t="shared" si="18"/>
        <v>8.7264150943396221E-2</v>
      </c>
      <c r="P230" s="107">
        <v>76</v>
      </c>
      <c r="Q230" s="107">
        <v>311</v>
      </c>
      <c r="R230" s="107">
        <v>152</v>
      </c>
      <c r="S230" s="107">
        <v>2</v>
      </c>
      <c r="T230" s="107">
        <v>541</v>
      </c>
      <c r="U230" s="108">
        <v>0.14048059149722736</v>
      </c>
      <c r="V230" s="108">
        <v>0.57486136783733821</v>
      </c>
      <c r="W230" s="108">
        <v>0.28096118299445472</v>
      </c>
      <c r="X230" s="108">
        <v>3.6968576709796672E-3</v>
      </c>
      <c r="Y230" s="109">
        <v>48.499075785582257</v>
      </c>
      <c r="Z230" s="106">
        <f t="shared" si="19"/>
        <v>0.7837338262476895</v>
      </c>
    </row>
    <row r="231" spans="1:26" x14ac:dyDescent="0.25">
      <c r="A231" s="105"/>
      <c r="B231" s="105"/>
      <c r="C231" s="105"/>
      <c r="D231" s="105">
        <v>11</v>
      </c>
      <c r="E231" s="105">
        <v>404</v>
      </c>
      <c r="F231" s="105">
        <v>44</v>
      </c>
      <c r="G231" s="105">
        <v>38</v>
      </c>
      <c r="H231" s="105">
        <v>319</v>
      </c>
      <c r="I231" s="105">
        <v>401</v>
      </c>
      <c r="J231" s="105">
        <v>1</v>
      </c>
      <c r="K231" s="105">
        <f t="shared" si="15"/>
        <v>402</v>
      </c>
      <c r="L231" s="105">
        <v>2</v>
      </c>
      <c r="M231" s="106">
        <f t="shared" si="16"/>
        <v>0.79353233830845771</v>
      </c>
      <c r="N231" s="106">
        <f t="shared" si="17"/>
        <v>9.4527363184079602E-2</v>
      </c>
      <c r="O231" s="106">
        <f t="shared" si="18"/>
        <v>0.10945273631840796</v>
      </c>
      <c r="P231" s="107">
        <v>99</v>
      </c>
      <c r="Q231" s="107">
        <v>277</v>
      </c>
      <c r="R231" s="107">
        <v>157</v>
      </c>
      <c r="S231" s="107">
        <v>8</v>
      </c>
      <c r="T231" s="107">
        <v>541</v>
      </c>
      <c r="U231" s="108">
        <v>0.18299445471349354</v>
      </c>
      <c r="V231" s="108">
        <v>0.51201478743068396</v>
      </c>
      <c r="W231" s="108">
        <v>0.29020332717190389</v>
      </c>
      <c r="X231" s="108">
        <v>1.4787430683918669E-2</v>
      </c>
      <c r="Y231" s="109">
        <v>44.902033271719041</v>
      </c>
      <c r="Z231" s="106">
        <f t="shared" si="19"/>
        <v>0.74306839186691309</v>
      </c>
    </row>
    <row r="232" spans="1:26" x14ac:dyDescent="0.25">
      <c r="A232" s="105"/>
      <c r="B232" s="105"/>
      <c r="C232" s="105"/>
      <c r="D232" s="105">
        <v>12</v>
      </c>
      <c r="E232" s="105">
        <v>394</v>
      </c>
      <c r="F232" s="105">
        <v>47</v>
      </c>
      <c r="G232" s="105">
        <v>43</v>
      </c>
      <c r="H232" s="105">
        <v>304</v>
      </c>
      <c r="I232" s="105">
        <v>394</v>
      </c>
      <c r="J232" s="105">
        <v>0</v>
      </c>
      <c r="K232" s="105">
        <f t="shared" si="15"/>
        <v>394</v>
      </c>
      <c r="L232" s="105">
        <v>0</v>
      </c>
      <c r="M232" s="106">
        <f t="shared" si="16"/>
        <v>0.77157360406091369</v>
      </c>
      <c r="N232" s="106">
        <f t="shared" si="17"/>
        <v>0.10913705583756345</v>
      </c>
      <c r="O232" s="106">
        <f t="shared" si="18"/>
        <v>0.11928934010152284</v>
      </c>
      <c r="P232" s="107">
        <v>119</v>
      </c>
      <c r="Q232" s="107">
        <v>279</v>
      </c>
      <c r="R232" s="107">
        <v>140</v>
      </c>
      <c r="S232" s="107">
        <v>3</v>
      </c>
      <c r="T232" s="107">
        <v>541</v>
      </c>
      <c r="U232" s="108">
        <v>0.21996303142329021</v>
      </c>
      <c r="V232" s="108">
        <v>0.51571164510166356</v>
      </c>
      <c r="W232" s="108">
        <v>0.25878003696857671</v>
      </c>
      <c r="X232" s="108">
        <v>5.5452865064695009E-3</v>
      </c>
      <c r="Y232" s="109">
        <v>42.022181146025879</v>
      </c>
      <c r="Z232" s="106">
        <f t="shared" si="19"/>
        <v>0.72828096118299446</v>
      </c>
    </row>
    <row r="233" spans="1:26" x14ac:dyDescent="0.25">
      <c r="A233" s="105"/>
      <c r="B233" s="105"/>
      <c r="C233" s="105"/>
      <c r="D233" s="105">
        <v>13</v>
      </c>
      <c r="E233" s="105">
        <v>404</v>
      </c>
      <c r="F233" s="105">
        <v>47</v>
      </c>
      <c r="G233" s="105">
        <v>41</v>
      </c>
      <c r="H233" s="105">
        <v>314</v>
      </c>
      <c r="I233" s="105">
        <v>402</v>
      </c>
      <c r="J233" s="105">
        <v>2</v>
      </c>
      <c r="K233" s="105">
        <f t="shared" si="15"/>
        <v>404</v>
      </c>
      <c r="L233" s="105">
        <v>0</v>
      </c>
      <c r="M233" s="106">
        <f t="shared" si="16"/>
        <v>0.77722772277227725</v>
      </c>
      <c r="N233" s="106">
        <f t="shared" si="17"/>
        <v>0.10148514851485149</v>
      </c>
      <c r="O233" s="106">
        <f t="shared" si="18"/>
        <v>0.11633663366336634</v>
      </c>
      <c r="P233" s="107">
        <v>120</v>
      </c>
      <c r="Q233" s="107">
        <v>258</v>
      </c>
      <c r="R233" s="107">
        <v>162</v>
      </c>
      <c r="S233" s="107">
        <v>1</v>
      </c>
      <c r="T233" s="107">
        <v>541</v>
      </c>
      <c r="U233" s="108">
        <v>0.22181146025878004</v>
      </c>
      <c r="V233" s="108">
        <v>0.47689463955637706</v>
      </c>
      <c r="W233" s="108">
        <v>0.29944547134935307</v>
      </c>
      <c r="X233" s="108">
        <v>1.8484288354898336E-3</v>
      </c>
      <c r="Y233" s="109">
        <v>39.556377079482438</v>
      </c>
      <c r="Z233" s="106">
        <f t="shared" si="19"/>
        <v>0.74676524953789281</v>
      </c>
    </row>
    <row r="234" spans="1:26" x14ac:dyDescent="0.25">
      <c r="A234" s="105"/>
      <c r="B234" s="105"/>
      <c r="C234" s="105"/>
      <c r="D234" s="105">
        <v>14</v>
      </c>
      <c r="E234" s="105">
        <v>390</v>
      </c>
      <c r="F234" s="105">
        <v>44</v>
      </c>
      <c r="G234" s="105">
        <v>51</v>
      </c>
      <c r="H234" s="105">
        <v>291</v>
      </c>
      <c r="I234" s="105">
        <v>386</v>
      </c>
      <c r="J234" s="105">
        <v>4</v>
      </c>
      <c r="K234" s="105">
        <f t="shared" si="15"/>
        <v>390</v>
      </c>
      <c r="L234" s="105">
        <v>0</v>
      </c>
      <c r="M234" s="106">
        <f t="shared" si="16"/>
        <v>0.74615384615384617</v>
      </c>
      <c r="N234" s="106">
        <f t="shared" si="17"/>
        <v>0.13076923076923078</v>
      </c>
      <c r="O234" s="106">
        <f t="shared" si="18"/>
        <v>0.11282051282051282</v>
      </c>
      <c r="P234" s="107">
        <v>147</v>
      </c>
      <c r="Q234" s="107">
        <v>249</v>
      </c>
      <c r="R234" s="107">
        <v>140</v>
      </c>
      <c r="S234" s="107">
        <v>5</v>
      </c>
      <c r="T234" s="107">
        <v>541</v>
      </c>
      <c r="U234" s="108">
        <v>0.27171903881700554</v>
      </c>
      <c r="V234" s="108">
        <v>0.46025878003696857</v>
      </c>
      <c r="W234" s="108">
        <v>0.25878003696857671</v>
      </c>
      <c r="X234" s="108">
        <v>9.242144177449169E-3</v>
      </c>
      <c r="Y234" s="109">
        <v>37.199630314232905</v>
      </c>
      <c r="Z234" s="106">
        <f t="shared" si="19"/>
        <v>0.72088724584103514</v>
      </c>
    </row>
    <row r="235" spans="1:26" x14ac:dyDescent="0.25">
      <c r="A235" s="105"/>
      <c r="B235" s="105"/>
      <c r="C235" s="105"/>
      <c r="D235" s="105">
        <v>15</v>
      </c>
      <c r="E235" s="105">
        <v>387</v>
      </c>
      <c r="F235" s="105">
        <v>50</v>
      </c>
      <c r="G235" s="105">
        <v>47</v>
      </c>
      <c r="H235" s="105">
        <v>290</v>
      </c>
      <c r="I235" s="105">
        <v>387</v>
      </c>
      <c r="J235" s="105">
        <v>0</v>
      </c>
      <c r="K235" s="105">
        <f t="shared" si="15"/>
        <v>387</v>
      </c>
      <c r="L235" s="105">
        <v>0</v>
      </c>
      <c r="M235" s="106">
        <f t="shared" si="16"/>
        <v>0.74935400516795869</v>
      </c>
      <c r="N235" s="106">
        <f t="shared" si="17"/>
        <v>0.12144702842377261</v>
      </c>
      <c r="O235" s="106">
        <f t="shared" si="18"/>
        <v>0.12919896640826872</v>
      </c>
      <c r="P235" s="107">
        <v>163</v>
      </c>
      <c r="Q235" s="107">
        <v>249</v>
      </c>
      <c r="R235" s="107">
        <v>128</v>
      </c>
      <c r="S235" s="107">
        <v>2</v>
      </c>
      <c r="T235" s="107">
        <v>542</v>
      </c>
      <c r="U235" s="108">
        <v>0.30073800738007378</v>
      </c>
      <c r="V235" s="108">
        <v>0.45940959409594095</v>
      </c>
      <c r="W235" s="108">
        <v>0.23616236162361623</v>
      </c>
      <c r="X235" s="108">
        <v>3.6900369003690036E-3</v>
      </c>
      <c r="Y235" s="109">
        <v>34.891143911439116</v>
      </c>
      <c r="Z235" s="106">
        <f t="shared" si="19"/>
        <v>0.7140221402214022</v>
      </c>
    </row>
    <row r="236" spans="1:26" x14ac:dyDescent="0.25">
      <c r="A236" s="105"/>
      <c r="B236" s="105"/>
      <c r="C236" s="105"/>
      <c r="D236" s="105">
        <v>16</v>
      </c>
      <c r="E236" s="105">
        <v>389</v>
      </c>
      <c r="F236" s="105">
        <v>44</v>
      </c>
      <c r="G236" s="105">
        <v>49</v>
      </c>
      <c r="H236" s="105">
        <v>296</v>
      </c>
      <c r="I236" s="105">
        <v>389</v>
      </c>
      <c r="J236" s="105">
        <v>0</v>
      </c>
      <c r="K236" s="105">
        <f t="shared" si="15"/>
        <v>389</v>
      </c>
      <c r="L236" s="105">
        <v>0</v>
      </c>
      <c r="M236" s="106">
        <f t="shared" si="16"/>
        <v>0.76092544987146526</v>
      </c>
      <c r="N236" s="106">
        <f t="shared" si="17"/>
        <v>0.12596401028277635</v>
      </c>
      <c r="O236" s="106">
        <f t="shared" si="18"/>
        <v>0.11311053984575835</v>
      </c>
      <c r="P236" s="107">
        <v>156</v>
      </c>
      <c r="Q236" s="107">
        <v>244</v>
      </c>
      <c r="R236" s="107">
        <v>139</v>
      </c>
      <c r="S236" s="107">
        <v>3</v>
      </c>
      <c r="T236" s="107">
        <v>542</v>
      </c>
      <c r="U236" s="108">
        <v>0.28782287822878228</v>
      </c>
      <c r="V236" s="108">
        <v>0.45018450184501846</v>
      </c>
      <c r="W236" s="108">
        <v>0.25645756457564578</v>
      </c>
      <c r="X236" s="108">
        <v>5.5350553505535052E-3</v>
      </c>
      <c r="Y236" s="109">
        <v>32.440959409594093</v>
      </c>
      <c r="Z236" s="106">
        <f t="shared" si="19"/>
        <v>0.71771217712177127</v>
      </c>
    </row>
    <row r="237" spans="1:26" x14ac:dyDescent="0.25">
      <c r="A237" s="105"/>
      <c r="B237" s="105"/>
      <c r="C237" s="105"/>
      <c r="D237" s="105">
        <v>17</v>
      </c>
      <c r="E237" s="105">
        <v>393</v>
      </c>
      <c r="F237" s="105">
        <v>39</v>
      </c>
      <c r="G237" s="105">
        <v>49</v>
      </c>
      <c r="H237" s="105">
        <v>304</v>
      </c>
      <c r="I237" s="105">
        <v>392</v>
      </c>
      <c r="J237" s="105">
        <v>1</v>
      </c>
      <c r="K237" s="105">
        <f t="shared" si="15"/>
        <v>393</v>
      </c>
      <c r="L237" s="105">
        <v>0</v>
      </c>
      <c r="M237" s="106">
        <f t="shared" si="16"/>
        <v>0.77353689567430028</v>
      </c>
      <c r="N237" s="106">
        <f t="shared" si="17"/>
        <v>0.12468193384223919</v>
      </c>
      <c r="O237" s="106">
        <f t="shared" si="18"/>
        <v>9.9236641221374045E-2</v>
      </c>
      <c r="P237" s="107">
        <v>144</v>
      </c>
      <c r="Q237" s="107">
        <v>233</v>
      </c>
      <c r="R237" s="107">
        <v>161</v>
      </c>
      <c r="S237" s="107">
        <v>4</v>
      </c>
      <c r="T237" s="107">
        <v>542</v>
      </c>
      <c r="U237" s="108">
        <v>0.26568265682656828</v>
      </c>
      <c r="V237" s="108">
        <v>0.42988929889298894</v>
      </c>
      <c r="W237" s="108">
        <v>0.29704797047970477</v>
      </c>
      <c r="X237" s="108">
        <v>7.3800738007380072E-3</v>
      </c>
      <c r="Y237" s="109">
        <v>29.712177121771219</v>
      </c>
      <c r="Z237" s="106">
        <f t="shared" si="19"/>
        <v>0.72509225092250917</v>
      </c>
    </row>
    <row r="238" spans="1:26" x14ac:dyDescent="0.25">
      <c r="A238" s="105"/>
      <c r="B238" s="105"/>
      <c r="C238" s="105"/>
      <c r="D238" s="105">
        <v>18</v>
      </c>
      <c r="E238" s="105">
        <v>418</v>
      </c>
      <c r="F238" s="105">
        <v>35</v>
      </c>
      <c r="G238" s="105">
        <v>43</v>
      </c>
      <c r="H238" s="105">
        <v>340</v>
      </c>
      <c r="I238" s="105">
        <v>418</v>
      </c>
      <c r="J238" s="105">
        <v>0</v>
      </c>
      <c r="K238" s="105">
        <f t="shared" si="15"/>
        <v>418</v>
      </c>
      <c r="L238" s="105">
        <v>0</v>
      </c>
      <c r="M238" s="106">
        <f t="shared" si="16"/>
        <v>0.8133971291866029</v>
      </c>
      <c r="N238" s="106">
        <f t="shared" si="17"/>
        <v>0.10287081339712918</v>
      </c>
      <c r="O238" s="106">
        <f t="shared" si="18"/>
        <v>8.3732057416267949E-2</v>
      </c>
      <c r="P238" s="107">
        <v>118</v>
      </c>
      <c r="Q238" s="107">
        <v>237</v>
      </c>
      <c r="R238" s="107">
        <v>186</v>
      </c>
      <c r="S238" s="107">
        <v>1</v>
      </c>
      <c r="T238" s="107">
        <v>542</v>
      </c>
      <c r="U238" s="108">
        <v>0.21771217712177121</v>
      </c>
      <c r="V238" s="108">
        <v>0.43726937269372695</v>
      </c>
      <c r="W238" s="108">
        <v>0.34317343173431736</v>
      </c>
      <c r="X238" s="108">
        <v>1.8450184501845018E-3</v>
      </c>
      <c r="Y238" s="109">
        <v>26.822878228782287</v>
      </c>
      <c r="Z238" s="106">
        <f t="shared" si="19"/>
        <v>0.77121771217712176</v>
      </c>
    </row>
    <row r="239" spans="1:26" x14ac:dyDescent="0.25">
      <c r="A239" s="105"/>
      <c r="B239" s="105"/>
      <c r="C239" s="105"/>
      <c r="D239" s="105">
        <v>19</v>
      </c>
      <c r="E239" s="105">
        <v>429</v>
      </c>
      <c r="F239" s="105">
        <v>37</v>
      </c>
      <c r="G239" s="105">
        <v>42</v>
      </c>
      <c r="H239" s="105">
        <v>347</v>
      </c>
      <c r="I239" s="105">
        <v>426</v>
      </c>
      <c r="J239" s="105">
        <v>3</v>
      </c>
      <c r="K239" s="105">
        <f t="shared" si="15"/>
        <v>429</v>
      </c>
      <c r="L239" s="105">
        <v>0</v>
      </c>
      <c r="M239" s="106">
        <f t="shared" si="16"/>
        <v>0.80885780885780889</v>
      </c>
      <c r="N239" s="106">
        <f t="shared" si="17"/>
        <v>9.7902097902097904E-2</v>
      </c>
      <c r="O239" s="106">
        <f t="shared" si="18"/>
        <v>8.6247086247086241E-2</v>
      </c>
      <c r="P239" s="107">
        <v>124</v>
      </c>
      <c r="Q239" s="107">
        <v>220</v>
      </c>
      <c r="R239" s="107">
        <v>198</v>
      </c>
      <c r="S239" s="107">
        <v>0</v>
      </c>
      <c r="T239" s="107">
        <v>542</v>
      </c>
      <c r="U239" s="108">
        <v>0.22878228782287824</v>
      </c>
      <c r="V239" s="108">
        <v>0.4059040590405904</v>
      </c>
      <c r="W239" s="108">
        <v>0.36531365313653136</v>
      </c>
      <c r="X239" s="108">
        <v>0</v>
      </c>
      <c r="Y239" s="109">
        <v>23.649446494464943</v>
      </c>
      <c r="Z239" s="106">
        <f t="shared" si="19"/>
        <v>0.79151291512915134</v>
      </c>
    </row>
    <row r="240" spans="1:26" x14ac:dyDescent="0.25">
      <c r="A240" s="105"/>
      <c r="B240" s="105"/>
      <c r="C240" s="105"/>
      <c r="D240" s="105">
        <v>20</v>
      </c>
      <c r="E240" s="105">
        <v>451</v>
      </c>
      <c r="F240" s="105">
        <v>46</v>
      </c>
      <c r="G240" s="105">
        <v>67</v>
      </c>
      <c r="H240" s="105">
        <v>336</v>
      </c>
      <c r="I240" s="105">
        <v>449</v>
      </c>
      <c r="J240" s="105">
        <v>2</v>
      </c>
      <c r="K240" s="105">
        <f t="shared" si="15"/>
        <v>451</v>
      </c>
      <c r="L240" s="105">
        <v>0</v>
      </c>
      <c r="M240" s="106">
        <f t="shared" si="16"/>
        <v>0.74501108647450109</v>
      </c>
      <c r="N240" s="106">
        <f t="shared" si="17"/>
        <v>0.14855875831485588</v>
      </c>
      <c r="O240" s="106">
        <f t="shared" si="18"/>
        <v>0.10199556541019955</v>
      </c>
      <c r="P240" s="107">
        <v>160</v>
      </c>
      <c r="Q240" s="107">
        <v>188</v>
      </c>
      <c r="R240" s="107">
        <v>194</v>
      </c>
      <c r="S240" s="107">
        <v>0</v>
      </c>
      <c r="T240" s="107">
        <v>542</v>
      </c>
      <c r="U240" s="108">
        <v>0.29520295202952029</v>
      </c>
      <c r="V240" s="108">
        <v>0.34686346863468637</v>
      </c>
      <c r="W240" s="108">
        <v>0.35793357933579334</v>
      </c>
      <c r="X240" s="108">
        <v>0</v>
      </c>
      <c r="Y240" s="109">
        <v>20.097785977859779</v>
      </c>
      <c r="Z240" s="106">
        <f t="shared" si="19"/>
        <v>0.83210332103321039</v>
      </c>
    </row>
    <row r="241" spans="1:26" x14ac:dyDescent="0.25">
      <c r="A241" s="105">
        <v>34</v>
      </c>
      <c r="B241" s="105" t="s">
        <v>226</v>
      </c>
      <c r="C241" s="105" t="s">
        <v>228</v>
      </c>
      <c r="D241" s="105">
        <v>1</v>
      </c>
      <c r="E241" s="105">
        <v>340</v>
      </c>
      <c r="F241" s="105">
        <v>35</v>
      </c>
      <c r="G241" s="105">
        <v>22</v>
      </c>
      <c r="H241" s="105">
        <v>282</v>
      </c>
      <c r="I241" s="105">
        <v>339</v>
      </c>
      <c r="J241" s="105">
        <v>1</v>
      </c>
      <c r="K241" s="105">
        <f t="shared" si="15"/>
        <v>340</v>
      </c>
      <c r="L241" s="105">
        <v>0</v>
      </c>
      <c r="M241" s="106">
        <f t="shared" si="16"/>
        <v>0.8294117647058824</v>
      </c>
      <c r="N241" s="106">
        <f t="shared" si="17"/>
        <v>6.4705882352941183E-2</v>
      </c>
      <c r="O241" s="106">
        <f t="shared" si="18"/>
        <v>0.10294117647058823</v>
      </c>
      <c r="P241" s="107">
        <v>59</v>
      </c>
      <c r="Q241" s="107">
        <v>270</v>
      </c>
      <c r="R241" s="107">
        <v>114</v>
      </c>
      <c r="S241" s="107">
        <v>7</v>
      </c>
      <c r="T241" s="107">
        <v>450</v>
      </c>
      <c r="U241" s="108">
        <v>0.13111111111111112</v>
      </c>
      <c r="V241" s="108">
        <v>0.6</v>
      </c>
      <c r="W241" s="108">
        <v>0.25333333333333335</v>
      </c>
      <c r="X241" s="108">
        <v>1.5555555555555555E-2</v>
      </c>
      <c r="Y241" s="109">
        <v>60.671111111111109</v>
      </c>
      <c r="Z241" s="106">
        <f t="shared" si="19"/>
        <v>0.75555555555555554</v>
      </c>
    </row>
    <row r="242" spans="1:26" x14ac:dyDescent="0.25">
      <c r="A242" s="105"/>
      <c r="B242" s="105"/>
      <c r="C242" s="105"/>
      <c r="D242" s="105">
        <v>2</v>
      </c>
      <c r="E242" s="105">
        <v>449</v>
      </c>
      <c r="F242" s="105">
        <v>33</v>
      </c>
      <c r="G242" s="105">
        <v>38</v>
      </c>
      <c r="H242" s="105">
        <v>375</v>
      </c>
      <c r="I242" s="105">
        <v>446</v>
      </c>
      <c r="J242" s="105">
        <v>3</v>
      </c>
      <c r="K242" s="105">
        <f t="shared" si="15"/>
        <v>449</v>
      </c>
      <c r="L242" s="105">
        <v>0</v>
      </c>
      <c r="M242" s="106">
        <f t="shared" si="16"/>
        <v>0.83518930957683746</v>
      </c>
      <c r="N242" s="106">
        <f t="shared" si="17"/>
        <v>8.4632516703786187E-2</v>
      </c>
      <c r="O242" s="106">
        <f t="shared" si="18"/>
        <v>7.3496659242761692E-2</v>
      </c>
      <c r="P242" s="107">
        <v>97</v>
      </c>
      <c r="Q242" s="107">
        <v>369</v>
      </c>
      <c r="R242" s="107">
        <v>142</v>
      </c>
      <c r="S242" s="107">
        <v>2</v>
      </c>
      <c r="T242" s="107">
        <v>610</v>
      </c>
      <c r="U242" s="108">
        <v>0.15901639344262294</v>
      </c>
      <c r="V242" s="108">
        <v>0.60491803278688527</v>
      </c>
      <c r="W242" s="108">
        <v>0.23278688524590163</v>
      </c>
      <c r="X242" s="108">
        <v>3.2786885245901639E-3</v>
      </c>
      <c r="Y242" s="109">
        <v>38.501639344262294</v>
      </c>
      <c r="Z242" s="106">
        <f t="shared" si="19"/>
        <v>0.73606557377049175</v>
      </c>
    </row>
    <row r="243" spans="1:26" x14ac:dyDescent="0.25">
      <c r="A243" s="105"/>
      <c r="B243" s="105"/>
      <c r="C243" s="105"/>
      <c r="D243" s="105">
        <v>3</v>
      </c>
      <c r="E243" s="105">
        <v>465</v>
      </c>
      <c r="F243" s="105">
        <v>51</v>
      </c>
      <c r="G243" s="105">
        <v>48</v>
      </c>
      <c r="H243" s="105">
        <v>366</v>
      </c>
      <c r="I243" s="105">
        <v>465</v>
      </c>
      <c r="J243" s="105">
        <v>0</v>
      </c>
      <c r="K243" s="105">
        <f t="shared" si="15"/>
        <v>465</v>
      </c>
      <c r="L243" s="105">
        <v>0</v>
      </c>
      <c r="M243" s="106">
        <f t="shared" si="16"/>
        <v>0.7870967741935484</v>
      </c>
      <c r="N243" s="106">
        <f t="shared" si="17"/>
        <v>0.1032258064516129</v>
      </c>
      <c r="O243" s="106">
        <f t="shared" si="18"/>
        <v>0.10967741935483871</v>
      </c>
      <c r="P243" s="107">
        <v>150</v>
      </c>
      <c r="Q243" s="107">
        <v>290</v>
      </c>
      <c r="R243" s="107">
        <v>168</v>
      </c>
      <c r="S243" s="107">
        <v>3</v>
      </c>
      <c r="T243" s="107">
        <v>611</v>
      </c>
      <c r="U243" s="108">
        <v>0.24549918166939444</v>
      </c>
      <c r="V243" s="108">
        <v>0.4746317512274959</v>
      </c>
      <c r="W243" s="108">
        <v>0.27495908346972175</v>
      </c>
      <c r="X243" s="108">
        <v>4.9099836333878887E-3</v>
      </c>
      <c r="Y243" s="109">
        <v>23.846153846153847</v>
      </c>
      <c r="Z243" s="106">
        <f t="shared" si="19"/>
        <v>0.76104746317512273</v>
      </c>
    </row>
    <row r="244" spans="1:26" x14ac:dyDescent="0.25">
      <c r="A244" s="105">
        <v>35</v>
      </c>
      <c r="B244" s="105" t="s">
        <v>229</v>
      </c>
      <c r="C244" s="105" t="s">
        <v>230</v>
      </c>
      <c r="D244" s="105">
        <v>1</v>
      </c>
      <c r="E244" s="105">
        <v>233</v>
      </c>
      <c r="F244" s="105">
        <v>20</v>
      </c>
      <c r="G244" s="105">
        <v>3</v>
      </c>
      <c r="H244" s="105">
        <v>205</v>
      </c>
      <c r="I244" s="105">
        <v>228</v>
      </c>
      <c r="J244" s="105">
        <v>5</v>
      </c>
      <c r="K244" s="105">
        <f t="shared" si="15"/>
        <v>233</v>
      </c>
      <c r="L244" s="105">
        <v>0</v>
      </c>
      <c r="M244" s="106">
        <f t="shared" si="16"/>
        <v>0.87982832618025753</v>
      </c>
      <c r="N244" s="106">
        <f t="shared" si="17"/>
        <v>1.2875536480686695E-2</v>
      </c>
      <c r="O244" s="106">
        <f t="shared" si="18"/>
        <v>8.5836909871244635E-2</v>
      </c>
      <c r="P244" s="107">
        <v>9</v>
      </c>
      <c r="Q244" s="107">
        <v>297</v>
      </c>
      <c r="R244" s="107">
        <v>67</v>
      </c>
      <c r="S244" s="107">
        <v>7</v>
      </c>
      <c r="T244" s="107">
        <v>380</v>
      </c>
      <c r="U244" s="108">
        <v>2.368421052631579E-2</v>
      </c>
      <c r="V244" s="108">
        <v>0.78157894736842104</v>
      </c>
      <c r="W244" s="108">
        <v>0.1763157894736842</v>
      </c>
      <c r="X244" s="108">
        <v>1.8421052631578946E-2</v>
      </c>
      <c r="Y244" s="109">
        <v>73.368421052631575</v>
      </c>
      <c r="Z244" s="106">
        <f t="shared" si="19"/>
        <v>0.61315789473684212</v>
      </c>
    </row>
    <row r="245" spans="1:26" x14ac:dyDescent="0.25">
      <c r="A245" s="105"/>
      <c r="B245" s="105"/>
      <c r="C245" s="105"/>
      <c r="D245" s="105">
        <v>2</v>
      </c>
      <c r="E245" s="105">
        <v>298</v>
      </c>
      <c r="F245" s="105">
        <v>15</v>
      </c>
      <c r="G245" s="105">
        <v>7</v>
      </c>
      <c r="H245" s="105">
        <v>275</v>
      </c>
      <c r="I245" s="105">
        <v>297</v>
      </c>
      <c r="J245" s="105">
        <v>1</v>
      </c>
      <c r="K245" s="105">
        <f t="shared" si="15"/>
        <v>298</v>
      </c>
      <c r="L245" s="105">
        <v>0</v>
      </c>
      <c r="M245" s="106">
        <f t="shared" si="16"/>
        <v>0.92281879194630867</v>
      </c>
      <c r="N245" s="106">
        <f t="shared" si="17"/>
        <v>2.3489932885906041E-2</v>
      </c>
      <c r="O245" s="106">
        <f t="shared" si="18"/>
        <v>5.0335570469798654E-2</v>
      </c>
      <c r="P245" s="107">
        <v>8</v>
      </c>
      <c r="Q245" s="107">
        <v>310</v>
      </c>
      <c r="R245" s="107">
        <v>60</v>
      </c>
      <c r="S245" s="107">
        <v>2</v>
      </c>
      <c r="T245" s="107">
        <v>380</v>
      </c>
      <c r="U245" s="108">
        <v>2.1052631578947368E-2</v>
      </c>
      <c r="V245" s="108">
        <v>0.81578947368421051</v>
      </c>
      <c r="W245" s="108">
        <v>0.15789473684210525</v>
      </c>
      <c r="X245" s="108">
        <v>5.263157894736842E-3</v>
      </c>
      <c r="Y245" s="109">
        <v>69.315789473684205</v>
      </c>
      <c r="Z245" s="106">
        <f t="shared" si="19"/>
        <v>0.78421052631578947</v>
      </c>
    </row>
    <row r="246" spans="1:26" x14ac:dyDescent="0.25">
      <c r="A246" s="105"/>
      <c r="B246" s="105"/>
      <c r="C246" s="105"/>
      <c r="D246" s="105">
        <v>3</v>
      </c>
      <c r="E246" s="105">
        <v>295</v>
      </c>
      <c r="F246" s="105">
        <v>9</v>
      </c>
      <c r="G246" s="105">
        <v>3</v>
      </c>
      <c r="H246" s="105">
        <v>278</v>
      </c>
      <c r="I246" s="105">
        <v>290</v>
      </c>
      <c r="J246" s="105">
        <v>2</v>
      </c>
      <c r="K246" s="105">
        <f t="shared" si="15"/>
        <v>292</v>
      </c>
      <c r="L246" s="105">
        <v>3</v>
      </c>
      <c r="M246" s="106">
        <f t="shared" si="16"/>
        <v>0.95205479452054798</v>
      </c>
      <c r="N246" s="106">
        <f t="shared" si="17"/>
        <v>1.0273972602739725E-2</v>
      </c>
      <c r="O246" s="106">
        <f t="shared" si="18"/>
        <v>3.0821917808219176E-2</v>
      </c>
      <c r="P246" s="107">
        <v>10</v>
      </c>
      <c r="Q246" s="107">
        <v>321</v>
      </c>
      <c r="R246" s="107">
        <v>45</v>
      </c>
      <c r="S246" s="107">
        <v>4</v>
      </c>
      <c r="T246" s="107">
        <v>380</v>
      </c>
      <c r="U246" s="108">
        <v>2.6315789473684209E-2</v>
      </c>
      <c r="V246" s="108">
        <v>0.84473684210526312</v>
      </c>
      <c r="W246" s="108">
        <v>0.11842105263157894</v>
      </c>
      <c r="X246" s="108">
        <v>1.0526315789473684E-2</v>
      </c>
      <c r="Y246" s="109">
        <v>62.8</v>
      </c>
      <c r="Z246" s="106">
        <f t="shared" si="19"/>
        <v>0.76842105263157889</v>
      </c>
    </row>
    <row r="247" spans="1:26" x14ac:dyDescent="0.25">
      <c r="A247" s="105"/>
      <c r="B247" s="105"/>
      <c r="C247" s="105"/>
      <c r="D247" s="105">
        <v>4</v>
      </c>
      <c r="E247" s="105">
        <v>517</v>
      </c>
      <c r="F247" s="105">
        <v>19</v>
      </c>
      <c r="G247" s="105">
        <v>6</v>
      </c>
      <c r="H247" s="105">
        <v>487</v>
      </c>
      <c r="I247" s="105">
        <v>512</v>
      </c>
      <c r="J247" s="105">
        <v>5</v>
      </c>
      <c r="K247" s="105">
        <f t="shared" si="15"/>
        <v>517</v>
      </c>
      <c r="L247" s="105">
        <v>0</v>
      </c>
      <c r="M247" s="106">
        <f t="shared" si="16"/>
        <v>0.94197292069632499</v>
      </c>
      <c r="N247" s="106">
        <f t="shared" si="17"/>
        <v>1.160541586073501E-2</v>
      </c>
      <c r="O247" s="106">
        <f t="shared" si="18"/>
        <v>3.6750483558994199E-2</v>
      </c>
      <c r="P247" s="107">
        <v>5</v>
      </c>
      <c r="Q247" s="107">
        <v>591</v>
      </c>
      <c r="R247" s="107">
        <v>86</v>
      </c>
      <c r="S247" s="107">
        <v>7</v>
      </c>
      <c r="T247" s="107">
        <v>689</v>
      </c>
      <c r="U247" s="108">
        <v>7.2568940493468797E-3</v>
      </c>
      <c r="V247" s="108">
        <v>0.85776487663280121</v>
      </c>
      <c r="W247" s="108">
        <v>0.12481857764876633</v>
      </c>
      <c r="X247" s="108">
        <v>1.0159651669085631E-2</v>
      </c>
      <c r="Y247" s="109">
        <v>56.29898403483309</v>
      </c>
      <c r="Z247" s="106">
        <f t="shared" si="19"/>
        <v>0.75036284470246739</v>
      </c>
    </row>
    <row r="248" spans="1:26" x14ac:dyDescent="0.25">
      <c r="A248" s="105"/>
      <c r="B248" s="105"/>
      <c r="C248" s="105"/>
      <c r="D248" s="105">
        <v>5</v>
      </c>
      <c r="E248" s="105">
        <v>518</v>
      </c>
      <c r="F248" s="105">
        <v>14</v>
      </c>
      <c r="G248" s="105">
        <v>12</v>
      </c>
      <c r="H248" s="105">
        <v>492</v>
      </c>
      <c r="I248" s="105">
        <v>518</v>
      </c>
      <c r="J248" s="105">
        <v>0</v>
      </c>
      <c r="K248" s="105">
        <f t="shared" si="15"/>
        <v>518</v>
      </c>
      <c r="L248" s="105">
        <v>0</v>
      </c>
      <c r="M248" s="106">
        <f t="shared" si="16"/>
        <v>0.9498069498069498</v>
      </c>
      <c r="N248" s="106">
        <f t="shared" si="17"/>
        <v>2.3166023166023165E-2</v>
      </c>
      <c r="O248" s="106">
        <f t="shared" si="18"/>
        <v>2.7027027027027029E-2</v>
      </c>
      <c r="P248" s="107">
        <v>14</v>
      </c>
      <c r="Q248" s="107">
        <v>583</v>
      </c>
      <c r="R248" s="107">
        <v>84</v>
      </c>
      <c r="S248" s="107">
        <v>8</v>
      </c>
      <c r="T248" s="107">
        <v>689</v>
      </c>
      <c r="U248" s="108">
        <v>2.0319303338171262E-2</v>
      </c>
      <c r="V248" s="108">
        <v>0.84615384615384615</v>
      </c>
      <c r="W248" s="108">
        <v>0.12191582002902758</v>
      </c>
      <c r="X248" s="108">
        <v>1.1611030478955007E-2</v>
      </c>
      <c r="Y248" s="109">
        <v>49.062409288824384</v>
      </c>
      <c r="Z248" s="106">
        <f t="shared" si="19"/>
        <v>0.75181422351233673</v>
      </c>
    </row>
    <row r="249" spans="1:26" x14ac:dyDescent="0.25">
      <c r="A249" s="105"/>
      <c r="B249" s="105"/>
      <c r="C249" s="105"/>
      <c r="D249" s="105">
        <v>6</v>
      </c>
      <c r="E249" s="105">
        <v>483</v>
      </c>
      <c r="F249" s="105">
        <v>21</v>
      </c>
      <c r="G249" s="105">
        <v>9</v>
      </c>
      <c r="H249" s="105">
        <v>452</v>
      </c>
      <c r="I249" s="105">
        <v>482</v>
      </c>
      <c r="J249" s="105">
        <v>1</v>
      </c>
      <c r="K249" s="105">
        <f t="shared" si="15"/>
        <v>483</v>
      </c>
      <c r="L249" s="105">
        <v>0</v>
      </c>
      <c r="M249" s="106">
        <f t="shared" si="16"/>
        <v>0.93581780538302273</v>
      </c>
      <c r="N249" s="106">
        <f t="shared" si="17"/>
        <v>1.8633540372670808E-2</v>
      </c>
      <c r="O249" s="106">
        <f t="shared" si="18"/>
        <v>4.3478260869565216E-2</v>
      </c>
      <c r="P249" s="107">
        <v>25</v>
      </c>
      <c r="Q249" s="107">
        <v>607</v>
      </c>
      <c r="R249" s="107">
        <v>55</v>
      </c>
      <c r="S249" s="107">
        <v>2</v>
      </c>
      <c r="T249" s="107">
        <v>689</v>
      </c>
      <c r="U249" s="108">
        <v>3.6284470246734396E-2</v>
      </c>
      <c r="V249" s="108">
        <v>0.88098693759071123</v>
      </c>
      <c r="W249" s="108">
        <v>7.982583454281568E-2</v>
      </c>
      <c r="X249" s="108">
        <v>2.9027576197387518E-3</v>
      </c>
      <c r="Y249" s="109">
        <v>42.613933236574745</v>
      </c>
      <c r="Z249" s="106">
        <f t="shared" si="19"/>
        <v>0.70101596516690856</v>
      </c>
    </row>
    <row r="250" spans="1:26" x14ac:dyDescent="0.25">
      <c r="A250" s="105"/>
      <c r="B250" s="105"/>
      <c r="C250" s="105"/>
      <c r="D250" s="105">
        <v>7</v>
      </c>
      <c r="E250" s="105">
        <v>500</v>
      </c>
      <c r="F250" s="105">
        <v>18</v>
      </c>
      <c r="G250" s="105">
        <v>11</v>
      </c>
      <c r="H250" s="105">
        <v>471</v>
      </c>
      <c r="I250" s="105">
        <v>500</v>
      </c>
      <c r="J250" s="105">
        <v>0</v>
      </c>
      <c r="K250" s="105">
        <f t="shared" si="15"/>
        <v>500</v>
      </c>
      <c r="L250" s="105">
        <v>0</v>
      </c>
      <c r="M250" s="106">
        <f t="shared" si="16"/>
        <v>0.94199999999999995</v>
      </c>
      <c r="N250" s="106">
        <f t="shared" si="17"/>
        <v>2.1999999999999999E-2</v>
      </c>
      <c r="O250" s="106">
        <f t="shared" si="18"/>
        <v>3.5999999999999997E-2</v>
      </c>
      <c r="P250" s="107">
        <v>29</v>
      </c>
      <c r="Q250" s="107">
        <v>560</v>
      </c>
      <c r="R250" s="107">
        <v>97</v>
      </c>
      <c r="S250" s="107">
        <v>3</v>
      </c>
      <c r="T250" s="107">
        <v>689</v>
      </c>
      <c r="U250" s="108">
        <v>4.2089985486211901E-2</v>
      </c>
      <c r="V250" s="108">
        <v>0.81277213352685052</v>
      </c>
      <c r="W250" s="108">
        <v>0.14078374455732948</v>
      </c>
      <c r="X250" s="108">
        <v>4.3541364296081275E-3</v>
      </c>
      <c r="Y250" s="109">
        <v>36.978229317851962</v>
      </c>
      <c r="Z250" s="106">
        <f t="shared" si="19"/>
        <v>0.72568940493468792</v>
      </c>
    </row>
    <row r="251" spans="1:26" x14ac:dyDescent="0.25">
      <c r="A251" s="105"/>
      <c r="B251" s="105"/>
      <c r="C251" s="105"/>
      <c r="D251" s="105">
        <v>8</v>
      </c>
      <c r="E251" s="105">
        <v>473</v>
      </c>
      <c r="F251" s="105">
        <v>18</v>
      </c>
      <c r="G251" s="105">
        <v>11</v>
      </c>
      <c r="H251" s="105">
        <v>438</v>
      </c>
      <c r="I251" s="105">
        <v>467</v>
      </c>
      <c r="J251" s="105">
        <v>6</v>
      </c>
      <c r="K251" s="105">
        <f t="shared" si="15"/>
        <v>473</v>
      </c>
      <c r="L251" s="105">
        <v>0</v>
      </c>
      <c r="M251" s="106">
        <f t="shared" si="16"/>
        <v>0.92600422832980978</v>
      </c>
      <c r="N251" s="106">
        <f t="shared" si="17"/>
        <v>2.3255813953488372E-2</v>
      </c>
      <c r="O251" s="106">
        <f t="shared" si="18"/>
        <v>3.8054968287526428E-2</v>
      </c>
      <c r="P251" s="107">
        <v>24</v>
      </c>
      <c r="Q251" s="107">
        <v>586</v>
      </c>
      <c r="R251" s="107">
        <v>76</v>
      </c>
      <c r="S251" s="107">
        <v>3</v>
      </c>
      <c r="T251" s="107">
        <v>689</v>
      </c>
      <c r="U251" s="108">
        <v>3.483309143686502E-2</v>
      </c>
      <c r="V251" s="108">
        <v>0.85050798258345428</v>
      </c>
      <c r="W251" s="108">
        <v>0.11030478955007257</v>
      </c>
      <c r="X251" s="108">
        <v>4.3541364296081275E-3</v>
      </c>
      <c r="Y251" s="109">
        <v>31.624092888243833</v>
      </c>
      <c r="Z251" s="106">
        <f t="shared" si="19"/>
        <v>0.68650217706821481</v>
      </c>
    </row>
    <row r="252" spans="1:26" x14ac:dyDescent="0.25">
      <c r="A252" s="105"/>
      <c r="B252" s="105"/>
      <c r="C252" s="105"/>
      <c r="D252" s="105">
        <v>9</v>
      </c>
      <c r="E252" s="105">
        <v>523</v>
      </c>
      <c r="F252" s="105">
        <v>12</v>
      </c>
      <c r="G252" s="105">
        <v>10</v>
      </c>
      <c r="H252" s="105">
        <v>499</v>
      </c>
      <c r="I252" s="105">
        <v>521</v>
      </c>
      <c r="J252" s="105">
        <v>2</v>
      </c>
      <c r="K252" s="105">
        <f t="shared" si="15"/>
        <v>523</v>
      </c>
      <c r="L252" s="105">
        <v>0</v>
      </c>
      <c r="M252" s="106">
        <f t="shared" si="16"/>
        <v>0.95411089866156784</v>
      </c>
      <c r="N252" s="106">
        <f t="shared" si="17"/>
        <v>1.9120458891013385E-2</v>
      </c>
      <c r="O252" s="106">
        <f t="shared" si="18"/>
        <v>2.2944550669216062E-2</v>
      </c>
      <c r="P252" s="107">
        <v>21</v>
      </c>
      <c r="Q252" s="107">
        <v>592</v>
      </c>
      <c r="R252" s="107">
        <v>73</v>
      </c>
      <c r="S252" s="107">
        <v>3</v>
      </c>
      <c r="T252" s="107">
        <v>689</v>
      </c>
      <c r="U252" s="108">
        <v>3.0478955007256895E-2</v>
      </c>
      <c r="V252" s="108">
        <v>0.85921625544267055</v>
      </c>
      <c r="W252" s="108">
        <v>0.10595065312046444</v>
      </c>
      <c r="X252" s="108">
        <v>4.3541364296081275E-3</v>
      </c>
      <c r="Y252" s="109">
        <v>26.576197387518143</v>
      </c>
      <c r="Z252" s="106">
        <f t="shared" si="19"/>
        <v>0.75907111756168355</v>
      </c>
    </row>
    <row r="253" spans="1:26" x14ac:dyDescent="0.25">
      <c r="A253" s="105"/>
      <c r="B253" s="105"/>
      <c r="C253" s="105"/>
      <c r="D253" s="105">
        <v>10</v>
      </c>
      <c r="E253" s="105">
        <v>562</v>
      </c>
      <c r="F253" s="105">
        <v>12</v>
      </c>
      <c r="G253" s="105">
        <v>14</v>
      </c>
      <c r="H253" s="105">
        <v>533</v>
      </c>
      <c r="I253" s="105">
        <v>559</v>
      </c>
      <c r="J253" s="105">
        <v>3</v>
      </c>
      <c r="K253" s="105">
        <f t="shared" si="15"/>
        <v>562</v>
      </c>
      <c r="L253" s="105">
        <v>0</v>
      </c>
      <c r="M253" s="106">
        <f t="shared" si="16"/>
        <v>0.94839857651245552</v>
      </c>
      <c r="N253" s="106">
        <f t="shared" si="17"/>
        <v>2.491103202846975E-2</v>
      </c>
      <c r="O253" s="106">
        <f t="shared" si="18"/>
        <v>2.1352313167259787E-2</v>
      </c>
      <c r="P253" s="107">
        <v>23</v>
      </c>
      <c r="Q253" s="107">
        <v>591</v>
      </c>
      <c r="R253" s="107">
        <v>75</v>
      </c>
      <c r="S253" s="107">
        <v>0</v>
      </c>
      <c r="T253" s="107">
        <v>689</v>
      </c>
      <c r="U253" s="108">
        <v>3.3381712626995644E-2</v>
      </c>
      <c r="V253" s="108">
        <v>0.85776487663280121</v>
      </c>
      <c r="W253" s="108">
        <v>0.10885341074020319</v>
      </c>
      <c r="X253" s="108">
        <v>0</v>
      </c>
      <c r="Y253" s="109">
        <v>21.110304789550071</v>
      </c>
      <c r="Z253" s="106">
        <f t="shared" si="19"/>
        <v>0.81567489114658931</v>
      </c>
    </row>
    <row r="254" spans="1:26" x14ac:dyDescent="0.25">
      <c r="A254" s="105"/>
      <c r="B254" s="105"/>
      <c r="C254" s="105" t="s">
        <v>231</v>
      </c>
      <c r="D254" s="105">
        <v>1</v>
      </c>
      <c r="E254" s="105">
        <v>278</v>
      </c>
      <c r="F254" s="105">
        <v>29</v>
      </c>
      <c r="G254" s="105">
        <v>8</v>
      </c>
      <c r="H254" s="105">
        <v>237</v>
      </c>
      <c r="I254" s="105">
        <v>274</v>
      </c>
      <c r="J254" s="105">
        <v>4</v>
      </c>
      <c r="K254" s="105">
        <f t="shared" si="15"/>
        <v>278</v>
      </c>
      <c r="L254" s="105">
        <v>0</v>
      </c>
      <c r="M254" s="106">
        <f t="shared" si="16"/>
        <v>0.85251798561151082</v>
      </c>
      <c r="N254" s="106">
        <f t="shared" si="17"/>
        <v>2.8776978417266189E-2</v>
      </c>
      <c r="O254" s="106">
        <f t="shared" si="18"/>
        <v>0.10431654676258993</v>
      </c>
      <c r="P254" s="107">
        <v>10</v>
      </c>
      <c r="Q254" s="107">
        <v>183</v>
      </c>
      <c r="R254" s="107">
        <v>180</v>
      </c>
      <c r="S254" s="107">
        <v>7</v>
      </c>
      <c r="T254" s="107">
        <v>380</v>
      </c>
      <c r="U254" s="108">
        <v>2.6315789473684209E-2</v>
      </c>
      <c r="V254" s="108">
        <v>0.48157894736842105</v>
      </c>
      <c r="W254" s="108">
        <v>0.47368421052631576</v>
      </c>
      <c r="X254" s="108">
        <v>1.8421052631578946E-2</v>
      </c>
      <c r="Y254" s="109">
        <v>69.555263157894743</v>
      </c>
      <c r="Z254" s="106">
        <f t="shared" si="19"/>
        <v>0.73157894736842111</v>
      </c>
    </row>
    <row r="255" spans="1:26" x14ac:dyDescent="0.25">
      <c r="A255" s="105"/>
      <c r="B255" s="105"/>
      <c r="C255" s="105"/>
      <c r="D255" s="105">
        <v>2</v>
      </c>
      <c r="E255" s="105">
        <v>320</v>
      </c>
      <c r="F255" s="105">
        <v>18</v>
      </c>
      <c r="G255" s="105">
        <v>7</v>
      </c>
      <c r="H255" s="105">
        <v>294</v>
      </c>
      <c r="I255" s="105">
        <v>319</v>
      </c>
      <c r="J255" s="105">
        <v>1</v>
      </c>
      <c r="K255" s="105">
        <f t="shared" si="15"/>
        <v>320</v>
      </c>
      <c r="L255" s="105">
        <v>0</v>
      </c>
      <c r="M255" s="106">
        <f t="shared" si="16"/>
        <v>0.91874999999999996</v>
      </c>
      <c r="N255" s="106">
        <f t="shared" si="17"/>
        <v>2.1874999999999999E-2</v>
      </c>
      <c r="O255" s="106">
        <f t="shared" si="18"/>
        <v>5.6250000000000001E-2</v>
      </c>
      <c r="P255" s="107">
        <v>12</v>
      </c>
      <c r="Q255" s="107">
        <v>194</v>
      </c>
      <c r="R255" s="107">
        <v>169</v>
      </c>
      <c r="S255" s="107">
        <v>5</v>
      </c>
      <c r="T255" s="107">
        <v>380</v>
      </c>
      <c r="U255" s="108">
        <v>3.1578947368421054E-2</v>
      </c>
      <c r="V255" s="108">
        <v>0.51052631578947372</v>
      </c>
      <c r="W255" s="108">
        <v>0.44473684210526315</v>
      </c>
      <c r="X255" s="108">
        <v>1.3157894736842105E-2</v>
      </c>
      <c r="Y255" s="109">
        <v>61.044736842105266</v>
      </c>
      <c r="Z255" s="106">
        <f t="shared" si="19"/>
        <v>0.84210526315789469</v>
      </c>
    </row>
    <row r="256" spans="1:26" x14ac:dyDescent="0.25">
      <c r="A256" s="105"/>
      <c r="B256" s="105"/>
      <c r="C256" s="105"/>
      <c r="D256" s="105">
        <v>3</v>
      </c>
      <c r="E256" s="105">
        <v>524</v>
      </c>
      <c r="F256" s="105">
        <v>26</v>
      </c>
      <c r="G256" s="105">
        <v>8</v>
      </c>
      <c r="H256" s="105">
        <v>489</v>
      </c>
      <c r="I256" s="105">
        <v>523</v>
      </c>
      <c r="J256" s="105">
        <v>1</v>
      </c>
      <c r="K256" s="105">
        <f t="shared" si="15"/>
        <v>524</v>
      </c>
      <c r="L256" s="105">
        <v>0</v>
      </c>
      <c r="M256" s="106">
        <f t="shared" si="16"/>
        <v>0.93320610687022898</v>
      </c>
      <c r="N256" s="106">
        <f t="shared" si="17"/>
        <v>1.5267175572519083E-2</v>
      </c>
      <c r="O256" s="106">
        <f t="shared" si="18"/>
        <v>4.9618320610687022E-2</v>
      </c>
      <c r="P256" s="107">
        <v>21</v>
      </c>
      <c r="Q256" s="107">
        <v>369</v>
      </c>
      <c r="R256" s="107">
        <v>257</v>
      </c>
      <c r="S256" s="107">
        <v>5</v>
      </c>
      <c r="T256" s="107">
        <v>652</v>
      </c>
      <c r="U256" s="108">
        <v>3.2208588957055216E-2</v>
      </c>
      <c r="V256" s="108">
        <v>0.56595092024539873</v>
      </c>
      <c r="W256" s="108">
        <v>0.39417177914110429</v>
      </c>
      <c r="X256" s="108">
        <v>7.6687116564417178E-3</v>
      </c>
      <c r="Y256" s="109">
        <v>49.521472392638039</v>
      </c>
      <c r="Z256" s="106">
        <f t="shared" si="19"/>
        <v>0.80368098159509205</v>
      </c>
    </row>
    <row r="257" spans="1:26" x14ac:dyDescent="0.25">
      <c r="A257" s="105"/>
      <c r="B257" s="105"/>
      <c r="C257" s="105"/>
      <c r="D257" s="105">
        <v>4</v>
      </c>
      <c r="E257" s="105">
        <v>488</v>
      </c>
      <c r="F257" s="105">
        <v>21</v>
      </c>
      <c r="G257" s="105">
        <v>16</v>
      </c>
      <c r="H257" s="105">
        <v>450</v>
      </c>
      <c r="I257" s="105">
        <v>487</v>
      </c>
      <c r="J257" s="105">
        <v>1</v>
      </c>
      <c r="K257" s="105">
        <f t="shared" si="15"/>
        <v>488</v>
      </c>
      <c r="L257" s="105">
        <v>0</v>
      </c>
      <c r="M257" s="106">
        <f t="shared" si="16"/>
        <v>0.92213114754098358</v>
      </c>
      <c r="N257" s="106">
        <f t="shared" si="17"/>
        <v>3.2786885245901641E-2</v>
      </c>
      <c r="O257" s="106">
        <f t="shared" si="18"/>
        <v>4.3032786885245901E-2</v>
      </c>
      <c r="P257" s="107">
        <v>29</v>
      </c>
      <c r="Q257" s="107">
        <v>360</v>
      </c>
      <c r="R257" s="107">
        <v>258</v>
      </c>
      <c r="S257" s="107">
        <v>5</v>
      </c>
      <c r="T257" s="107">
        <v>652</v>
      </c>
      <c r="U257" s="108">
        <v>4.4478527607361963E-2</v>
      </c>
      <c r="V257" s="108">
        <v>0.55214723926380371</v>
      </c>
      <c r="W257" s="108">
        <v>0.39570552147239263</v>
      </c>
      <c r="X257" s="108">
        <v>7.6687116564417178E-3</v>
      </c>
      <c r="Y257" s="109">
        <v>38.95092024539877</v>
      </c>
      <c r="Z257" s="106">
        <f t="shared" si="19"/>
        <v>0.74846625766871167</v>
      </c>
    </row>
    <row r="258" spans="1:26" x14ac:dyDescent="0.25">
      <c r="A258" s="105"/>
      <c r="B258" s="105"/>
      <c r="C258" s="105"/>
      <c r="D258" s="105">
        <v>5</v>
      </c>
      <c r="E258" s="105">
        <v>473</v>
      </c>
      <c r="F258" s="105">
        <v>23</v>
      </c>
      <c r="G258" s="105">
        <v>13</v>
      </c>
      <c r="H258" s="105">
        <v>436</v>
      </c>
      <c r="I258" s="105">
        <v>472</v>
      </c>
      <c r="J258" s="105">
        <v>1</v>
      </c>
      <c r="K258" s="105">
        <f t="shared" si="15"/>
        <v>473</v>
      </c>
      <c r="L258" s="105">
        <v>0</v>
      </c>
      <c r="M258" s="106">
        <f t="shared" si="16"/>
        <v>0.92177589852008457</v>
      </c>
      <c r="N258" s="106">
        <f t="shared" si="17"/>
        <v>2.748414376321353E-2</v>
      </c>
      <c r="O258" s="106">
        <f t="shared" si="18"/>
        <v>4.8625792811839326E-2</v>
      </c>
      <c r="P258" s="107">
        <v>50</v>
      </c>
      <c r="Q258" s="107">
        <v>348</v>
      </c>
      <c r="R258" s="107">
        <v>247</v>
      </c>
      <c r="S258" s="107">
        <v>7</v>
      </c>
      <c r="T258" s="107">
        <v>652</v>
      </c>
      <c r="U258" s="108">
        <v>7.6687116564417179E-2</v>
      </c>
      <c r="V258" s="108">
        <v>0.53374233128834359</v>
      </c>
      <c r="W258" s="108">
        <v>0.37883435582822084</v>
      </c>
      <c r="X258" s="108">
        <v>1.0736196319018405E-2</v>
      </c>
      <c r="Y258" s="109">
        <v>31.219325153374232</v>
      </c>
      <c r="Z258" s="106">
        <f t="shared" si="19"/>
        <v>0.72546012269938653</v>
      </c>
    </row>
    <row r="259" spans="1:26" x14ac:dyDescent="0.25">
      <c r="A259" s="105"/>
      <c r="B259" s="105"/>
      <c r="C259" s="105"/>
      <c r="D259" s="105">
        <v>6</v>
      </c>
      <c r="E259" s="105">
        <v>520</v>
      </c>
      <c r="F259" s="105">
        <v>23</v>
      </c>
      <c r="G259" s="105">
        <v>15</v>
      </c>
      <c r="H259" s="105">
        <v>482</v>
      </c>
      <c r="I259" s="105">
        <v>520</v>
      </c>
      <c r="J259" s="105">
        <v>0</v>
      </c>
      <c r="K259" s="105">
        <f t="shared" ref="K259:K319" si="20">J259+I259</f>
        <v>520</v>
      </c>
      <c r="L259" s="105">
        <v>0</v>
      </c>
      <c r="M259" s="106">
        <f t="shared" ref="M259:M319" si="21">H259/K259</f>
        <v>0.92692307692307696</v>
      </c>
      <c r="N259" s="106">
        <f t="shared" ref="N259:N319" si="22">G259/K259</f>
        <v>2.8846153846153848E-2</v>
      </c>
      <c r="O259" s="106">
        <f t="shared" ref="O259:O319" si="23">F259/K259</f>
        <v>4.4230769230769233E-2</v>
      </c>
      <c r="P259" s="107">
        <v>55</v>
      </c>
      <c r="Q259" s="107">
        <v>356</v>
      </c>
      <c r="R259" s="107">
        <v>240</v>
      </c>
      <c r="S259" s="107">
        <v>1</v>
      </c>
      <c r="T259" s="107">
        <v>652</v>
      </c>
      <c r="U259" s="108">
        <v>8.4355828220858894E-2</v>
      </c>
      <c r="V259" s="108">
        <v>0.54601226993865026</v>
      </c>
      <c r="W259" s="108">
        <v>0.36809815950920244</v>
      </c>
      <c r="X259" s="108">
        <v>1.5337423312883436E-3</v>
      </c>
      <c r="Y259" s="109">
        <v>23.042944785276074</v>
      </c>
      <c r="Z259" s="106">
        <f t="shared" ref="Z259:Z321" si="24">K259/T259</f>
        <v>0.7975460122699386</v>
      </c>
    </row>
    <row r="260" spans="1:26" x14ac:dyDescent="0.25">
      <c r="A260" s="110">
        <v>36</v>
      </c>
      <c r="B260" s="110" t="s">
        <v>232</v>
      </c>
      <c r="C260" s="110" t="s">
        <v>233</v>
      </c>
      <c r="D260" s="110">
        <v>1</v>
      </c>
      <c r="E260" s="110">
        <v>233</v>
      </c>
      <c r="F260" s="110">
        <v>12</v>
      </c>
      <c r="G260" s="110">
        <v>1</v>
      </c>
      <c r="H260" s="110">
        <v>217</v>
      </c>
      <c r="I260" s="110">
        <v>230</v>
      </c>
      <c r="J260" s="110">
        <v>3</v>
      </c>
      <c r="K260" s="110">
        <f t="shared" si="20"/>
        <v>233</v>
      </c>
      <c r="L260" s="110">
        <v>0</v>
      </c>
      <c r="M260" s="111">
        <f t="shared" si="21"/>
        <v>0.93133047210300424</v>
      </c>
      <c r="N260" s="111">
        <f t="shared" si="22"/>
        <v>4.2918454935622317E-3</v>
      </c>
      <c r="O260" s="111">
        <f t="shared" si="23"/>
        <v>5.1502145922746781E-2</v>
      </c>
      <c r="P260" s="112">
        <v>9</v>
      </c>
      <c r="Q260" s="112">
        <v>313</v>
      </c>
      <c r="R260" s="112">
        <v>51</v>
      </c>
      <c r="S260" s="112">
        <v>7</v>
      </c>
      <c r="T260" s="112">
        <v>380</v>
      </c>
      <c r="U260" s="113">
        <v>2.368421052631579E-2</v>
      </c>
      <c r="V260" s="113">
        <v>0.8236842105263158</v>
      </c>
      <c r="W260" s="113">
        <v>0.13421052631578947</v>
      </c>
      <c r="X260" s="113">
        <v>1.8421052631578946E-2</v>
      </c>
      <c r="Y260" s="114">
        <v>72.607894736842098</v>
      </c>
      <c r="Z260" s="111">
        <f t="shared" si="24"/>
        <v>0.61315789473684212</v>
      </c>
    </row>
    <row r="261" spans="1:26" x14ac:dyDescent="0.25">
      <c r="A261" s="110"/>
      <c r="B261" s="110"/>
      <c r="C261" s="110"/>
      <c r="D261" s="110">
        <v>2</v>
      </c>
      <c r="E261" s="110">
        <v>300</v>
      </c>
      <c r="F261" s="110">
        <v>15</v>
      </c>
      <c r="G261" s="110">
        <v>3</v>
      </c>
      <c r="H261" s="110">
        <v>282</v>
      </c>
      <c r="I261" s="110">
        <v>300</v>
      </c>
      <c r="J261" s="110">
        <v>0</v>
      </c>
      <c r="K261" s="110">
        <f t="shared" si="20"/>
        <v>300</v>
      </c>
      <c r="L261" s="110">
        <v>0</v>
      </c>
      <c r="M261" s="111">
        <f t="shared" si="21"/>
        <v>0.94</v>
      </c>
      <c r="N261" s="111">
        <f t="shared" si="22"/>
        <v>0.01</v>
      </c>
      <c r="O261" s="111">
        <f t="shared" si="23"/>
        <v>0.05</v>
      </c>
      <c r="P261" s="112">
        <v>9</v>
      </c>
      <c r="Q261" s="112">
        <v>306</v>
      </c>
      <c r="R261" s="112">
        <v>59</v>
      </c>
      <c r="S261" s="112">
        <v>6</v>
      </c>
      <c r="T261" s="112">
        <v>380</v>
      </c>
      <c r="U261" s="113">
        <v>2.368421052631579E-2</v>
      </c>
      <c r="V261" s="113">
        <v>0.80526315789473679</v>
      </c>
      <c r="W261" s="113">
        <v>0.15526315789473685</v>
      </c>
      <c r="X261" s="113">
        <v>1.5789473684210527E-2</v>
      </c>
      <c r="Y261" s="114">
        <v>61.481578947368419</v>
      </c>
      <c r="Z261" s="111">
        <f t="shared" si="24"/>
        <v>0.78947368421052633</v>
      </c>
    </row>
    <row r="262" spans="1:26" x14ac:dyDescent="0.25">
      <c r="A262" s="110"/>
      <c r="B262" s="110"/>
      <c r="C262" s="110"/>
      <c r="D262" s="110">
        <v>3</v>
      </c>
      <c r="E262" s="110">
        <v>456</v>
      </c>
      <c r="F262" s="110">
        <v>19</v>
      </c>
      <c r="G262" s="110">
        <v>8</v>
      </c>
      <c r="H262" s="110">
        <v>429</v>
      </c>
      <c r="I262" s="110">
        <v>456</v>
      </c>
      <c r="J262" s="110">
        <v>0</v>
      </c>
      <c r="K262" s="110">
        <f t="shared" si="20"/>
        <v>456</v>
      </c>
      <c r="L262" s="110">
        <v>0</v>
      </c>
      <c r="M262" s="111">
        <f t="shared" si="21"/>
        <v>0.94078947368421051</v>
      </c>
      <c r="N262" s="111">
        <f t="shared" si="22"/>
        <v>1.7543859649122806E-2</v>
      </c>
      <c r="O262" s="111">
        <f t="shared" si="23"/>
        <v>4.1666666666666664E-2</v>
      </c>
      <c r="P262" s="112">
        <v>15</v>
      </c>
      <c r="Q262" s="112">
        <v>511</v>
      </c>
      <c r="R262" s="112">
        <v>66</v>
      </c>
      <c r="S262" s="112">
        <v>10</v>
      </c>
      <c r="T262" s="112">
        <v>602</v>
      </c>
      <c r="U262" s="113">
        <v>2.4916943521594685E-2</v>
      </c>
      <c r="V262" s="113">
        <v>0.84883720930232553</v>
      </c>
      <c r="W262" s="113">
        <v>0.10963455149501661</v>
      </c>
      <c r="X262" s="113">
        <v>1.6611295681063124E-2</v>
      </c>
      <c r="Y262" s="114">
        <v>51.303986710963457</v>
      </c>
      <c r="Z262" s="111">
        <f t="shared" si="24"/>
        <v>0.75747508305647837</v>
      </c>
    </row>
    <row r="263" spans="1:26" x14ac:dyDescent="0.25">
      <c r="A263" s="110"/>
      <c r="B263" s="110"/>
      <c r="C263" s="110"/>
      <c r="D263" s="110">
        <v>4</v>
      </c>
      <c r="E263" s="110">
        <v>458</v>
      </c>
      <c r="F263" s="110">
        <v>20</v>
      </c>
      <c r="G263" s="110">
        <v>13</v>
      </c>
      <c r="H263" s="110">
        <v>424</v>
      </c>
      <c r="I263" s="110">
        <v>457</v>
      </c>
      <c r="J263" s="110">
        <v>1</v>
      </c>
      <c r="K263" s="110">
        <f t="shared" si="20"/>
        <v>458</v>
      </c>
      <c r="L263" s="110">
        <v>0</v>
      </c>
      <c r="M263" s="111">
        <f t="shared" si="21"/>
        <v>0.92576419213973804</v>
      </c>
      <c r="N263" s="111">
        <f t="shared" si="22"/>
        <v>2.8384279475982533E-2</v>
      </c>
      <c r="O263" s="111">
        <f t="shared" si="23"/>
        <v>4.3668122270742356E-2</v>
      </c>
      <c r="P263" s="112">
        <v>30</v>
      </c>
      <c r="Q263" s="112">
        <v>494</v>
      </c>
      <c r="R263" s="112">
        <v>74</v>
      </c>
      <c r="S263" s="112">
        <v>5</v>
      </c>
      <c r="T263" s="112">
        <v>603</v>
      </c>
      <c r="U263" s="113">
        <v>4.975124378109453E-2</v>
      </c>
      <c r="V263" s="113">
        <v>0.8192371475953566</v>
      </c>
      <c r="W263" s="113">
        <v>0.12271973466003316</v>
      </c>
      <c r="X263" s="113">
        <v>8.291873963515755E-3</v>
      </c>
      <c r="Y263" s="114">
        <v>41.086235489220563</v>
      </c>
      <c r="Z263" s="111">
        <f t="shared" si="24"/>
        <v>0.7595356550580431</v>
      </c>
    </row>
    <row r="264" spans="1:26" x14ac:dyDescent="0.25">
      <c r="A264" s="110"/>
      <c r="B264" s="110"/>
      <c r="C264" s="110"/>
      <c r="D264" s="110">
        <v>5</v>
      </c>
      <c r="E264" s="110">
        <v>435</v>
      </c>
      <c r="F264" s="110">
        <v>14</v>
      </c>
      <c r="G264" s="110">
        <v>9</v>
      </c>
      <c r="H264" s="110">
        <v>410</v>
      </c>
      <c r="I264" s="110">
        <v>433</v>
      </c>
      <c r="J264" s="110">
        <v>2</v>
      </c>
      <c r="K264" s="110">
        <f t="shared" si="20"/>
        <v>435</v>
      </c>
      <c r="L264" s="110">
        <v>0</v>
      </c>
      <c r="M264" s="111">
        <f t="shared" si="21"/>
        <v>0.94252873563218387</v>
      </c>
      <c r="N264" s="111">
        <f t="shared" si="22"/>
        <v>2.0689655172413793E-2</v>
      </c>
      <c r="O264" s="111">
        <f t="shared" si="23"/>
        <v>3.2183908045977011E-2</v>
      </c>
      <c r="P264" s="112">
        <v>34</v>
      </c>
      <c r="Q264" s="112">
        <v>485</v>
      </c>
      <c r="R264" s="112">
        <v>82</v>
      </c>
      <c r="S264" s="112">
        <v>2</v>
      </c>
      <c r="T264" s="112">
        <v>603</v>
      </c>
      <c r="U264" s="113">
        <v>5.6384742951907131E-2</v>
      </c>
      <c r="V264" s="113">
        <v>0.80431177446102819</v>
      </c>
      <c r="W264" s="113">
        <v>0.13598673300165837</v>
      </c>
      <c r="X264" s="113">
        <v>3.3167495854063019E-3</v>
      </c>
      <c r="Y264" s="114">
        <v>32.203980099502488</v>
      </c>
      <c r="Z264" s="111">
        <f t="shared" si="24"/>
        <v>0.72139303482587069</v>
      </c>
    </row>
    <row r="265" spans="1:26" x14ac:dyDescent="0.25">
      <c r="A265" s="110"/>
      <c r="B265" s="110"/>
      <c r="C265" s="110"/>
      <c r="D265" s="110">
        <v>6</v>
      </c>
      <c r="E265" s="110">
        <v>462</v>
      </c>
      <c r="F265" s="110">
        <v>13</v>
      </c>
      <c r="G265" s="110">
        <v>15</v>
      </c>
      <c r="H265" s="110">
        <v>432</v>
      </c>
      <c r="I265" s="110">
        <v>460</v>
      </c>
      <c r="J265" s="110">
        <v>2</v>
      </c>
      <c r="K265" s="110">
        <f t="shared" si="20"/>
        <v>462</v>
      </c>
      <c r="L265" s="110">
        <v>0</v>
      </c>
      <c r="M265" s="111">
        <f t="shared" si="21"/>
        <v>0.93506493506493504</v>
      </c>
      <c r="N265" s="111">
        <f t="shared" si="22"/>
        <v>3.2467532467532464E-2</v>
      </c>
      <c r="O265" s="111">
        <f t="shared" si="23"/>
        <v>2.813852813852814E-2</v>
      </c>
      <c r="P265" s="112">
        <v>36</v>
      </c>
      <c r="Q265" s="112">
        <v>464</v>
      </c>
      <c r="R265" s="112">
        <v>100</v>
      </c>
      <c r="S265" s="112">
        <v>3</v>
      </c>
      <c r="T265" s="112">
        <v>603</v>
      </c>
      <c r="U265" s="113">
        <v>5.9701492537313432E-2</v>
      </c>
      <c r="V265" s="113">
        <v>0.76948590381426207</v>
      </c>
      <c r="W265" s="113">
        <v>0.16583747927031509</v>
      </c>
      <c r="X265" s="113">
        <v>4.9751243781094526E-3</v>
      </c>
      <c r="Y265" s="114">
        <v>23.102819237147596</v>
      </c>
      <c r="Z265" s="111">
        <f t="shared" si="24"/>
        <v>0.76616915422885568</v>
      </c>
    </row>
    <row r="266" spans="1:26" x14ac:dyDescent="0.25">
      <c r="A266" s="110">
        <v>37</v>
      </c>
      <c r="B266" s="110" t="s">
        <v>234</v>
      </c>
      <c r="C266" s="110" t="s">
        <v>235</v>
      </c>
      <c r="D266" s="110">
        <v>1</v>
      </c>
      <c r="E266" s="110">
        <v>227</v>
      </c>
      <c r="F266" s="110">
        <v>14</v>
      </c>
      <c r="G266" s="110">
        <v>6</v>
      </c>
      <c r="H266" s="110">
        <v>203</v>
      </c>
      <c r="I266" s="110">
        <v>223</v>
      </c>
      <c r="J266" s="110">
        <v>3</v>
      </c>
      <c r="K266" s="110">
        <f t="shared" si="20"/>
        <v>226</v>
      </c>
      <c r="L266" s="110">
        <v>1</v>
      </c>
      <c r="M266" s="111">
        <f t="shared" si="21"/>
        <v>0.89823008849557517</v>
      </c>
      <c r="N266" s="111">
        <f t="shared" si="22"/>
        <v>2.6548672566371681E-2</v>
      </c>
      <c r="O266" s="111">
        <f t="shared" si="23"/>
        <v>6.1946902654867256E-2</v>
      </c>
      <c r="P266" s="112">
        <v>3</v>
      </c>
      <c r="Q266" s="112">
        <v>321</v>
      </c>
      <c r="R266" s="112">
        <v>50</v>
      </c>
      <c r="S266" s="112">
        <v>6</v>
      </c>
      <c r="T266" s="112">
        <v>380</v>
      </c>
      <c r="U266" s="113">
        <v>7.8947368421052634E-3</v>
      </c>
      <c r="V266" s="113">
        <v>0.84473684210526312</v>
      </c>
      <c r="W266" s="113">
        <v>0.13157894736842105</v>
      </c>
      <c r="X266" s="113">
        <v>1.5789473684210527E-2</v>
      </c>
      <c r="Y266" s="114">
        <v>76.005263157894731</v>
      </c>
      <c r="Z266" s="111">
        <f t="shared" si="24"/>
        <v>0.59473684210526312</v>
      </c>
    </row>
    <row r="267" spans="1:26" x14ac:dyDescent="0.25">
      <c r="A267" s="110"/>
      <c r="B267" s="110"/>
      <c r="C267" s="110"/>
      <c r="D267" s="110">
        <v>2</v>
      </c>
      <c r="E267" s="110">
        <v>297</v>
      </c>
      <c r="F267" s="110">
        <v>14</v>
      </c>
      <c r="G267" s="110">
        <v>4</v>
      </c>
      <c r="H267" s="110">
        <v>279</v>
      </c>
      <c r="I267" s="110">
        <v>297</v>
      </c>
      <c r="J267" s="110">
        <v>0</v>
      </c>
      <c r="K267" s="110">
        <f t="shared" si="20"/>
        <v>297</v>
      </c>
      <c r="L267" s="110">
        <v>0</v>
      </c>
      <c r="M267" s="111">
        <f t="shared" si="21"/>
        <v>0.93939393939393945</v>
      </c>
      <c r="N267" s="111">
        <f t="shared" si="22"/>
        <v>1.3468013468013467E-2</v>
      </c>
      <c r="O267" s="111">
        <f t="shared" si="23"/>
        <v>4.7138047138047139E-2</v>
      </c>
      <c r="P267" s="112">
        <v>8</v>
      </c>
      <c r="Q267" s="112">
        <v>326</v>
      </c>
      <c r="R267" s="112">
        <v>42</v>
      </c>
      <c r="S267" s="112">
        <v>4</v>
      </c>
      <c r="T267" s="112">
        <v>380</v>
      </c>
      <c r="U267" s="113">
        <v>2.1052631578947368E-2</v>
      </c>
      <c r="V267" s="113">
        <v>0.85789473684210527</v>
      </c>
      <c r="W267" s="113">
        <v>0.11052631578947368</v>
      </c>
      <c r="X267" s="113">
        <v>1.0526315789473684E-2</v>
      </c>
      <c r="Y267" s="114">
        <v>66.702631578947361</v>
      </c>
      <c r="Z267" s="111">
        <f t="shared" si="24"/>
        <v>0.78157894736842104</v>
      </c>
    </row>
    <row r="268" spans="1:26" x14ac:dyDescent="0.25">
      <c r="A268" s="110"/>
      <c r="B268" s="110"/>
      <c r="C268" s="110"/>
      <c r="D268" s="110">
        <v>3</v>
      </c>
      <c r="E268" s="110">
        <v>301</v>
      </c>
      <c r="F268" s="110">
        <v>12</v>
      </c>
      <c r="G268" s="110">
        <v>4</v>
      </c>
      <c r="H268" s="110">
        <v>282</v>
      </c>
      <c r="I268" s="110">
        <v>298</v>
      </c>
      <c r="J268" s="110">
        <v>3</v>
      </c>
      <c r="K268" s="110">
        <f t="shared" si="20"/>
        <v>301</v>
      </c>
      <c r="L268" s="110">
        <v>0</v>
      </c>
      <c r="M268" s="111">
        <f t="shared" si="21"/>
        <v>0.93687707641196016</v>
      </c>
      <c r="N268" s="111">
        <f t="shared" si="22"/>
        <v>1.3289036544850499E-2</v>
      </c>
      <c r="O268" s="111">
        <f t="shared" si="23"/>
        <v>3.9867109634551492E-2</v>
      </c>
      <c r="P268" s="112">
        <v>11</v>
      </c>
      <c r="Q268" s="112">
        <v>323</v>
      </c>
      <c r="R268" s="112">
        <v>45</v>
      </c>
      <c r="S268" s="112">
        <v>1</v>
      </c>
      <c r="T268" s="112">
        <v>380</v>
      </c>
      <c r="U268" s="113">
        <v>2.8947368421052631E-2</v>
      </c>
      <c r="V268" s="113">
        <v>0.85</v>
      </c>
      <c r="W268" s="113">
        <v>0.11842105263157894</v>
      </c>
      <c r="X268" s="113">
        <v>2.631578947368421E-3</v>
      </c>
      <c r="Y268" s="114">
        <v>59.323684210526316</v>
      </c>
      <c r="Z268" s="111">
        <f t="shared" si="24"/>
        <v>0.79210526315789476</v>
      </c>
    </row>
    <row r="269" spans="1:26" x14ac:dyDescent="0.25">
      <c r="A269" s="110"/>
      <c r="B269" s="110"/>
      <c r="C269" s="110"/>
      <c r="D269" s="110">
        <v>4</v>
      </c>
      <c r="E269" s="110">
        <v>455</v>
      </c>
      <c r="F269" s="110">
        <v>16</v>
      </c>
      <c r="G269" s="110">
        <v>15</v>
      </c>
      <c r="H269" s="110">
        <v>420</v>
      </c>
      <c r="I269" s="110">
        <v>451</v>
      </c>
      <c r="J269" s="110">
        <v>4</v>
      </c>
      <c r="K269" s="110">
        <f t="shared" si="20"/>
        <v>455</v>
      </c>
      <c r="L269" s="110">
        <v>0</v>
      </c>
      <c r="M269" s="111">
        <f t="shared" si="21"/>
        <v>0.92307692307692313</v>
      </c>
      <c r="N269" s="111">
        <f t="shared" si="22"/>
        <v>3.2967032967032968E-2</v>
      </c>
      <c r="O269" s="111">
        <f t="shared" si="23"/>
        <v>3.5164835164835165E-2</v>
      </c>
      <c r="P269" s="112">
        <v>32</v>
      </c>
      <c r="Q269" s="112">
        <v>506</v>
      </c>
      <c r="R269" s="112">
        <v>59</v>
      </c>
      <c r="S269" s="112">
        <v>6</v>
      </c>
      <c r="T269" s="112">
        <v>603</v>
      </c>
      <c r="U269" s="113">
        <v>5.306799336650083E-2</v>
      </c>
      <c r="V269" s="113">
        <v>0.83913764510779432</v>
      </c>
      <c r="W269" s="113">
        <v>9.7844112769485903E-2</v>
      </c>
      <c r="X269" s="113">
        <v>9.9502487562189053E-3</v>
      </c>
      <c r="Y269" s="114">
        <v>49.99336650082919</v>
      </c>
      <c r="Z269" s="111">
        <f t="shared" si="24"/>
        <v>0.75456053067993367</v>
      </c>
    </row>
    <row r="270" spans="1:26" x14ac:dyDescent="0.25">
      <c r="A270" s="110"/>
      <c r="B270" s="110"/>
      <c r="C270" s="110"/>
      <c r="D270" s="110">
        <v>5</v>
      </c>
      <c r="E270" s="110">
        <v>420</v>
      </c>
      <c r="F270" s="110">
        <v>19</v>
      </c>
      <c r="G270" s="110">
        <v>13</v>
      </c>
      <c r="H270" s="110">
        <v>388</v>
      </c>
      <c r="I270" s="110">
        <v>420</v>
      </c>
      <c r="J270" s="110">
        <v>0</v>
      </c>
      <c r="K270" s="110">
        <f t="shared" si="20"/>
        <v>420</v>
      </c>
      <c r="L270" s="110">
        <v>0</v>
      </c>
      <c r="M270" s="111">
        <f t="shared" si="21"/>
        <v>0.92380952380952386</v>
      </c>
      <c r="N270" s="111">
        <f t="shared" si="22"/>
        <v>3.0952380952380953E-2</v>
      </c>
      <c r="O270" s="111">
        <f t="shared" si="23"/>
        <v>4.5238095238095237E-2</v>
      </c>
      <c r="P270" s="112">
        <v>50</v>
      </c>
      <c r="Q270" s="112">
        <v>478</v>
      </c>
      <c r="R270" s="112">
        <v>73</v>
      </c>
      <c r="S270" s="112">
        <v>3</v>
      </c>
      <c r="T270" s="112">
        <v>604</v>
      </c>
      <c r="U270" s="113">
        <v>8.2781456953642391E-2</v>
      </c>
      <c r="V270" s="113">
        <v>0.79139072847682124</v>
      </c>
      <c r="W270" s="113">
        <v>0.12086092715231789</v>
      </c>
      <c r="X270" s="113">
        <v>4.9668874172185433E-3</v>
      </c>
      <c r="Y270" s="114">
        <v>40.562913907284766</v>
      </c>
      <c r="Z270" s="111">
        <f t="shared" si="24"/>
        <v>0.69536423841059603</v>
      </c>
    </row>
    <row r="271" spans="1:26" x14ac:dyDescent="0.25">
      <c r="A271" s="110"/>
      <c r="B271" s="110"/>
      <c r="C271" s="110"/>
      <c r="D271" s="110">
        <v>6</v>
      </c>
      <c r="E271" s="110">
        <v>415</v>
      </c>
      <c r="F271" s="110">
        <v>18</v>
      </c>
      <c r="G271" s="110">
        <v>14</v>
      </c>
      <c r="H271" s="110">
        <v>382</v>
      </c>
      <c r="I271" s="110">
        <v>414</v>
      </c>
      <c r="J271" s="110">
        <v>1</v>
      </c>
      <c r="K271" s="110">
        <f t="shared" si="20"/>
        <v>415</v>
      </c>
      <c r="L271" s="110">
        <v>0</v>
      </c>
      <c r="M271" s="111">
        <f t="shared" si="21"/>
        <v>0.92048192771084336</v>
      </c>
      <c r="N271" s="111">
        <f t="shared" si="22"/>
        <v>3.3734939759036145E-2</v>
      </c>
      <c r="O271" s="111">
        <f t="shared" si="23"/>
        <v>4.3373493975903614E-2</v>
      </c>
      <c r="P271" s="112">
        <v>59</v>
      </c>
      <c r="Q271" s="112">
        <v>460</v>
      </c>
      <c r="R271" s="112">
        <v>83</v>
      </c>
      <c r="S271" s="112">
        <v>2</v>
      </c>
      <c r="T271" s="112">
        <v>604</v>
      </c>
      <c r="U271" s="113">
        <v>9.7682119205298013E-2</v>
      </c>
      <c r="V271" s="113">
        <v>0.76158940397350994</v>
      </c>
      <c r="W271" s="113">
        <v>0.13741721854304637</v>
      </c>
      <c r="X271" s="113">
        <v>3.3112582781456954E-3</v>
      </c>
      <c r="Y271" s="114">
        <v>32.253311258278146</v>
      </c>
      <c r="Z271" s="111">
        <f t="shared" si="24"/>
        <v>0.6870860927152318</v>
      </c>
    </row>
    <row r="272" spans="1:26" x14ac:dyDescent="0.25">
      <c r="A272" s="110"/>
      <c r="B272" s="110"/>
      <c r="C272" s="110"/>
      <c r="D272" s="110">
        <v>7</v>
      </c>
      <c r="E272" s="110">
        <v>481</v>
      </c>
      <c r="F272" s="110">
        <v>22</v>
      </c>
      <c r="G272" s="110">
        <v>43</v>
      </c>
      <c r="H272" s="110">
        <v>416</v>
      </c>
      <c r="I272" s="110">
        <v>481</v>
      </c>
      <c r="J272" s="110">
        <v>0</v>
      </c>
      <c r="K272" s="110">
        <f t="shared" si="20"/>
        <v>481</v>
      </c>
      <c r="L272" s="110">
        <v>0</v>
      </c>
      <c r="M272" s="111">
        <f t="shared" si="21"/>
        <v>0.86486486486486491</v>
      </c>
      <c r="N272" s="111">
        <f t="shared" si="22"/>
        <v>8.9397089397089402E-2</v>
      </c>
      <c r="O272" s="111">
        <f t="shared" si="23"/>
        <v>4.5738045738045741E-2</v>
      </c>
      <c r="P272" s="112">
        <v>116</v>
      </c>
      <c r="Q272" s="112">
        <v>389</v>
      </c>
      <c r="R272" s="112">
        <v>99</v>
      </c>
      <c r="S272" s="112">
        <v>0</v>
      </c>
      <c r="T272" s="112">
        <v>604</v>
      </c>
      <c r="U272" s="113">
        <v>0.19205298013245034</v>
      </c>
      <c r="V272" s="113">
        <v>0.64403973509933776</v>
      </c>
      <c r="W272" s="113">
        <v>0.16390728476821192</v>
      </c>
      <c r="X272" s="113">
        <v>0</v>
      </c>
      <c r="Y272" s="114">
        <v>22.890728476821192</v>
      </c>
      <c r="Z272" s="111">
        <f t="shared" si="24"/>
        <v>0.79635761589403975</v>
      </c>
    </row>
    <row r="273" spans="1:26" x14ac:dyDescent="0.25">
      <c r="A273" s="110">
        <v>38</v>
      </c>
      <c r="B273" s="110" t="s">
        <v>236</v>
      </c>
      <c r="C273" s="110" t="s">
        <v>237</v>
      </c>
      <c r="D273" s="110">
        <v>1</v>
      </c>
      <c r="E273" s="110">
        <v>220</v>
      </c>
      <c r="F273" s="110">
        <v>21</v>
      </c>
      <c r="G273" s="110">
        <v>9</v>
      </c>
      <c r="H273" s="110">
        <v>182</v>
      </c>
      <c r="I273" s="110">
        <v>212</v>
      </c>
      <c r="J273" s="110">
        <v>8</v>
      </c>
      <c r="K273" s="110">
        <f t="shared" si="20"/>
        <v>220</v>
      </c>
      <c r="L273" s="110">
        <v>0</v>
      </c>
      <c r="M273" s="111">
        <f t="shared" si="21"/>
        <v>0.82727272727272727</v>
      </c>
      <c r="N273" s="111">
        <f t="shared" si="22"/>
        <v>4.0909090909090909E-2</v>
      </c>
      <c r="O273" s="111">
        <f t="shared" si="23"/>
        <v>9.5454545454545459E-2</v>
      </c>
      <c r="P273" s="112">
        <v>0</v>
      </c>
      <c r="Q273" s="112">
        <v>355</v>
      </c>
      <c r="R273" s="112">
        <v>23</v>
      </c>
      <c r="S273" s="112">
        <v>2</v>
      </c>
      <c r="T273" s="112">
        <v>380</v>
      </c>
      <c r="U273" s="113">
        <v>0</v>
      </c>
      <c r="V273" s="113">
        <v>0.93421052631578949</v>
      </c>
      <c r="W273" s="113">
        <v>6.0526315789473685E-2</v>
      </c>
      <c r="X273" s="113">
        <v>5.263157894736842E-3</v>
      </c>
      <c r="Y273" s="114">
        <v>76.813157894736847</v>
      </c>
      <c r="Z273" s="111">
        <f t="shared" si="24"/>
        <v>0.57894736842105265</v>
      </c>
    </row>
    <row r="274" spans="1:26" x14ac:dyDescent="0.25">
      <c r="A274" s="110"/>
      <c r="B274" s="110"/>
      <c r="C274" s="110"/>
      <c r="D274" s="110">
        <v>2</v>
      </c>
      <c r="E274" s="110">
        <v>288</v>
      </c>
      <c r="F274" s="110">
        <v>15</v>
      </c>
      <c r="G274" s="110">
        <v>8</v>
      </c>
      <c r="H274" s="110">
        <v>262</v>
      </c>
      <c r="I274" s="110">
        <v>285</v>
      </c>
      <c r="J274" s="110">
        <v>3</v>
      </c>
      <c r="K274" s="110">
        <f t="shared" si="20"/>
        <v>288</v>
      </c>
      <c r="L274" s="110">
        <v>0</v>
      </c>
      <c r="M274" s="111">
        <f t="shared" si="21"/>
        <v>0.90972222222222221</v>
      </c>
      <c r="N274" s="111">
        <f t="shared" si="22"/>
        <v>2.7777777777777776E-2</v>
      </c>
      <c r="O274" s="111">
        <f t="shared" si="23"/>
        <v>5.2083333333333336E-2</v>
      </c>
      <c r="P274" s="112">
        <v>2</v>
      </c>
      <c r="Q274" s="112">
        <v>364</v>
      </c>
      <c r="R274" s="112">
        <v>13</v>
      </c>
      <c r="S274" s="112">
        <v>1</v>
      </c>
      <c r="T274" s="112">
        <v>380</v>
      </c>
      <c r="U274" s="113">
        <v>5.263157894736842E-3</v>
      </c>
      <c r="V274" s="113">
        <v>0.95789473684210524</v>
      </c>
      <c r="W274" s="113">
        <v>3.4210526315789476E-2</v>
      </c>
      <c r="X274" s="113">
        <v>2.631578947368421E-3</v>
      </c>
      <c r="Y274" s="114">
        <v>69.502631578947373</v>
      </c>
      <c r="Z274" s="111">
        <f t="shared" si="24"/>
        <v>0.75789473684210529</v>
      </c>
    </row>
    <row r="275" spans="1:26" x14ac:dyDescent="0.25">
      <c r="A275" s="110"/>
      <c r="B275" s="110"/>
      <c r="C275" s="110"/>
      <c r="D275" s="110">
        <v>3</v>
      </c>
      <c r="E275" s="110">
        <v>320</v>
      </c>
      <c r="F275" s="110">
        <v>14</v>
      </c>
      <c r="G275" s="110">
        <v>6</v>
      </c>
      <c r="H275" s="110">
        <v>300</v>
      </c>
      <c r="I275" s="110">
        <v>320</v>
      </c>
      <c r="J275" s="110">
        <v>0</v>
      </c>
      <c r="K275" s="110">
        <f t="shared" si="20"/>
        <v>320</v>
      </c>
      <c r="L275" s="110">
        <v>0</v>
      </c>
      <c r="M275" s="111">
        <f t="shared" si="21"/>
        <v>0.9375</v>
      </c>
      <c r="N275" s="111">
        <f t="shared" si="22"/>
        <v>1.8749999999999999E-2</v>
      </c>
      <c r="O275" s="111">
        <f t="shared" si="23"/>
        <v>4.3749999999999997E-2</v>
      </c>
      <c r="P275" s="112">
        <v>1</v>
      </c>
      <c r="Q275" s="112">
        <v>356</v>
      </c>
      <c r="R275" s="112">
        <v>22</v>
      </c>
      <c r="S275" s="112">
        <v>1</v>
      </c>
      <c r="T275" s="112">
        <v>380</v>
      </c>
      <c r="U275" s="113">
        <v>2.631578947368421E-3</v>
      </c>
      <c r="V275" s="113">
        <v>0.93684210526315792</v>
      </c>
      <c r="W275" s="113">
        <v>5.7894736842105263E-2</v>
      </c>
      <c r="X275" s="113">
        <v>2.631578947368421E-3</v>
      </c>
      <c r="Y275" s="114">
        <v>62.202631578947368</v>
      </c>
      <c r="Z275" s="111">
        <f t="shared" si="24"/>
        <v>0.84210526315789469</v>
      </c>
    </row>
    <row r="276" spans="1:26" x14ac:dyDescent="0.25">
      <c r="A276" s="110"/>
      <c r="B276" s="110"/>
      <c r="C276" s="110"/>
      <c r="D276" s="110">
        <v>4</v>
      </c>
      <c r="E276" s="110">
        <v>432</v>
      </c>
      <c r="F276" s="110">
        <v>19</v>
      </c>
      <c r="G276" s="110">
        <v>7</v>
      </c>
      <c r="H276" s="110">
        <v>402</v>
      </c>
      <c r="I276" s="110">
        <v>428</v>
      </c>
      <c r="J276" s="110">
        <v>4</v>
      </c>
      <c r="K276" s="110">
        <f t="shared" si="20"/>
        <v>432</v>
      </c>
      <c r="L276" s="110">
        <v>0</v>
      </c>
      <c r="M276" s="111">
        <f t="shared" si="21"/>
        <v>0.93055555555555558</v>
      </c>
      <c r="N276" s="111">
        <f t="shared" si="22"/>
        <v>1.6203703703703703E-2</v>
      </c>
      <c r="O276" s="111">
        <f t="shared" si="23"/>
        <v>4.3981481481481483E-2</v>
      </c>
      <c r="P276" s="112">
        <v>3</v>
      </c>
      <c r="Q276" s="112">
        <v>495</v>
      </c>
      <c r="R276" s="112">
        <v>29</v>
      </c>
      <c r="S276" s="112">
        <v>3</v>
      </c>
      <c r="T276" s="112">
        <v>530</v>
      </c>
      <c r="U276" s="113">
        <v>5.6603773584905656E-3</v>
      </c>
      <c r="V276" s="113">
        <v>0.93396226415094341</v>
      </c>
      <c r="W276" s="113">
        <v>5.4716981132075473E-2</v>
      </c>
      <c r="X276" s="113">
        <v>5.6603773584905656E-3</v>
      </c>
      <c r="Y276" s="114">
        <v>54.194339622641508</v>
      </c>
      <c r="Z276" s="111">
        <f t="shared" si="24"/>
        <v>0.81509433962264155</v>
      </c>
    </row>
    <row r="277" spans="1:26" x14ac:dyDescent="0.25">
      <c r="A277" s="110"/>
      <c r="B277" s="110"/>
      <c r="C277" s="110"/>
      <c r="D277" s="110">
        <v>5</v>
      </c>
      <c r="E277" s="110">
        <v>412</v>
      </c>
      <c r="F277" s="110">
        <v>18</v>
      </c>
      <c r="G277" s="110">
        <v>4</v>
      </c>
      <c r="H277" s="110">
        <v>389</v>
      </c>
      <c r="I277" s="110">
        <v>411</v>
      </c>
      <c r="J277" s="110">
        <v>1</v>
      </c>
      <c r="K277" s="110">
        <f t="shared" si="20"/>
        <v>412</v>
      </c>
      <c r="L277" s="110">
        <v>0</v>
      </c>
      <c r="M277" s="111">
        <f t="shared" si="21"/>
        <v>0.94417475728155342</v>
      </c>
      <c r="N277" s="111">
        <f t="shared" si="22"/>
        <v>9.7087378640776691E-3</v>
      </c>
      <c r="O277" s="111">
        <f t="shared" si="23"/>
        <v>4.3689320388349516E-2</v>
      </c>
      <c r="P277" s="112">
        <v>3</v>
      </c>
      <c r="Q277" s="112">
        <v>486</v>
      </c>
      <c r="R277" s="112">
        <v>41</v>
      </c>
      <c r="S277" s="112">
        <v>1</v>
      </c>
      <c r="T277" s="112">
        <v>531</v>
      </c>
      <c r="U277" s="113">
        <v>5.6497175141242938E-3</v>
      </c>
      <c r="V277" s="113">
        <v>0.9152542372881356</v>
      </c>
      <c r="W277" s="113">
        <v>7.7212806026365349E-2</v>
      </c>
      <c r="X277" s="113">
        <v>1.8832391713747645E-3</v>
      </c>
      <c r="Y277" s="114">
        <v>43.529190207156311</v>
      </c>
      <c r="Z277" s="111">
        <f t="shared" si="24"/>
        <v>0.77589453860640301</v>
      </c>
    </row>
    <row r="278" spans="1:26" x14ac:dyDescent="0.25">
      <c r="A278" s="110"/>
      <c r="B278" s="110"/>
      <c r="C278" s="110"/>
      <c r="D278" s="110">
        <v>6</v>
      </c>
      <c r="E278" s="110">
        <v>419</v>
      </c>
      <c r="F278" s="110">
        <v>12</v>
      </c>
      <c r="G278" s="110">
        <v>4</v>
      </c>
      <c r="H278" s="110">
        <v>401</v>
      </c>
      <c r="I278" s="110">
        <v>417</v>
      </c>
      <c r="J278" s="110">
        <v>2</v>
      </c>
      <c r="K278" s="110">
        <f t="shared" si="20"/>
        <v>419</v>
      </c>
      <c r="L278" s="110">
        <v>0</v>
      </c>
      <c r="M278" s="111">
        <f t="shared" si="21"/>
        <v>0.95704057279236276</v>
      </c>
      <c r="N278" s="111">
        <f t="shared" si="22"/>
        <v>9.5465393794749408E-3</v>
      </c>
      <c r="O278" s="111">
        <f t="shared" si="23"/>
        <v>2.8639618138424822E-2</v>
      </c>
      <c r="P278" s="112">
        <v>20</v>
      </c>
      <c r="Q278" s="112">
        <v>439</v>
      </c>
      <c r="R278" s="112">
        <v>70</v>
      </c>
      <c r="S278" s="112">
        <v>2</v>
      </c>
      <c r="T278" s="112">
        <v>531</v>
      </c>
      <c r="U278" s="113">
        <v>3.7664783427495289E-2</v>
      </c>
      <c r="V278" s="113">
        <v>0.82674199623352163</v>
      </c>
      <c r="W278" s="113">
        <v>0.13182674199623351</v>
      </c>
      <c r="X278" s="113">
        <v>3.766478342749529E-3</v>
      </c>
      <c r="Y278" s="114">
        <v>27.783427495291903</v>
      </c>
      <c r="Z278" s="111">
        <f t="shared" si="24"/>
        <v>0.78907721280602638</v>
      </c>
    </row>
    <row r="279" spans="1:26" x14ac:dyDescent="0.25">
      <c r="A279" s="110">
        <v>39</v>
      </c>
      <c r="B279" s="110" t="s">
        <v>238</v>
      </c>
      <c r="C279" s="110" t="s">
        <v>239</v>
      </c>
      <c r="D279" s="110">
        <v>1</v>
      </c>
      <c r="E279" s="110">
        <v>288</v>
      </c>
      <c r="F279" s="110">
        <v>119</v>
      </c>
      <c r="G279" s="110">
        <v>28</v>
      </c>
      <c r="H279" s="110">
        <v>129</v>
      </c>
      <c r="I279" s="110">
        <v>276</v>
      </c>
      <c r="J279" s="110">
        <v>12</v>
      </c>
      <c r="K279" s="110">
        <f t="shared" si="20"/>
        <v>288</v>
      </c>
      <c r="L279" s="110">
        <v>0</v>
      </c>
      <c r="M279" s="111">
        <f t="shared" si="21"/>
        <v>0.44791666666666669</v>
      </c>
      <c r="N279" s="111">
        <f t="shared" si="22"/>
        <v>9.7222222222222224E-2</v>
      </c>
      <c r="O279" s="111">
        <f t="shared" si="23"/>
        <v>0.41319444444444442</v>
      </c>
      <c r="P279" s="112">
        <v>164</v>
      </c>
      <c r="Q279" s="112">
        <v>40</v>
      </c>
      <c r="R279" s="112">
        <v>163</v>
      </c>
      <c r="S279" s="112">
        <v>3</v>
      </c>
      <c r="T279" s="112">
        <v>370</v>
      </c>
      <c r="U279" s="113">
        <v>0.44324324324324327</v>
      </c>
      <c r="V279" s="113">
        <v>0.10810810810810811</v>
      </c>
      <c r="W279" s="113">
        <v>0.44054054054054054</v>
      </c>
      <c r="X279" s="113">
        <v>8.1081081081081086E-3</v>
      </c>
      <c r="Y279" s="114">
        <v>64.689189189189193</v>
      </c>
      <c r="Z279" s="111">
        <f t="shared" si="24"/>
        <v>0.77837837837837842</v>
      </c>
    </row>
    <row r="280" spans="1:26" x14ac:dyDescent="0.25">
      <c r="A280" s="110"/>
      <c r="B280" s="110"/>
      <c r="C280" s="110"/>
      <c r="D280" s="110">
        <v>2</v>
      </c>
      <c r="E280" s="110">
        <v>316</v>
      </c>
      <c r="F280" s="110">
        <v>114</v>
      </c>
      <c r="G280" s="110">
        <v>41</v>
      </c>
      <c r="H280" s="110">
        <v>156</v>
      </c>
      <c r="I280" s="110">
        <v>311</v>
      </c>
      <c r="J280" s="110">
        <v>5</v>
      </c>
      <c r="K280" s="110">
        <f t="shared" si="20"/>
        <v>316</v>
      </c>
      <c r="L280" s="110">
        <v>0</v>
      </c>
      <c r="M280" s="111">
        <f t="shared" si="21"/>
        <v>0.49367088607594939</v>
      </c>
      <c r="N280" s="111">
        <f t="shared" si="22"/>
        <v>0.12974683544303797</v>
      </c>
      <c r="O280" s="111">
        <f t="shared" si="23"/>
        <v>0.36075949367088606</v>
      </c>
      <c r="P280" s="112">
        <v>179</v>
      </c>
      <c r="Q280" s="112">
        <v>34</v>
      </c>
      <c r="R280" s="112">
        <v>156</v>
      </c>
      <c r="S280" s="112">
        <v>1</v>
      </c>
      <c r="T280" s="112">
        <v>370</v>
      </c>
      <c r="U280" s="113">
        <v>0.48378378378378378</v>
      </c>
      <c r="V280" s="113">
        <v>9.1891891891891897E-2</v>
      </c>
      <c r="W280" s="113">
        <v>0.42162162162162165</v>
      </c>
      <c r="X280" s="113">
        <v>2.7027027027027029E-3</v>
      </c>
      <c r="Y280" s="114">
        <v>59.378378378378379</v>
      </c>
      <c r="Z280" s="111">
        <f t="shared" si="24"/>
        <v>0.8540540540540541</v>
      </c>
    </row>
    <row r="281" spans="1:26" x14ac:dyDescent="0.25">
      <c r="A281" s="110"/>
      <c r="B281" s="110"/>
      <c r="C281" s="110"/>
      <c r="D281" s="110">
        <v>3</v>
      </c>
      <c r="E281" s="110">
        <v>526</v>
      </c>
      <c r="F281" s="110">
        <v>127</v>
      </c>
      <c r="G281" s="110">
        <v>90</v>
      </c>
      <c r="H281" s="110">
        <v>302</v>
      </c>
      <c r="I281" s="110">
        <v>519</v>
      </c>
      <c r="J281" s="110">
        <v>7</v>
      </c>
      <c r="K281" s="110">
        <f t="shared" si="20"/>
        <v>526</v>
      </c>
      <c r="L281" s="110">
        <v>0</v>
      </c>
      <c r="M281" s="111">
        <f t="shared" si="21"/>
        <v>0.57414448669201523</v>
      </c>
      <c r="N281" s="111">
        <f t="shared" si="22"/>
        <v>0.17110266159695817</v>
      </c>
      <c r="O281" s="111">
        <f t="shared" si="23"/>
        <v>0.2414448669201521</v>
      </c>
      <c r="P281" s="112">
        <v>243</v>
      </c>
      <c r="Q281" s="112">
        <v>81</v>
      </c>
      <c r="R281" s="112">
        <v>308</v>
      </c>
      <c r="S281" s="112">
        <v>8</v>
      </c>
      <c r="T281" s="112">
        <v>640</v>
      </c>
      <c r="U281" s="113">
        <v>0.37968750000000001</v>
      </c>
      <c r="V281" s="113">
        <v>0.12656249999999999</v>
      </c>
      <c r="W281" s="113">
        <v>0.48125000000000001</v>
      </c>
      <c r="X281" s="113">
        <v>1.2500000000000001E-2</v>
      </c>
      <c r="Y281" s="114">
        <v>48.670312500000001</v>
      </c>
      <c r="Z281" s="111">
        <f t="shared" si="24"/>
        <v>0.82187500000000002</v>
      </c>
    </row>
    <row r="282" spans="1:26" x14ac:dyDescent="0.25">
      <c r="A282" s="110"/>
      <c r="B282" s="110"/>
      <c r="C282" s="110"/>
      <c r="D282" s="110">
        <v>4</v>
      </c>
      <c r="E282" s="110">
        <v>496</v>
      </c>
      <c r="F282" s="110">
        <v>102</v>
      </c>
      <c r="G282" s="110">
        <v>85</v>
      </c>
      <c r="H282" s="110">
        <v>301</v>
      </c>
      <c r="I282" s="110">
        <v>488</v>
      </c>
      <c r="J282" s="110">
        <v>8</v>
      </c>
      <c r="K282" s="110">
        <f t="shared" si="20"/>
        <v>496</v>
      </c>
      <c r="L282" s="110">
        <v>0</v>
      </c>
      <c r="M282" s="111">
        <f t="shared" si="21"/>
        <v>0.60685483870967738</v>
      </c>
      <c r="N282" s="111">
        <f t="shared" si="22"/>
        <v>0.17137096774193547</v>
      </c>
      <c r="O282" s="111">
        <f t="shared" si="23"/>
        <v>0.20564516129032259</v>
      </c>
      <c r="P282" s="112">
        <v>270</v>
      </c>
      <c r="Q282" s="112">
        <v>76</v>
      </c>
      <c r="R282" s="112">
        <v>292</v>
      </c>
      <c r="S282" s="112">
        <v>2</v>
      </c>
      <c r="T282" s="112">
        <v>640</v>
      </c>
      <c r="U282" s="113">
        <v>0.421875</v>
      </c>
      <c r="V282" s="113">
        <v>0.11874999999999999</v>
      </c>
      <c r="W282" s="113">
        <v>0.45624999999999999</v>
      </c>
      <c r="X282" s="113">
        <v>3.1250000000000002E-3</v>
      </c>
      <c r="Y282" s="114">
        <v>37.589062499999997</v>
      </c>
      <c r="Z282" s="111">
        <f t="shared" si="24"/>
        <v>0.77500000000000002</v>
      </c>
    </row>
    <row r="283" spans="1:26" x14ac:dyDescent="0.25">
      <c r="A283" s="110"/>
      <c r="B283" s="110"/>
      <c r="C283" s="110"/>
      <c r="D283" s="110">
        <v>5</v>
      </c>
      <c r="E283" s="110">
        <v>497</v>
      </c>
      <c r="F283" s="110">
        <v>114</v>
      </c>
      <c r="G283" s="110">
        <v>126</v>
      </c>
      <c r="H283" s="110">
        <v>255</v>
      </c>
      <c r="I283" s="110">
        <v>495</v>
      </c>
      <c r="J283" s="110">
        <v>2</v>
      </c>
      <c r="K283" s="110">
        <f t="shared" si="20"/>
        <v>497</v>
      </c>
      <c r="L283" s="110">
        <v>0</v>
      </c>
      <c r="M283" s="111">
        <f t="shared" si="21"/>
        <v>0.51307847082494973</v>
      </c>
      <c r="N283" s="111">
        <f t="shared" si="22"/>
        <v>0.25352112676056338</v>
      </c>
      <c r="O283" s="111">
        <f t="shared" si="23"/>
        <v>0.22937625754527163</v>
      </c>
      <c r="P283" s="112">
        <v>338</v>
      </c>
      <c r="Q283" s="112">
        <v>48</v>
      </c>
      <c r="R283" s="112">
        <v>253</v>
      </c>
      <c r="S283" s="112">
        <v>1</v>
      </c>
      <c r="T283" s="112">
        <v>640</v>
      </c>
      <c r="U283" s="113">
        <v>0.52812499999999996</v>
      </c>
      <c r="V283" s="113">
        <v>7.4999999999999997E-2</v>
      </c>
      <c r="W283" s="113">
        <v>0.39531250000000001</v>
      </c>
      <c r="X283" s="113">
        <v>1.5625000000000001E-3</v>
      </c>
      <c r="Y283" s="114">
        <v>29.595312499999999</v>
      </c>
      <c r="Z283" s="111">
        <f t="shared" si="24"/>
        <v>0.77656250000000004</v>
      </c>
    </row>
    <row r="284" spans="1:26" x14ac:dyDescent="0.25">
      <c r="A284" s="110"/>
      <c r="B284" s="110"/>
      <c r="C284" s="110"/>
      <c r="D284" s="110">
        <v>6</v>
      </c>
      <c r="E284" s="110">
        <v>518</v>
      </c>
      <c r="F284" s="110">
        <v>101</v>
      </c>
      <c r="G284" s="110">
        <v>148</v>
      </c>
      <c r="H284" s="110">
        <v>267</v>
      </c>
      <c r="I284" s="110">
        <v>516</v>
      </c>
      <c r="J284" s="110">
        <v>2</v>
      </c>
      <c r="K284" s="110">
        <f t="shared" si="20"/>
        <v>518</v>
      </c>
      <c r="L284" s="110">
        <v>0</v>
      </c>
      <c r="M284" s="111">
        <f t="shared" si="21"/>
        <v>0.51544401544401541</v>
      </c>
      <c r="N284" s="111">
        <f t="shared" si="22"/>
        <v>0.2857142857142857</v>
      </c>
      <c r="O284" s="111">
        <f t="shared" si="23"/>
        <v>0.19498069498069498</v>
      </c>
      <c r="P284" s="112">
        <v>350</v>
      </c>
      <c r="Q284" s="112">
        <v>29</v>
      </c>
      <c r="R284" s="112">
        <v>262</v>
      </c>
      <c r="S284" s="112">
        <v>0</v>
      </c>
      <c r="T284" s="112">
        <v>641</v>
      </c>
      <c r="U284" s="113">
        <v>0.54602184087363492</v>
      </c>
      <c r="V284" s="113">
        <v>4.5241809672386897E-2</v>
      </c>
      <c r="W284" s="113">
        <v>0.40873634945397813</v>
      </c>
      <c r="X284" s="113">
        <v>0</v>
      </c>
      <c r="Y284" s="114">
        <v>22.13260530421217</v>
      </c>
      <c r="Z284" s="111">
        <f t="shared" si="24"/>
        <v>0.80811232449297976</v>
      </c>
    </row>
    <row r="285" spans="1:26" x14ac:dyDescent="0.25">
      <c r="A285" s="110">
        <v>40</v>
      </c>
      <c r="B285" s="110" t="s">
        <v>240</v>
      </c>
      <c r="C285" s="110" t="s">
        <v>241</v>
      </c>
      <c r="D285" s="110">
        <v>1</v>
      </c>
      <c r="E285" s="110">
        <v>217</v>
      </c>
      <c r="F285" s="110">
        <v>50</v>
      </c>
      <c r="G285" s="110">
        <v>22</v>
      </c>
      <c r="H285" s="110">
        <v>142</v>
      </c>
      <c r="I285" s="110">
        <v>214</v>
      </c>
      <c r="J285" s="110">
        <v>3</v>
      </c>
      <c r="K285" s="110">
        <f t="shared" si="20"/>
        <v>217</v>
      </c>
      <c r="L285" s="110">
        <v>0</v>
      </c>
      <c r="M285" s="111">
        <f t="shared" si="21"/>
        <v>0.65437788018433185</v>
      </c>
      <c r="N285" s="111">
        <f t="shared" si="22"/>
        <v>0.10138248847926268</v>
      </c>
      <c r="O285" s="111">
        <f t="shared" si="23"/>
        <v>0.2304147465437788</v>
      </c>
      <c r="P285" s="112">
        <v>80</v>
      </c>
      <c r="Q285" s="112">
        <v>158</v>
      </c>
      <c r="R285" s="112">
        <v>129</v>
      </c>
      <c r="S285" s="112">
        <v>3</v>
      </c>
      <c r="T285" s="112">
        <v>370</v>
      </c>
      <c r="U285" s="113">
        <v>0.21621621621621623</v>
      </c>
      <c r="V285" s="113">
        <v>0.42702702702702705</v>
      </c>
      <c r="W285" s="113">
        <v>0.34864864864864864</v>
      </c>
      <c r="X285" s="113">
        <v>8.1081081081081086E-3</v>
      </c>
      <c r="Y285" s="114">
        <v>58.908108108108109</v>
      </c>
      <c r="Z285" s="111">
        <f t="shared" si="24"/>
        <v>0.58648648648648649</v>
      </c>
    </row>
    <row r="286" spans="1:26" x14ac:dyDescent="0.25">
      <c r="A286" s="110"/>
      <c r="B286" s="110"/>
      <c r="C286" s="110"/>
      <c r="D286" s="110">
        <v>2</v>
      </c>
      <c r="E286" s="110">
        <v>291</v>
      </c>
      <c r="F286" s="110">
        <v>80</v>
      </c>
      <c r="G286" s="110">
        <v>23</v>
      </c>
      <c r="H286" s="110">
        <v>186</v>
      </c>
      <c r="I286" s="110">
        <v>289</v>
      </c>
      <c r="J286" s="110">
        <v>2</v>
      </c>
      <c r="K286" s="110">
        <f t="shared" si="20"/>
        <v>291</v>
      </c>
      <c r="L286" s="110">
        <v>0</v>
      </c>
      <c r="M286" s="111">
        <f t="shared" si="21"/>
        <v>0.63917525773195871</v>
      </c>
      <c r="N286" s="111">
        <f t="shared" si="22"/>
        <v>7.903780068728522E-2</v>
      </c>
      <c r="O286" s="111">
        <f t="shared" si="23"/>
        <v>0.27491408934707906</v>
      </c>
      <c r="P286" s="112">
        <v>111</v>
      </c>
      <c r="Q286" s="112">
        <v>159</v>
      </c>
      <c r="R286" s="112">
        <v>99</v>
      </c>
      <c r="S286" s="112">
        <v>1</v>
      </c>
      <c r="T286" s="112">
        <v>370</v>
      </c>
      <c r="U286" s="113">
        <v>0.3</v>
      </c>
      <c r="V286" s="113">
        <v>0.42972972972972973</v>
      </c>
      <c r="W286" s="113">
        <v>0.26756756756756755</v>
      </c>
      <c r="X286" s="113">
        <v>2.7027027027027029E-3</v>
      </c>
      <c r="Y286" s="114">
        <v>70.921621621621625</v>
      </c>
      <c r="Z286" s="111">
        <f t="shared" si="24"/>
        <v>0.78648648648648645</v>
      </c>
    </row>
    <row r="287" spans="1:26" x14ac:dyDescent="0.25">
      <c r="A287" s="110"/>
      <c r="B287" s="110"/>
      <c r="C287" s="110"/>
      <c r="D287" s="110">
        <v>3</v>
      </c>
      <c r="E287" s="110">
        <v>323</v>
      </c>
      <c r="F287" s="110">
        <v>99</v>
      </c>
      <c r="G287" s="110">
        <v>36</v>
      </c>
      <c r="H287" s="110">
        <v>185</v>
      </c>
      <c r="I287" s="110">
        <v>320</v>
      </c>
      <c r="J287" s="110">
        <v>3</v>
      </c>
      <c r="K287" s="110">
        <f t="shared" si="20"/>
        <v>323</v>
      </c>
      <c r="L287" s="110">
        <v>0</v>
      </c>
      <c r="M287" s="111">
        <f t="shared" si="21"/>
        <v>0.5727554179566563</v>
      </c>
      <c r="N287" s="111">
        <f t="shared" si="22"/>
        <v>0.11145510835913312</v>
      </c>
      <c r="O287" s="111">
        <f t="shared" si="23"/>
        <v>0.30650154798761609</v>
      </c>
      <c r="P287" s="112">
        <v>159</v>
      </c>
      <c r="Q287" s="112">
        <v>133</v>
      </c>
      <c r="R287" s="112">
        <v>74</v>
      </c>
      <c r="S287" s="112">
        <v>4</v>
      </c>
      <c r="T287" s="112">
        <v>370</v>
      </c>
      <c r="U287" s="113">
        <v>0.42972972972972973</v>
      </c>
      <c r="V287" s="113">
        <v>0.35945945945945945</v>
      </c>
      <c r="W287" s="113">
        <v>0.2</v>
      </c>
      <c r="X287" s="113">
        <v>1.0810810810810811E-2</v>
      </c>
      <c r="Y287" s="114">
        <v>65.254054054054052</v>
      </c>
      <c r="Z287" s="111">
        <f t="shared" si="24"/>
        <v>0.87297297297297294</v>
      </c>
    </row>
    <row r="288" spans="1:26" x14ac:dyDescent="0.25">
      <c r="A288" s="110"/>
      <c r="B288" s="110"/>
      <c r="C288" s="110"/>
      <c r="D288" s="110">
        <v>4</v>
      </c>
      <c r="E288" s="110">
        <v>319</v>
      </c>
      <c r="F288" s="110">
        <v>118</v>
      </c>
      <c r="G288" s="110">
        <v>35</v>
      </c>
      <c r="H288" s="110">
        <v>160</v>
      </c>
      <c r="I288" s="110">
        <v>313</v>
      </c>
      <c r="J288" s="110">
        <v>6</v>
      </c>
      <c r="K288" s="110">
        <f t="shared" si="20"/>
        <v>319</v>
      </c>
      <c r="L288" s="110">
        <v>0</v>
      </c>
      <c r="M288" s="111">
        <f t="shared" si="21"/>
        <v>0.50156739811912221</v>
      </c>
      <c r="N288" s="111">
        <f t="shared" si="22"/>
        <v>0.109717868338558</v>
      </c>
      <c r="O288" s="111">
        <f t="shared" si="23"/>
        <v>0.36990595611285265</v>
      </c>
      <c r="P288" s="112">
        <v>183</v>
      </c>
      <c r="Q288" s="112">
        <v>111</v>
      </c>
      <c r="R288" s="112">
        <v>73</v>
      </c>
      <c r="S288" s="112">
        <v>3</v>
      </c>
      <c r="T288" s="112">
        <v>370</v>
      </c>
      <c r="U288" s="113">
        <v>0.49459459459459459</v>
      </c>
      <c r="V288" s="113">
        <v>0.3</v>
      </c>
      <c r="W288" s="113">
        <v>0.19729729729729731</v>
      </c>
      <c r="X288" s="113">
        <v>8.1081081081081086E-3</v>
      </c>
      <c r="Y288" s="114">
        <v>62.02162162162162</v>
      </c>
      <c r="Z288" s="111">
        <f t="shared" si="24"/>
        <v>0.86216216216216213</v>
      </c>
    </row>
    <row r="289" spans="1:26" x14ac:dyDescent="0.25">
      <c r="A289" s="110"/>
      <c r="B289" s="110"/>
      <c r="C289" s="110"/>
      <c r="D289" s="110">
        <v>5</v>
      </c>
      <c r="E289" s="110">
        <v>303</v>
      </c>
      <c r="F289" s="110">
        <v>78</v>
      </c>
      <c r="G289" s="110">
        <v>44</v>
      </c>
      <c r="H289" s="110">
        <v>179</v>
      </c>
      <c r="I289" s="110">
        <v>301</v>
      </c>
      <c r="J289" s="110">
        <v>2</v>
      </c>
      <c r="K289" s="110">
        <f t="shared" si="20"/>
        <v>303</v>
      </c>
      <c r="L289" s="110">
        <v>0</v>
      </c>
      <c r="M289" s="111">
        <f t="shared" si="21"/>
        <v>0.5907590759075908</v>
      </c>
      <c r="N289" s="111">
        <f t="shared" si="22"/>
        <v>0.14521452145214522</v>
      </c>
      <c r="O289" s="111">
        <f t="shared" si="23"/>
        <v>0.25742574257425743</v>
      </c>
      <c r="P289" s="112">
        <v>153</v>
      </c>
      <c r="Q289" s="112">
        <v>127</v>
      </c>
      <c r="R289" s="112">
        <v>88</v>
      </c>
      <c r="S289" s="112">
        <v>2</v>
      </c>
      <c r="T289" s="112">
        <v>370</v>
      </c>
      <c r="U289" s="113">
        <v>0.41351351351351351</v>
      </c>
      <c r="V289" s="113">
        <v>0.34324324324324323</v>
      </c>
      <c r="W289" s="113">
        <v>0.23783783783783785</v>
      </c>
      <c r="X289" s="113">
        <v>5.4054054054054057E-3</v>
      </c>
      <c r="Y289" s="114">
        <v>59.678378378378376</v>
      </c>
      <c r="Z289" s="111">
        <f t="shared" si="24"/>
        <v>0.81891891891891888</v>
      </c>
    </row>
    <row r="290" spans="1:26" x14ac:dyDescent="0.25">
      <c r="A290" s="110"/>
      <c r="B290" s="110"/>
      <c r="C290" s="110"/>
      <c r="D290" s="110">
        <v>6</v>
      </c>
      <c r="E290" s="110">
        <v>565</v>
      </c>
      <c r="F290" s="110">
        <v>120</v>
      </c>
      <c r="G290" s="110">
        <v>53</v>
      </c>
      <c r="H290" s="110">
        <v>389</v>
      </c>
      <c r="I290" s="110">
        <v>562</v>
      </c>
      <c r="J290" s="110">
        <v>3</v>
      </c>
      <c r="K290" s="110">
        <f t="shared" si="20"/>
        <v>565</v>
      </c>
      <c r="L290" s="110">
        <v>0</v>
      </c>
      <c r="M290" s="111">
        <f t="shared" si="21"/>
        <v>0.68849557522123894</v>
      </c>
      <c r="N290" s="111">
        <f t="shared" si="22"/>
        <v>9.3805309734513273E-2</v>
      </c>
      <c r="O290" s="111">
        <f t="shared" si="23"/>
        <v>0.21238938053097345</v>
      </c>
      <c r="P290" s="112">
        <v>203</v>
      </c>
      <c r="Q290" s="112">
        <v>271</v>
      </c>
      <c r="R290" s="112">
        <v>190</v>
      </c>
      <c r="S290" s="112">
        <v>9</v>
      </c>
      <c r="T290" s="112">
        <v>673</v>
      </c>
      <c r="U290" s="113">
        <v>0.30163447251114411</v>
      </c>
      <c r="V290" s="113">
        <v>0.40267459138187223</v>
      </c>
      <c r="W290" s="113">
        <v>0.28231797919762258</v>
      </c>
      <c r="X290" s="113">
        <v>1.3372956909361069E-2</v>
      </c>
      <c r="Y290" s="114">
        <v>56.419019316493312</v>
      </c>
      <c r="Z290" s="111">
        <f t="shared" si="24"/>
        <v>0.83952451708766718</v>
      </c>
    </row>
    <row r="291" spans="1:26" x14ac:dyDescent="0.25">
      <c r="A291" s="110"/>
      <c r="B291" s="110"/>
      <c r="C291" s="110"/>
      <c r="D291" s="110">
        <v>7</v>
      </c>
      <c r="E291" s="110">
        <v>558</v>
      </c>
      <c r="F291" s="110">
        <v>79</v>
      </c>
      <c r="G291" s="110">
        <v>56</v>
      </c>
      <c r="H291" s="110">
        <v>410</v>
      </c>
      <c r="I291" s="110">
        <v>545</v>
      </c>
      <c r="J291" s="110">
        <v>13</v>
      </c>
      <c r="K291" s="110">
        <f t="shared" si="20"/>
        <v>558</v>
      </c>
      <c r="L291" s="110">
        <v>0</v>
      </c>
      <c r="M291" s="111">
        <f t="shared" si="21"/>
        <v>0.73476702508960579</v>
      </c>
      <c r="N291" s="111">
        <f t="shared" si="22"/>
        <v>0.1003584229390681</v>
      </c>
      <c r="O291" s="111">
        <f t="shared" si="23"/>
        <v>0.14157706093189965</v>
      </c>
      <c r="P291" s="112">
        <v>161</v>
      </c>
      <c r="Q291" s="112">
        <v>288</v>
      </c>
      <c r="R291" s="112">
        <v>219</v>
      </c>
      <c r="S291" s="112">
        <v>5</v>
      </c>
      <c r="T291" s="112">
        <v>673</v>
      </c>
      <c r="U291" s="113">
        <v>0.23922734026745915</v>
      </c>
      <c r="V291" s="113">
        <v>0.42793462109955421</v>
      </c>
      <c r="W291" s="113">
        <v>0.32540861812778604</v>
      </c>
      <c r="X291" s="113">
        <v>7.429420505200594E-3</v>
      </c>
      <c r="Y291" s="114">
        <v>52.420505200594356</v>
      </c>
      <c r="Z291" s="111">
        <f t="shared" si="24"/>
        <v>0.82912332838038638</v>
      </c>
    </row>
    <row r="292" spans="1:26" x14ac:dyDescent="0.25">
      <c r="A292" s="110"/>
      <c r="B292" s="110"/>
      <c r="C292" s="110"/>
      <c r="D292" s="110">
        <v>8</v>
      </c>
      <c r="E292" s="110">
        <v>545</v>
      </c>
      <c r="F292" s="110">
        <v>81</v>
      </c>
      <c r="G292" s="110">
        <v>56</v>
      </c>
      <c r="H292" s="110">
        <v>405</v>
      </c>
      <c r="I292" s="110">
        <v>542</v>
      </c>
      <c r="J292" s="110">
        <v>3</v>
      </c>
      <c r="K292" s="110">
        <f t="shared" si="20"/>
        <v>545</v>
      </c>
      <c r="L292" s="110">
        <v>0</v>
      </c>
      <c r="M292" s="111">
        <f t="shared" si="21"/>
        <v>0.74311926605504586</v>
      </c>
      <c r="N292" s="111">
        <f t="shared" si="22"/>
        <v>0.10275229357798166</v>
      </c>
      <c r="O292" s="111">
        <f t="shared" si="23"/>
        <v>0.14862385321100918</v>
      </c>
      <c r="P292" s="112">
        <v>146</v>
      </c>
      <c r="Q292" s="112">
        <v>282</v>
      </c>
      <c r="R292" s="112">
        <v>235</v>
      </c>
      <c r="S292" s="112">
        <v>10</v>
      </c>
      <c r="T292" s="112">
        <v>673</v>
      </c>
      <c r="U292" s="113">
        <v>0.21693907875185736</v>
      </c>
      <c r="V292" s="113">
        <v>0.41901931649331353</v>
      </c>
      <c r="W292" s="113">
        <v>0.34918276374442792</v>
      </c>
      <c r="X292" s="113">
        <v>1.4858841010401188E-2</v>
      </c>
      <c r="Y292" s="114">
        <v>48.846953937592865</v>
      </c>
      <c r="Z292" s="111">
        <f t="shared" si="24"/>
        <v>0.80980683506686479</v>
      </c>
    </row>
    <row r="293" spans="1:26" x14ac:dyDescent="0.25">
      <c r="A293" s="110"/>
      <c r="B293" s="110"/>
      <c r="C293" s="110"/>
      <c r="D293" s="110">
        <v>9</v>
      </c>
      <c r="E293" s="110">
        <v>541</v>
      </c>
      <c r="F293" s="110">
        <v>66</v>
      </c>
      <c r="G293" s="110">
        <v>51</v>
      </c>
      <c r="H293" s="110">
        <v>419</v>
      </c>
      <c r="I293" s="110">
        <v>536</v>
      </c>
      <c r="J293" s="110">
        <v>5</v>
      </c>
      <c r="K293" s="110">
        <f t="shared" si="20"/>
        <v>541</v>
      </c>
      <c r="L293" s="110">
        <v>0</v>
      </c>
      <c r="M293" s="111">
        <f t="shared" si="21"/>
        <v>0.77449168207024033</v>
      </c>
      <c r="N293" s="111">
        <f t="shared" si="22"/>
        <v>9.4269870609981515E-2</v>
      </c>
      <c r="O293" s="111">
        <f t="shared" si="23"/>
        <v>0.12199630314232902</v>
      </c>
      <c r="P293" s="112">
        <v>143</v>
      </c>
      <c r="Q293" s="112">
        <v>300</v>
      </c>
      <c r="R293" s="112">
        <v>217</v>
      </c>
      <c r="S293" s="112">
        <v>13</v>
      </c>
      <c r="T293" s="112">
        <v>673</v>
      </c>
      <c r="U293" s="113">
        <v>0.21248142644873699</v>
      </c>
      <c r="V293" s="113">
        <v>0.44576523031203569</v>
      </c>
      <c r="W293" s="113">
        <v>0.32243684992570582</v>
      </c>
      <c r="X293" s="113">
        <v>1.9316493313521546E-2</v>
      </c>
      <c r="Y293" s="114">
        <v>45.65378900445765</v>
      </c>
      <c r="Z293" s="111">
        <f t="shared" si="24"/>
        <v>0.80386329866270434</v>
      </c>
    </row>
    <row r="294" spans="1:26" x14ac:dyDescent="0.25">
      <c r="A294" s="110"/>
      <c r="B294" s="110"/>
      <c r="C294" s="110"/>
      <c r="D294" s="110">
        <v>10</v>
      </c>
      <c r="E294" s="110">
        <v>500</v>
      </c>
      <c r="F294" s="110">
        <v>70</v>
      </c>
      <c r="G294" s="110">
        <v>47</v>
      </c>
      <c r="H294" s="110">
        <v>378</v>
      </c>
      <c r="I294" s="110">
        <v>495</v>
      </c>
      <c r="J294" s="110">
        <v>5</v>
      </c>
      <c r="K294" s="110">
        <f t="shared" si="20"/>
        <v>500</v>
      </c>
      <c r="L294" s="110">
        <v>0</v>
      </c>
      <c r="M294" s="111">
        <f t="shared" si="21"/>
        <v>0.75600000000000001</v>
      </c>
      <c r="N294" s="111">
        <f t="shared" si="22"/>
        <v>9.4E-2</v>
      </c>
      <c r="O294" s="111">
        <f t="shared" si="23"/>
        <v>0.14000000000000001</v>
      </c>
      <c r="P294" s="112">
        <v>150</v>
      </c>
      <c r="Q294" s="112">
        <v>300</v>
      </c>
      <c r="R294" s="112">
        <v>211</v>
      </c>
      <c r="S294" s="112">
        <v>12</v>
      </c>
      <c r="T294" s="112">
        <v>673</v>
      </c>
      <c r="U294" s="113">
        <v>0.22288261515601784</v>
      </c>
      <c r="V294" s="113">
        <v>0.44576523031203569</v>
      </c>
      <c r="W294" s="113">
        <v>0.31352154531946508</v>
      </c>
      <c r="X294" s="113">
        <v>1.7830609212481426E-2</v>
      </c>
      <c r="Y294" s="114">
        <v>42.496285289747398</v>
      </c>
      <c r="Z294" s="111">
        <f t="shared" si="24"/>
        <v>0.74294205052005946</v>
      </c>
    </row>
    <row r="295" spans="1:26" x14ac:dyDescent="0.25">
      <c r="A295" s="110"/>
      <c r="B295" s="110"/>
      <c r="C295" s="110"/>
      <c r="D295" s="110">
        <v>11</v>
      </c>
      <c r="E295" s="110">
        <v>489</v>
      </c>
      <c r="F295" s="110">
        <v>64</v>
      </c>
      <c r="G295" s="110">
        <v>66</v>
      </c>
      <c r="H295" s="110">
        <v>357</v>
      </c>
      <c r="I295" s="110">
        <v>487</v>
      </c>
      <c r="J295" s="110">
        <v>2</v>
      </c>
      <c r="K295" s="110">
        <f t="shared" si="20"/>
        <v>489</v>
      </c>
      <c r="L295" s="110">
        <v>0</v>
      </c>
      <c r="M295" s="111">
        <f t="shared" si="21"/>
        <v>0.73006134969325154</v>
      </c>
      <c r="N295" s="111">
        <f t="shared" si="22"/>
        <v>0.13496932515337423</v>
      </c>
      <c r="O295" s="111">
        <f t="shared" si="23"/>
        <v>0.130879345603272</v>
      </c>
      <c r="P295" s="112">
        <v>205</v>
      </c>
      <c r="Q295" s="112">
        <v>266</v>
      </c>
      <c r="R295" s="112">
        <v>195</v>
      </c>
      <c r="S295" s="112">
        <v>7</v>
      </c>
      <c r="T295" s="112">
        <v>673</v>
      </c>
      <c r="U295" s="113">
        <v>0.30460624071322434</v>
      </c>
      <c r="V295" s="113">
        <v>0.3952451708766716</v>
      </c>
      <c r="W295" s="113">
        <v>0.28974739970282321</v>
      </c>
      <c r="X295" s="113">
        <v>1.0401188707280832E-2</v>
      </c>
      <c r="Y295" s="114">
        <v>39.453194650817238</v>
      </c>
      <c r="Z295" s="111">
        <f t="shared" si="24"/>
        <v>0.7265973254086181</v>
      </c>
    </row>
    <row r="296" spans="1:26" x14ac:dyDescent="0.25">
      <c r="A296" s="110"/>
      <c r="B296" s="110"/>
      <c r="C296" s="110"/>
      <c r="D296" s="110">
        <v>12</v>
      </c>
      <c r="E296" s="110">
        <v>477</v>
      </c>
      <c r="F296" s="110">
        <v>67</v>
      </c>
      <c r="G296" s="110">
        <v>102</v>
      </c>
      <c r="H296" s="110">
        <v>307</v>
      </c>
      <c r="I296" s="110">
        <v>476</v>
      </c>
      <c r="J296" s="110">
        <v>1</v>
      </c>
      <c r="K296" s="110">
        <f t="shared" si="20"/>
        <v>477</v>
      </c>
      <c r="L296" s="110">
        <v>0</v>
      </c>
      <c r="M296" s="111">
        <f t="shared" si="21"/>
        <v>0.64360587002096437</v>
      </c>
      <c r="N296" s="111">
        <f t="shared" si="22"/>
        <v>0.21383647798742139</v>
      </c>
      <c r="O296" s="111">
        <f t="shared" si="23"/>
        <v>0.14046121593291405</v>
      </c>
      <c r="P296" s="112">
        <v>277</v>
      </c>
      <c r="Q296" s="112">
        <v>234</v>
      </c>
      <c r="R296" s="112">
        <v>154</v>
      </c>
      <c r="S296" s="112">
        <v>8</v>
      </c>
      <c r="T296" s="112">
        <v>673</v>
      </c>
      <c r="U296" s="113">
        <v>0.41158989598811291</v>
      </c>
      <c r="V296" s="113">
        <v>0.3476968796433878</v>
      </c>
      <c r="W296" s="113">
        <v>0.2288261515601783</v>
      </c>
      <c r="X296" s="113">
        <v>1.188707280832095E-2</v>
      </c>
      <c r="Y296" s="114">
        <v>36.794947994056464</v>
      </c>
      <c r="Z296" s="111">
        <f t="shared" si="24"/>
        <v>0.70876671619613674</v>
      </c>
    </row>
    <row r="297" spans="1:26" x14ac:dyDescent="0.25">
      <c r="A297" s="110"/>
      <c r="B297" s="110"/>
      <c r="C297" s="110"/>
      <c r="D297" s="110">
        <v>13</v>
      </c>
      <c r="E297" s="110">
        <v>476</v>
      </c>
      <c r="F297" s="110">
        <v>70</v>
      </c>
      <c r="G297" s="110">
        <v>100</v>
      </c>
      <c r="H297" s="110">
        <v>305</v>
      </c>
      <c r="I297" s="110">
        <v>475</v>
      </c>
      <c r="J297" s="110">
        <v>1</v>
      </c>
      <c r="K297" s="110">
        <f t="shared" si="20"/>
        <v>476</v>
      </c>
      <c r="L297" s="110">
        <v>0</v>
      </c>
      <c r="M297" s="111">
        <f t="shared" si="21"/>
        <v>0.64075630252100846</v>
      </c>
      <c r="N297" s="111">
        <f t="shared" si="22"/>
        <v>0.21008403361344538</v>
      </c>
      <c r="O297" s="111">
        <f t="shared" si="23"/>
        <v>0.14705882352941177</v>
      </c>
      <c r="P297" s="112">
        <v>293</v>
      </c>
      <c r="Q297" s="112">
        <v>217</v>
      </c>
      <c r="R297" s="112">
        <v>153</v>
      </c>
      <c r="S297" s="112">
        <v>10</v>
      </c>
      <c r="T297" s="112">
        <v>673</v>
      </c>
      <c r="U297" s="113">
        <v>0.43536404160475484</v>
      </c>
      <c r="V297" s="113">
        <v>0.32243684992570582</v>
      </c>
      <c r="W297" s="113">
        <v>0.22734026745913818</v>
      </c>
      <c r="X297" s="113">
        <v>1.4858841010401188E-2</v>
      </c>
      <c r="Y297" s="114">
        <v>34.416047548291232</v>
      </c>
      <c r="Z297" s="111">
        <f t="shared" si="24"/>
        <v>0.70728083209509662</v>
      </c>
    </row>
    <row r="298" spans="1:26" x14ac:dyDescent="0.25">
      <c r="A298" s="110"/>
      <c r="B298" s="110"/>
      <c r="C298" s="110"/>
      <c r="D298" s="110">
        <v>14</v>
      </c>
      <c r="E298" s="110">
        <v>490</v>
      </c>
      <c r="F298" s="110">
        <v>85</v>
      </c>
      <c r="G298" s="110">
        <v>112</v>
      </c>
      <c r="H298" s="110">
        <v>292</v>
      </c>
      <c r="I298" s="110">
        <v>489</v>
      </c>
      <c r="J298" s="110">
        <v>1</v>
      </c>
      <c r="K298" s="110">
        <f t="shared" si="20"/>
        <v>490</v>
      </c>
      <c r="L298" s="110">
        <v>0</v>
      </c>
      <c r="M298" s="111">
        <f t="shared" si="21"/>
        <v>0.59591836734693882</v>
      </c>
      <c r="N298" s="111">
        <f t="shared" si="22"/>
        <v>0.22857142857142856</v>
      </c>
      <c r="O298" s="111">
        <f t="shared" si="23"/>
        <v>0.17346938775510204</v>
      </c>
      <c r="P298" s="112">
        <v>296</v>
      </c>
      <c r="Q298" s="112">
        <v>206</v>
      </c>
      <c r="R298" s="112">
        <v>166</v>
      </c>
      <c r="S298" s="112">
        <v>5</v>
      </c>
      <c r="T298" s="112">
        <v>673</v>
      </c>
      <c r="U298" s="113">
        <v>0.43982169390787518</v>
      </c>
      <c r="V298" s="113">
        <v>0.30609212481426451</v>
      </c>
      <c r="W298" s="113">
        <v>0.24665676077265974</v>
      </c>
      <c r="X298" s="113">
        <v>7.429420505200594E-3</v>
      </c>
      <c r="Y298" s="114">
        <v>32.20950965824666</v>
      </c>
      <c r="Z298" s="111">
        <f t="shared" si="24"/>
        <v>0.72808320950965821</v>
      </c>
    </row>
    <row r="299" spans="1:26" x14ac:dyDescent="0.25">
      <c r="A299" s="110"/>
      <c r="B299" s="110"/>
      <c r="C299" s="110"/>
      <c r="D299" s="110">
        <v>15</v>
      </c>
      <c r="E299" s="110">
        <v>476</v>
      </c>
      <c r="F299" s="110">
        <v>76</v>
      </c>
      <c r="G299" s="110">
        <v>98</v>
      </c>
      <c r="H299" s="110">
        <v>299</v>
      </c>
      <c r="I299" s="110">
        <v>473</v>
      </c>
      <c r="J299" s="110">
        <v>3</v>
      </c>
      <c r="K299" s="110">
        <f t="shared" si="20"/>
        <v>476</v>
      </c>
      <c r="L299" s="110">
        <v>0</v>
      </c>
      <c r="M299" s="111">
        <f t="shared" si="21"/>
        <v>0.62815126050420167</v>
      </c>
      <c r="N299" s="111">
        <f t="shared" si="22"/>
        <v>0.20588235294117646</v>
      </c>
      <c r="O299" s="111">
        <f t="shared" si="23"/>
        <v>0.15966386554621848</v>
      </c>
      <c r="P299" s="112">
        <v>292</v>
      </c>
      <c r="Q299" s="112">
        <v>204</v>
      </c>
      <c r="R299" s="112">
        <v>172</v>
      </c>
      <c r="S299" s="112">
        <v>6</v>
      </c>
      <c r="T299" s="112">
        <v>674</v>
      </c>
      <c r="U299" s="113">
        <v>0.43323442136498519</v>
      </c>
      <c r="V299" s="113">
        <v>0.30267062314540061</v>
      </c>
      <c r="W299" s="113">
        <v>0.25519287833827892</v>
      </c>
      <c r="X299" s="113">
        <v>8.9020771513353119E-3</v>
      </c>
      <c r="Y299" s="114">
        <v>30.415430267062316</v>
      </c>
      <c r="Z299" s="111">
        <f t="shared" si="24"/>
        <v>0.70623145400593468</v>
      </c>
    </row>
    <row r="300" spans="1:26" x14ac:dyDescent="0.25">
      <c r="A300" s="110">
        <v>40</v>
      </c>
      <c r="B300" s="110" t="s">
        <v>240</v>
      </c>
      <c r="C300" s="110" t="s">
        <v>241</v>
      </c>
      <c r="D300" s="110">
        <v>16</v>
      </c>
      <c r="E300" s="110">
        <v>500</v>
      </c>
      <c r="F300" s="110">
        <v>91</v>
      </c>
      <c r="G300" s="110">
        <v>108</v>
      </c>
      <c r="H300" s="110">
        <v>298</v>
      </c>
      <c r="I300" s="110">
        <v>497</v>
      </c>
      <c r="J300" s="110">
        <v>3</v>
      </c>
      <c r="K300" s="110">
        <f t="shared" si="20"/>
        <v>500</v>
      </c>
      <c r="L300" s="110">
        <v>0</v>
      </c>
      <c r="M300" s="111">
        <f t="shared" si="21"/>
        <v>0.59599999999999997</v>
      </c>
      <c r="N300" s="111">
        <f t="shared" si="22"/>
        <v>0.216</v>
      </c>
      <c r="O300" s="111">
        <f t="shared" si="23"/>
        <v>0.182</v>
      </c>
      <c r="P300" s="112">
        <v>296</v>
      </c>
      <c r="Q300" s="112">
        <v>201</v>
      </c>
      <c r="R300" s="112">
        <v>170</v>
      </c>
      <c r="S300" s="112">
        <v>7</v>
      </c>
      <c r="T300" s="112">
        <v>674</v>
      </c>
      <c r="U300" s="113">
        <v>0.43916913946587538</v>
      </c>
      <c r="V300" s="113">
        <v>0.29821958456973297</v>
      </c>
      <c r="W300" s="113">
        <v>0.25222551928783382</v>
      </c>
      <c r="X300" s="113">
        <v>1.0385756676557863E-2</v>
      </c>
      <c r="Y300" s="114">
        <v>28.590504451038576</v>
      </c>
      <c r="Z300" s="111">
        <f t="shared" si="24"/>
        <v>0.74183976261127593</v>
      </c>
    </row>
    <row r="301" spans="1:26" x14ac:dyDescent="0.25">
      <c r="A301" s="110"/>
      <c r="B301" s="110"/>
      <c r="C301" s="110"/>
      <c r="D301" s="110">
        <v>17</v>
      </c>
      <c r="E301" s="110">
        <v>490</v>
      </c>
      <c r="F301" s="110">
        <v>73</v>
      </c>
      <c r="G301" s="110">
        <v>112</v>
      </c>
      <c r="H301" s="110">
        <v>304</v>
      </c>
      <c r="I301" s="110">
        <v>489</v>
      </c>
      <c r="J301" s="110">
        <v>1</v>
      </c>
      <c r="K301" s="110">
        <f t="shared" si="20"/>
        <v>490</v>
      </c>
      <c r="L301" s="110">
        <v>0</v>
      </c>
      <c r="M301" s="111">
        <f t="shared" si="21"/>
        <v>0.62040816326530612</v>
      </c>
      <c r="N301" s="111">
        <f t="shared" si="22"/>
        <v>0.22857142857142856</v>
      </c>
      <c r="O301" s="111">
        <f t="shared" si="23"/>
        <v>0.1489795918367347</v>
      </c>
      <c r="P301" s="112">
        <v>295</v>
      </c>
      <c r="Q301" s="112">
        <v>203</v>
      </c>
      <c r="R301" s="112">
        <v>171</v>
      </c>
      <c r="S301" s="112">
        <v>5</v>
      </c>
      <c r="T301" s="112">
        <v>674</v>
      </c>
      <c r="U301" s="113">
        <v>0.43768545994065283</v>
      </c>
      <c r="V301" s="113">
        <v>0.30118694362017806</v>
      </c>
      <c r="W301" s="113">
        <v>0.25370919881305637</v>
      </c>
      <c r="X301" s="113">
        <v>7.4183976261127599E-3</v>
      </c>
      <c r="Y301" s="114">
        <v>26.781899109792285</v>
      </c>
      <c r="Z301" s="111">
        <f t="shared" si="24"/>
        <v>0.72700296735905046</v>
      </c>
    </row>
    <row r="302" spans="1:26" x14ac:dyDescent="0.25">
      <c r="A302" s="110"/>
      <c r="B302" s="110"/>
      <c r="C302" s="110"/>
      <c r="D302" s="110">
        <v>18</v>
      </c>
      <c r="E302" s="110">
        <v>536</v>
      </c>
      <c r="F302" s="110">
        <v>77</v>
      </c>
      <c r="G302" s="110">
        <v>113</v>
      </c>
      <c r="H302" s="110">
        <v>339</v>
      </c>
      <c r="I302" s="110">
        <v>529</v>
      </c>
      <c r="J302" s="110">
        <v>7</v>
      </c>
      <c r="K302" s="110">
        <f t="shared" si="20"/>
        <v>536</v>
      </c>
      <c r="L302" s="110">
        <v>0</v>
      </c>
      <c r="M302" s="111">
        <f t="shared" si="21"/>
        <v>0.6324626865671642</v>
      </c>
      <c r="N302" s="111">
        <f t="shared" si="22"/>
        <v>0.21082089552238806</v>
      </c>
      <c r="O302" s="111">
        <f t="shared" si="23"/>
        <v>0.14365671641791045</v>
      </c>
      <c r="P302" s="112">
        <v>283</v>
      </c>
      <c r="Q302" s="112">
        <v>211</v>
      </c>
      <c r="R302" s="112">
        <v>175</v>
      </c>
      <c r="S302" s="112">
        <v>5</v>
      </c>
      <c r="T302" s="112">
        <v>674</v>
      </c>
      <c r="U302" s="113">
        <v>0.41988130563798221</v>
      </c>
      <c r="V302" s="113">
        <v>0.31305637982195844</v>
      </c>
      <c r="W302" s="113">
        <v>0.25964391691394662</v>
      </c>
      <c r="X302" s="113">
        <v>7.4183976261127599E-3</v>
      </c>
      <c r="Y302" s="114">
        <v>25.215133531157271</v>
      </c>
      <c r="Z302" s="111">
        <f t="shared" si="24"/>
        <v>0.79525222551928787</v>
      </c>
    </row>
    <row r="303" spans="1:26" x14ac:dyDescent="0.25">
      <c r="A303" s="110"/>
      <c r="B303" s="110"/>
      <c r="C303" s="110"/>
      <c r="D303" s="110">
        <v>19</v>
      </c>
      <c r="E303" s="110">
        <v>545</v>
      </c>
      <c r="F303" s="110">
        <v>87</v>
      </c>
      <c r="G303" s="110">
        <v>105</v>
      </c>
      <c r="H303" s="110">
        <v>351</v>
      </c>
      <c r="I303" s="110">
        <v>543</v>
      </c>
      <c r="J303" s="110">
        <v>2</v>
      </c>
      <c r="K303" s="110">
        <f t="shared" si="20"/>
        <v>545</v>
      </c>
      <c r="L303" s="110">
        <v>0</v>
      </c>
      <c r="M303" s="111">
        <f t="shared" si="21"/>
        <v>0.6440366972477064</v>
      </c>
      <c r="N303" s="111">
        <f t="shared" si="22"/>
        <v>0.19266055045871561</v>
      </c>
      <c r="O303" s="111">
        <f t="shared" si="23"/>
        <v>0.15963302752293579</v>
      </c>
      <c r="P303" s="112">
        <v>292</v>
      </c>
      <c r="Q303" s="112">
        <v>193</v>
      </c>
      <c r="R303" s="112">
        <v>185</v>
      </c>
      <c r="S303" s="112">
        <v>4</v>
      </c>
      <c r="T303" s="112">
        <v>674</v>
      </c>
      <c r="U303" s="113">
        <v>0.43323442136498519</v>
      </c>
      <c r="V303" s="113">
        <v>0.28635014836795253</v>
      </c>
      <c r="W303" s="113">
        <v>0.27448071216617209</v>
      </c>
      <c r="X303" s="113">
        <v>5.9347181008902079E-3</v>
      </c>
      <c r="Y303" s="114">
        <v>23.575667655786351</v>
      </c>
      <c r="Z303" s="111">
        <f t="shared" si="24"/>
        <v>0.8086053412462908</v>
      </c>
    </row>
    <row r="304" spans="1:26" x14ac:dyDescent="0.25">
      <c r="A304" s="110"/>
      <c r="B304" s="110"/>
      <c r="C304" s="110"/>
      <c r="D304" s="110">
        <v>20</v>
      </c>
      <c r="E304" s="110">
        <v>545</v>
      </c>
      <c r="F304" s="110">
        <v>75</v>
      </c>
      <c r="G304" s="110">
        <v>103</v>
      </c>
      <c r="H304" s="110">
        <v>361</v>
      </c>
      <c r="I304" s="110">
        <v>539</v>
      </c>
      <c r="J304" s="110">
        <v>6</v>
      </c>
      <c r="K304" s="110">
        <f t="shared" si="20"/>
        <v>545</v>
      </c>
      <c r="L304" s="110">
        <v>0</v>
      </c>
      <c r="M304" s="111">
        <f t="shared" si="21"/>
        <v>0.66238532110091741</v>
      </c>
      <c r="N304" s="111">
        <f t="shared" si="22"/>
        <v>0.1889908256880734</v>
      </c>
      <c r="O304" s="111">
        <f t="shared" si="23"/>
        <v>0.13761467889908258</v>
      </c>
      <c r="P304" s="112">
        <v>273</v>
      </c>
      <c r="Q304" s="112">
        <v>193</v>
      </c>
      <c r="R304" s="112">
        <v>202</v>
      </c>
      <c r="S304" s="112">
        <v>6</v>
      </c>
      <c r="T304" s="112">
        <v>674</v>
      </c>
      <c r="U304" s="113">
        <v>0.40504451038575667</v>
      </c>
      <c r="V304" s="113">
        <v>0.28635014836795253</v>
      </c>
      <c r="W304" s="113">
        <v>0.29970326409495551</v>
      </c>
      <c r="X304" s="113">
        <v>8.9020771513353119E-3</v>
      </c>
      <c r="Y304" s="114">
        <v>22.090504451038576</v>
      </c>
      <c r="Z304" s="111">
        <f t="shared" si="24"/>
        <v>0.8086053412462908</v>
      </c>
    </row>
    <row r="305" spans="1:26" x14ac:dyDescent="0.25">
      <c r="A305" s="110"/>
      <c r="B305" s="110"/>
      <c r="C305" s="110"/>
      <c r="D305" s="110">
        <v>21</v>
      </c>
      <c r="E305" s="110">
        <v>543</v>
      </c>
      <c r="F305" s="110">
        <v>76</v>
      </c>
      <c r="G305" s="110">
        <v>102</v>
      </c>
      <c r="H305" s="110">
        <v>361</v>
      </c>
      <c r="I305" s="110">
        <v>539</v>
      </c>
      <c r="J305" s="110">
        <v>4</v>
      </c>
      <c r="K305" s="110">
        <f t="shared" si="20"/>
        <v>543</v>
      </c>
      <c r="L305" s="110">
        <v>0</v>
      </c>
      <c r="M305" s="111">
        <f t="shared" si="21"/>
        <v>0.66482504604051562</v>
      </c>
      <c r="N305" s="111">
        <f t="shared" si="22"/>
        <v>0.18784530386740331</v>
      </c>
      <c r="O305" s="111">
        <f t="shared" si="23"/>
        <v>0.13996316758747698</v>
      </c>
      <c r="P305" s="112">
        <v>260</v>
      </c>
      <c r="Q305" s="112">
        <v>215</v>
      </c>
      <c r="R305" s="112">
        <v>195</v>
      </c>
      <c r="S305" s="112">
        <v>4</v>
      </c>
      <c r="T305" s="112">
        <v>674</v>
      </c>
      <c r="U305" s="113">
        <v>0.3857566765578635</v>
      </c>
      <c r="V305" s="113">
        <v>0.31899109792284869</v>
      </c>
      <c r="W305" s="113">
        <v>0.28931750741839762</v>
      </c>
      <c r="X305" s="113">
        <v>5.9347181008902079E-3</v>
      </c>
      <c r="Y305" s="114">
        <v>20.473293768545993</v>
      </c>
      <c r="Z305" s="111">
        <f t="shared" si="24"/>
        <v>0.8056379821958457</v>
      </c>
    </row>
    <row r="306" spans="1:26" x14ac:dyDescent="0.25">
      <c r="A306" s="110"/>
      <c r="B306" s="110"/>
      <c r="C306" s="110"/>
      <c r="D306" s="110">
        <v>22</v>
      </c>
      <c r="E306" s="110">
        <v>568</v>
      </c>
      <c r="F306" s="110">
        <v>72</v>
      </c>
      <c r="G306" s="110">
        <v>116</v>
      </c>
      <c r="H306" s="110">
        <v>374</v>
      </c>
      <c r="I306" s="110">
        <v>562</v>
      </c>
      <c r="J306" s="110">
        <v>6</v>
      </c>
      <c r="K306" s="110">
        <f t="shared" si="20"/>
        <v>568</v>
      </c>
      <c r="L306" s="110">
        <v>0</v>
      </c>
      <c r="M306" s="111">
        <f t="shared" si="21"/>
        <v>0.65845070422535212</v>
      </c>
      <c r="N306" s="111">
        <f t="shared" si="22"/>
        <v>0.20422535211267606</v>
      </c>
      <c r="O306" s="111">
        <f t="shared" si="23"/>
        <v>0.12676056338028169</v>
      </c>
      <c r="P306" s="112">
        <v>264</v>
      </c>
      <c r="Q306" s="112">
        <v>210</v>
      </c>
      <c r="R306" s="112">
        <v>192</v>
      </c>
      <c r="S306" s="112">
        <v>8</v>
      </c>
      <c r="T306" s="112">
        <v>674</v>
      </c>
      <c r="U306" s="113">
        <v>0.39169139465875369</v>
      </c>
      <c r="V306" s="113">
        <v>0.31157270029673589</v>
      </c>
      <c r="W306" s="113">
        <v>0.28486646884272998</v>
      </c>
      <c r="X306" s="113">
        <v>1.1869436201780416E-2</v>
      </c>
      <c r="Y306" s="114">
        <v>18.744807121661722</v>
      </c>
      <c r="Z306" s="111">
        <f t="shared" si="24"/>
        <v>0.84272997032640951</v>
      </c>
    </row>
    <row r="307" spans="1:26" x14ac:dyDescent="0.25">
      <c r="A307" s="110"/>
      <c r="B307" s="110"/>
      <c r="C307" s="110" t="s">
        <v>242</v>
      </c>
      <c r="D307" s="110">
        <v>1</v>
      </c>
      <c r="E307" s="110">
        <v>285</v>
      </c>
      <c r="F307" s="110">
        <v>41</v>
      </c>
      <c r="G307" s="110">
        <v>11</v>
      </c>
      <c r="H307" s="110">
        <v>230</v>
      </c>
      <c r="I307" s="110">
        <v>282</v>
      </c>
      <c r="J307" s="110">
        <v>3</v>
      </c>
      <c r="K307" s="110">
        <f t="shared" si="20"/>
        <v>285</v>
      </c>
      <c r="L307" s="110">
        <v>0</v>
      </c>
      <c r="M307" s="111">
        <f t="shared" si="21"/>
        <v>0.80701754385964908</v>
      </c>
      <c r="N307" s="111">
        <f t="shared" si="22"/>
        <v>3.8596491228070177E-2</v>
      </c>
      <c r="O307" s="111">
        <f t="shared" si="23"/>
        <v>0.14385964912280702</v>
      </c>
      <c r="P307" s="112">
        <v>33</v>
      </c>
      <c r="Q307" s="112">
        <v>213</v>
      </c>
      <c r="R307" s="112">
        <v>131</v>
      </c>
      <c r="S307" s="112">
        <v>3</v>
      </c>
      <c r="T307" s="112">
        <v>380</v>
      </c>
      <c r="U307" s="113">
        <v>8.6842105263157901E-2</v>
      </c>
      <c r="V307" s="113">
        <v>0.56052631578947365</v>
      </c>
      <c r="W307" s="113">
        <v>0.34473684210526317</v>
      </c>
      <c r="X307" s="113">
        <v>7.8947368421052634E-3</v>
      </c>
      <c r="Y307" s="114">
        <v>64.221052631578942</v>
      </c>
      <c r="Z307" s="111">
        <f t="shared" si="24"/>
        <v>0.75</v>
      </c>
    </row>
    <row r="308" spans="1:26" x14ac:dyDescent="0.25">
      <c r="A308" s="110"/>
      <c r="B308" s="110"/>
      <c r="C308" s="110"/>
      <c r="D308" s="110">
        <v>2</v>
      </c>
      <c r="E308" s="110">
        <v>303</v>
      </c>
      <c r="F308" s="110">
        <v>18</v>
      </c>
      <c r="G308" s="110">
        <v>11</v>
      </c>
      <c r="H308" s="110">
        <v>271</v>
      </c>
      <c r="I308" s="110">
        <v>300</v>
      </c>
      <c r="J308" s="110">
        <v>3</v>
      </c>
      <c r="K308" s="110">
        <f t="shared" si="20"/>
        <v>303</v>
      </c>
      <c r="L308" s="110">
        <v>0</v>
      </c>
      <c r="M308" s="111">
        <f t="shared" si="21"/>
        <v>0.89438943894389444</v>
      </c>
      <c r="N308" s="111">
        <f t="shared" si="22"/>
        <v>3.6303630363036306E-2</v>
      </c>
      <c r="O308" s="111">
        <f t="shared" si="23"/>
        <v>5.9405940594059403E-2</v>
      </c>
      <c r="P308" s="112">
        <v>22</v>
      </c>
      <c r="Q308" s="112">
        <v>247</v>
      </c>
      <c r="R308" s="112">
        <v>108</v>
      </c>
      <c r="S308" s="112">
        <v>3</v>
      </c>
      <c r="T308" s="112">
        <v>380</v>
      </c>
      <c r="U308" s="113">
        <v>5.7894736842105263E-2</v>
      </c>
      <c r="V308" s="113">
        <v>0.65</v>
      </c>
      <c r="W308" s="113">
        <v>0.28421052631578947</v>
      </c>
      <c r="X308" s="113">
        <v>7.8947368421052634E-3</v>
      </c>
      <c r="Y308" s="114">
        <v>52.19736842105263</v>
      </c>
      <c r="Z308" s="111">
        <f t="shared" si="24"/>
        <v>0.79736842105263162</v>
      </c>
    </row>
    <row r="309" spans="1:26" x14ac:dyDescent="0.25">
      <c r="A309" s="110"/>
      <c r="B309" s="110"/>
      <c r="C309" s="110"/>
      <c r="D309" s="110">
        <v>3</v>
      </c>
      <c r="E309" s="110">
        <v>291</v>
      </c>
      <c r="F309" s="110">
        <v>14</v>
      </c>
      <c r="G309" s="110">
        <v>9</v>
      </c>
      <c r="H309" s="110">
        <v>268</v>
      </c>
      <c r="I309" s="110">
        <v>291</v>
      </c>
      <c r="J309" s="110">
        <v>0</v>
      </c>
      <c r="K309" s="110">
        <f t="shared" si="20"/>
        <v>291</v>
      </c>
      <c r="L309" s="110">
        <v>0</v>
      </c>
      <c r="M309" s="111">
        <f t="shared" si="21"/>
        <v>0.92096219931271472</v>
      </c>
      <c r="N309" s="111">
        <f t="shared" si="22"/>
        <v>3.0927835051546393E-2</v>
      </c>
      <c r="O309" s="111">
        <f t="shared" si="23"/>
        <v>4.8109965635738834E-2</v>
      </c>
      <c r="P309" s="112">
        <v>29</v>
      </c>
      <c r="Q309" s="112">
        <v>221</v>
      </c>
      <c r="R309" s="112">
        <v>126</v>
      </c>
      <c r="S309" s="112">
        <v>4</v>
      </c>
      <c r="T309" s="112">
        <v>380</v>
      </c>
      <c r="U309" s="113">
        <v>7.6315789473684212E-2</v>
      </c>
      <c r="V309" s="113">
        <v>0.58157894736842108</v>
      </c>
      <c r="W309" s="113">
        <v>0.33157894736842103</v>
      </c>
      <c r="X309" s="113">
        <v>1.0526315789473684E-2</v>
      </c>
      <c r="Y309" s="114">
        <v>43.271052631578947</v>
      </c>
      <c r="Z309" s="111">
        <f t="shared" si="24"/>
        <v>0.76578947368421058</v>
      </c>
    </row>
    <row r="310" spans="1:26" x14ac:dyDescent="0.25">
      <c r="A310" s="110"/>
      <c r="B310" s="110"/>
      <c r="C310" s="110"/>
      <c r="D310" s="110">
        <v>4</v>
      </c>
      <c r="E310" s="110">
        <v>276</v>
      </c>
      <c r="F310" s="110">
        <v>20</v>
      </c>
      <c r="G310" s="110">
        <v>13</v>
      </c>
      <c r="H310" s="110">
        <v>243</v>
      </c>
      <c r="I310" s="110">
        <v>276</v>
      </c>
      <c r="J310" s="110">
        <v>0</v>
      </c>
      <c r="K310" s="110">
        <f t="shared" si="20"/>
        <v>276</v>
      </c>
      <c r="L310" s="110">
        <v>0</v>
      </c>
      <c r="M310" s="111">
        <f t="shared" si="21"/>
        <v>0.88043478260869568</v>
      </c>
      <c r="N310" s="111">
        <f t="shared" si="22"/>
        <v>4.710144927536232E-2</v>
      </c>
      <c r="O310" s="111">
        <f t="shared" si="23"/>
        <v>7.2463768115942032E-2</v>
      </c>
      <c r="P310" s="112">
        <v>42</v>
      </c>
      <c r="Q310" s="112">
        <v>236</v>
      </c>
      <c r="R310" s="112">
        <v>102</v>
      </c>
      <c r="S310" s="112">
        <v>0</v>
      </c>
      <c r="T310" s="112">
        <v>380</v>
      </c>
      <c r="U310" s="113">
        <v>0.11052631578947368</v>
      </c>
      <c r="V310" s="113">
        <v>0.62105263157894741</v>
      </c>
      <c r="W310" s="113">
        <v>0.26842105263157895</v>
      </c>
      <c r="X310" s="113">
        <v>0</v>
      </c>
      <c r="Y310" s="114">
        <v>36.744736842105262</v>
      </c>
      <c r="Z310" s="111">
        <f t="shared" si="24"/>
        <v>0.72631578947368425</v>
      </c>
    </row>
    <row r="311" spans="1:26" x14ac:dyDescent="0.25">
      <c r="A311" s="110"/>
      <c r="B311" s="110"/>
      <c r="C311" s="110"/>
      <c r="D311" s="110">
        <v>5</v>
      </c>
      <c r="E311" s="110">
        <v>442</v>
      </c>
      <c r="F311" s="110">
        <v>23</v>
      </c>
      <c r="G311" s="110">
        <v>21</v>
      </c>
      <c r="H311" s="110">
        <v>397</v>
      </c>
      <c r="I311" s="110">
        <v>441</v>
      </c>
      <c r="J311" s="110">
        <v>1</v>
      </c>
      <c r="K311" s="110">
        <f t="shared" si="20"/>
        <v>442</v>
      </c>
      <c r="L311" s="110">
        <v>0</v>
      </c>
      <c r="M311" s="111">
        <f t="shared" si="21"/>
        <v>0.89819004524886881</v>
      </c>
      <c r="N311" s="111">
        <f t="shared" si="22"/>
        <v>4.7511312217194568E-2</v>
      </c>
      <c r="O311" s="111">
        <f t="shared" si="23"/>
        <v>5.2036199095022627E-2</v>
      </c>
      <c r="P311" s="112">
        <v>60</v>
      </c>
      <c r="Q311" s="112">
        <v>397</v>
      </c>
      <c r="R311" s="112">
        <v>128</v>
      </c>
      <c r="S311" s="112">
        <v>1</v>
      </c>
      <c r="T311" s="112">
        <v>586</v>
      </c>
      <c r="U311" s="113">
        <v>0.10238907849829351</v>
      </c>
      <c r="V311" s="113">
        <v>0.6774744027303754</v>
      </c>
      <c r="W311" s="113">
        <v>0.21843003412969283</v>
      </c>
      <c r="X311" s="113">
        <v>1.7064846416382253E-3</v>
      </c>
      <c r="Y311" s="114">
        <v>29.286689419795223</v>
      </c>
      <c r="Z311" s="111">
        <f t="shared" si="24"/>
        <v>0.75426621160409557</v>
      </c>
    </row>
    <row r="312" spans="1:26" x14ac:dyDescent="0.25">
      <c r="A312" s="110"/>
      <c r="B312" s="110"/>
      <c r="C312" s="110"/>
      <c r="D312" s="110">
        <v>6</v>
      </c>
      <c r="E312" s="110">
        <v>464</v>
      </c>
      <c r="F312" s="110">
        <v>23</v>
      </c>
      <c r="G312" s="110">
        <v>16</v>
      </c>
      <c r="H312" s="110">
        <v>423</v>
      </c>
      <c r="I312" s="110">
        <v>462</v>
      </c>
      <c r="J312" s="110">
        <v>2</v>
      </c>
      <c r="K312" s="110">
        <f t="shared" si="20"/>
        <v>464</v>
      </c>
      <c r="L312" s="110">
        <v>0</v>
      </c>
      <c r="M312" s="111">
        <f t="shared" si="21"/>
        <v>0.91163793103448276</v>
      </c>
      <c r="N312" s="111">
        <f t="shared" si="22"/>
        <v>3.4482758620689655E-2</v>
      </c>
      <c r="O312" s="111">
        <f t="shared" si="23"/>
        <v>4.9568965517241381E-2</v>
      </c>
      <c r="P312" s="112">
        <v>67</v>
      </c>
      <c r="Q312" s="112">
        <v>385</v>
      </c>
      <c r="R312" s="112">
        <v>134</v>
      </c>
      <c r="S312" s="112">
        <v>0</v>
      </c>
      <c r="T312" s="112">
        <v>586</v>
      </c>
      <c r="U312" s="113">
        <v>0.11433447098976109</v>
      </c>
      <c r="V312" s="113">
        <v>0.65699658703071673</v>
      </c>
      <c r="W312" s="113">
        <v>0.22866894197952217</v>
      </c>
      <c r="X312" s="113">
        <v>0</v>
      </c>
      <c r="Y312" s="114">
        <v>21.569965870307168</v>
      </c>
      <c r="Z312" s="111">
        <f t="shared" si="24"/>
        <v>0.79180887372013653</v>
      </c>
    </row>
    <row r="313" spans="1:26" x14ac:dyDescent="0.25">
      <c r="A313" s="110"/>
      <c r="B313" s="110"/>
      <c r="C313" s="110" t="s">
        <v>243</v>
      </c>
      <c r="D313" s="110">
        <v>1</v>
      </c>
      <c r="E313" s="110">
        <v>265</v>
      </c>
      <c r="F313" s="110">
        <v>68</v>
      </c>
      <c r="G313" s="110">
        <v>25</v>
      </c>
      <c r="H313" s="110">
        <v>158</v>
      </c>
      <c r="I313" s="110">
        <v>251</v>
      </c>
      <c r="J313" s="110">
        <v>14</v>
      </c>
      <c r="K313" s="110">
        <f t="shared" si="20"/>
        <v>265</v>
      </c>
      <c r="L313" s="110">
        <v>0</v>
      </c>
      <c r="M313" s="111">
        <f t="shared" si="21"/>
        <v>0.5962264150943396</v>
      </c>
      <c r="N313" s="111">
        <f t="shared" si="22"/>
        <v>9.4339622641509441E-2</v>
      </c>
      <c r="O313" s="111">
        <f t="shared" si="23"/>
        <v>0.25660377358490566</v>
      </c>
      <c r="P313" s="112">
        <v>119</v>
      </c>
      <c r="Q313" s="112">
        <v>62</v>
      </c>
      <c r="R313" s="112">
        <v>177</v>
      </c>
      <c r="S313" s="112">
        <v>2</v>
      </c>
      <c r="T313" s="112">
        <v>360</v>
      </c>
      <c r="U313" s="113">
        <v>0.33055555555555555</v>
      </c>
      <c r="V313" s="113">
        <v>0.17222222222222222</v>
      </c>
      <c r="W313" s="113">
        <v>0.49166666666666664</v>
      </c>
      <c r="X313" s="113">
        <v>5.5555555555555558E-3</v>
      </c>
      <c r="Y313" s="114">
        <v>61.591666666666669</v>
      </c>
      <c r="Z313" s="111">
        <f t="shared" si="24"/>
        <v>0.73611111111111116</v>
      </c>
    </row>
    <row r="314" spans="1:26" x14ac:dyDescent="0.25">
      <c r="A314" s="110"/>
      <c r="B314" s="110"/>
      <c r="C314" s="110"/>
      <c r="D314" s="110">
        <v>2</v>
      </c>
      <c r="E314" s="110">
        <v>309</v>
      </c>
      <c r="F314" s="110">
        <v>45</v>
      </c>
      <c r="G314" s="110">
        <v>34</v>
      </c>
      <c r="H314" s="110">
        <v>222</v>
      </c>
      <c r="I314" s="110">
        <v>301</v>
      </c>
      <c r="J314" s="110">
        <v>8</v>
      </c>
      <c r="K314" s="110">
        <f t="shared" si="20"/>
        <v>309</v>
      </c>
      <c r="L314" s="110">
        <v>0</v>
      </c>
      <c r="M314" s="111">
        <f t="shared" si="21"/>
        <v>0.71844660194174759</v>
      </c>
      <c r="N314" s="111">
        <f t="shared" si="22"/>
        <v>0.11003236245954692</v>
      </c>
      <c r="O314" s="111">
        <f t="shared" si="23"/>
        <v>0.14563106796116504</v>
      </c>
      <c r="P314" s="112">
        <v>90</v>
      </c>
      <c r="Q314" s="112">
        <v>67</v>
      </c>
      <c r="R314" s="112">
        <v>201</v>
      </c>
      <c r="S314" s="112">
        <v>2</v>
      </c>
      <c r="T314" s="112">
        <v>360</v>
      </c>
      <c r="U314" s="113">
        <v>0.25</v>
      </c>
      <c r="V314" s="113">
        <v>0.18611111111111112</v>
      </c>
      <c r="W314" s="113">
        <v>0.55833333333333335</v>
      </c>
      <c r="X314" s="113">
        <v>5.5555555555555558E-3</v>
      </c>
      <c r="Y314" s="114">
        <v>54.922222222222224</v>
      </c>
      <c r="Z314" s="111">
        <f t="shared" si="24"/>
        <v>0.85833333333333328</v>
      </c>
    </row>
    <row r="315" spans="1:26" x14ac:dyDescent="0.25">
      <c r="A315" s="110"/>
      <c r="B315" s="110"/>
      <c r="C315" s="110"/>
      <c r="D315" s="110">
        <v>3</v>
      </c>
      <c r="E315" s="110">
        <v>282</v>
      </c>
      <c r="F315" s="110">
        <v>31</v>
      </c>
      <c r="G315" s="110">
        <v>33</v>
      </c>
      <c r="H315" s="110">
        <v>217</v>
      </c>
      <c r="I315" s="110">
        <v>281</v>
      </c>
      <c r="J315" s="110">
        <v>1</v>
      </c>
      <c r="K315" s="110">
        <f t="shared" si="20"/>
        <v>282</v>
      </c>
      <c r="L315" s="110">
        <v>0</v>
      </c>
      <c r="M315" s="111">
        <f t="shared" si="21"/>
        <v>0.76950354609929073</v>
      </c>
      <c r="N315" s="111">
        <f t="shared" si="22"/>
        <v>0.11702127659574468</v>
      </c>
      <c r="O315" s="111">
        <f t="shared" si="23"/>
        <v>0.1099290780141844</v>
      </c>
      <c r="P315" s="112">
        <v>92</v>
      </c>
      <c r="Q315" s="112">
        <v>95</v>
      </c>
      <c r="R315" s="112">
        <v>172</v>
      </c>
      <c r="S315" s="112">
        <v>1</v>
      </c>
      <c r="T315" s="112">
        <v>360</v>
      </c>
      <c r="U315" s="113">
        <v>0.25555555555555554</v>
      </c>
      <c r="V315" s="113">
        <v>0.2638888888888889</v>
      </c>
      <c r="W315" s="113">
        <v>0.4777777777777778</v>
      </c>
      <c r="X315" s="113">
        <v>2.7777777777777779E-3</v>
      </c>
      <c r="Y315" s="114">
        <v>46.952777777777776</v>
      </c>
      <c r="Z315" s="111">
        <f t="shared" si="24"/>
        <v>0.78333333333333333</v>
      </c>
    </row>
    <row r="316" spans="1:26" x14ac:dyDescent="0.25">
      <c r="A316" s="110"/>
      <c r="B316" s="110"/>
      <c r="C316" s="110"/>
      <c r="D316" s="110">
        <v>4</v>
      </c>
      <c r="E316" s="110">
        <v>532</v>
      </c>
      <c r="F316" s="110">
        <v>80</v>
      </c>
      <c r="G316" s="110">
        <v>53</v>
      </c>
      <c r="H316" s="110">
        <v>398</v>
      </c>
      <c r="I316" s="110">
        <v>531</v>
      </c>
      <c r="J316" s="110">
        <v>1</v>
      </c>
      <c r="K316" s="110">
        <f t="shared" si="20"/>
        <v>532</v>
      </c>
      <c r="L316" s="110">
        <v>0</v>
      </c>
      <c r="M316" s="111">
        <f t="shared" si="21"/>
        <v>0.74812030075187974</v>
      </c>
      <c r="N316" s="111">
        <f t="shared" si="22"/>
        <v>9.9624060150375934E-2</v>
      </c>
      <c r="O316" s="111">
        <f t="shared" si="23"/>
        <v>0.15037593984962405</v>
      </c>
      <c r="P316" s="112">
        <v>172</v>
      </c>
      <c r="Q316" s="112">
        <v>128</v>
      </c>
      <c r="R316" s="112">
        <v>390</v>
      </c>
      <c r="S316" s="112">
        <v>0</v>
      </c>
      <c r="T316" s="112">
        <v>690</v>
      </c>
      <c r="U316" s="113">
        <v>0.24927536231884059</v>
      </c>
      <c r="V316" s="113">
        <v>0.1855072463768116</v>
      </c>
      <c r="W316" s="113">
        <v>0.56521739130434778</v>
      </c>
      <c r="X316" s="113">
        <v>0</v>
      </c>
      <c r="Y316" s="114">
        <v>38.918840579710142</v>
      </c>
      <c r="Z316" s="111">
        <f t="shared" si="24"/>
        <v>0.77101449275362322</v>
      </c>
    </row>
    <row r="317" spans="1:26" x14ac:dyDescent="0.25">
      <c r="A317" s="110"/>
      <c r="B317" s="110"/>
      <c r="C317" s="110"/>
      <c r="D317" s="110">
        <v>5</v>
      </c>
      <c r="E317" s="110">
        <v>538</v>
      </c>
      <c r="F317" s="110">
        <v>75</v>
      </c>
      <c r="G317" s="110">
        <v>95</v>
      </c>
      <c r="H317" s="110">
        <v>363</v>
      </c>
      <c r="I317" s="110">
        <v>533</v>
      </c>
      <c r="J317" s="110">
        <v>5</v>
      </c>
      <c r="K317" s="110">
        <f t="shared" si="20"/>
        <v>538</v>
      </c>
      <c r="L317" s="110">
        <v>0</v>
      </c>
      <c r="M317" s="111">
        <f t="shared" si="21"/>
        <v>0.67472118959107807</v>
      </c>
      <c r="N317" s="111">
        <f t="shared" si="22"/>
        <v>0.17657992565055763</v>
      </c>
      <c r="O317" s="111">
        <f t="shared" si="23"/>
        <v>0.13940520446096655</v>
      </c>
      <c r="P317" s="112">
        <v>264</v>
      </c>
      <c r="Q317" s="112">
        <v>90</v>
      </c>
      <c r="R317" s="112">
        <v>335</v>
      </c>
      <c r="S317" s="112">
        <v>1</v>
      </c>
      <c r="T317" s="112">
        <v>690</v>
      </c>
      <c r="U317" s="113">
        <v>0.38260869565217392</v>
      </c>
      <c r="V317" s="113">
        <v>0.13043478260869565</v>
      </c>
      <c r="W317" s="113">
        <v>0.48550724637681159</v>
      </c>
      <c r="X317" s="113">
        <v>1.4492753623188406E-3</v>
      </c>
      <c r="Y317" s="114">
        <v>29.378260869565217</v>
      </c>
      <c r="Z317" s="111">
        <f t="shared" si="24"/>
        <v>0.77971014492753621</v>
      </c>
    </row>
    <row r="318" spans="1:26" x14ac:dyDescent="0.25">
      <c r="A318" s="110"/>
      <c r="B318" s="110"/>
      <c r="C318" s="110"/>
      <c r="D318" s="110">
        <v>6</v>
      </c>
      <c r="E318" s="110">
        <v>543</v>
      </c>
      <c r="F318" s="110">
        <v>88</v>
      </c>
      <c r="G318" s="110">
        <v>95</v>
      </c>
      <c r="H318" s="110">
        <v>351</v>
      </c>
      <c r="I318" s="110">
        <v>534</v>
      </c>
      <c r="J318" s="110">
        <v>9</v>
      </c>
      <c r="K318" s="110">
        <f t="shared" si="20"/>
        <v>543</v>
      </c>
      <c r="L318" s="110">
        <v>0</v>
      </c>
      <c r="M318" s="111">
        <f t="shared" si="21"/>
        <v>0.64640883977900554</v>
      </c>
      <c r="N318" s="111">
        <f t="shared" si="22"/>
        <v>0.17495395948434622</v>
      </c>
      <c r="O318" s="111">
        <f t="shared" si="23"/>
        <v>0.16206261510128914</v>
      </c>
      <c r="P318" s="112">
        <v>269</v>
      </c>
      <c r="Q318" s="112">
        <v>108</v>
      </c>
      <c r="R318" s="112">
        <v>314</v>
      </c>
      <c r="S318" s="112">
        <v>0</v>
      </c>
      <c r="T318" s="112">
        <v>691</v>
      </c>
      <c r="U318" s="113">
        <v>0.38929088277858176</v>
      </c>
      <c r="V318" s="113">
        <v>0.15629522431259044</v>
      </c>
      <c r="W318" s="113">
        <v>0.45441389290882778</v>
      </c>
      <c r="X318" s="113">
        <v>0</v>
      </c>
      <c r="Y318" s="114">
        <v>21.515195369030391</v>
      </c>
      <c r="Z318" s="111">
        <f t="shared" si="24"/>
        <v>0.7858176555716353</v>
      </c>
    </row>
    <row r="319" spans="1:26" x14ac:dyDescent="0.25">
      <c r="A319" s="18" t="s">
        <v>244</v>
      </c>
      <c r="B319" s="18"/>
      <c r="C319" s="18"/>
      <c r="D319" s="18">
        <v>317</v>
      </c>
      <c r="E319" s="18">
        <v>120928</v>
      </c>
      <c r="F319" s="18">
        <v>19447</v>
      </c>
      <c r="G319" s="18">
        <v>18810</v>
      </c>
      <c r="H319" s="18">
        <v>81434</v>
      </c>
      <c r="I319" s="18">
        <v>119691</v>
      </c>
      <c r="J319" s="18">
        <v>903</v>
      </c>
      <c r="K319" s="18">
        <f t="shared" si="20"/>
        <v>120594</v>
      </c>
      <c r="L319" s="18">
        <v>334</v>
      </c>
      <c r="M319" s="19">
        <f t="shared" si="21"/>
        <v>0.67527406006932356</v>
      </c>
      <c r="N319" s="19">
        <f t="shared" si="22"/>
        <v>0.15597790934872383</v>
      </c>
      <c r="O319" s="19">
        <f t="shared" si="23"/>
        <v>0.16126009585883211</v>
      </c>
      <c r="P319" s="20">
        <v>53826</v>
      </c>
      <c r="Q319" s="20">
        <v>66119</v>
      </c>
      <c r="R319" s="20">
        <v>34347</v>
      </c>
      <c r="S319" s="20">
        <v>1604</v>
      </c>
      <c r="T319" s="20">
        <v>155896</v>
      </c>
      <c r="U319" s="23">
        <v>0.34526864063221635</v>
      </c>
      <c r="V319" s="23">
        <v>0.42412249191768869</v>
      </c>
      <c r="W319" s="23">
        <v>0.22031995689433981</v>
      </c>
      <c r="X319" s="23">
        <v>1.0288910555755119E-2</v>
      </c>
      <c r="Y319" s="35">
        <v>45.751099072790268</v>
      </c>
      <c r="Z319" s="19">
        <f t="shared" si="24"/>
        <v>0.77355416431467128</v>
      </c>
    </row>
    <row r="321" spans="1:26" x14ac:dyDescent="0.25">
      <c r="A321" s="18"/>
      <c r="B321" s="18"/>
      <c r="C321" s="18" t="s">
        <v>354</v>
      </c>
      <c r="D321" s="18"/>
      <c r="E321" s="18">
        <f>SUM(E3:E11)</f>
        <v>2020</v>
      </c>
      <c r="F321" s="18">
        <f t="shared" ref="F321:L321" si="25">SUM(F3:F11)</f>
        <v>956</v>
      </c>
      <c r="G321" s="18">
        <f t="shared" si="25"/>
        <v>911</v>
      </c>
      <c r="H321" s="18">
        <f t="shared" si="25"/>
        <v>132</v>
      </c>
      <c r="I321" s="18">
        <f t="shared" si="25"/>
        <v>1999</v>
      </c>
      <c r="J321" s="18">
        <f t="shared" si="25"/>
        <v>21</v>
      </c>
      <c r="K321" s="18">
        <f t="shared" si="25"/>
        <v>2020</v>
      </c>
      <c r="L321" s="18">
        <f t="shared" si="25"/>
        <v>0</v>
      </c>
      <c r="M321" s="19">
        <f t="shared" ref="M321" si="26">H321/K321</f>
        <v>6.5346534653465349E-2</v>
      </c>
      <c r="N321" s="19">
        <f t="shared" ref="N321" si="27">G321/K321</f>
        <v>0.450990099009901</v>
      </c>
      <c r="O321" s="19">
        <f t="shared" ref="O321" si="28">F321/K321</f>
        <v>0.47326732673267324</v>
      </c>
      <c r="P321" s="18">
        <f t="shared" ref="P321:T321" si="29">SUM(P3:P11)</f>
        <v>2160</v>
      </c>
      <c r="Q321" s="18">
        <f t="shared" si="29"/>
        <v>17</v>
      </c>
      <c r="R321" s="18">
        <f t="shared" si="29"/>
        <v>59</v>
      </c>
      <c r="S321" s="18">
        <f t="shared" si="29"/>
        <v>101</v>
      </c>
      <c r="T321" s="18">
        <f t="shared" si="29"/>
        <v>2337</v>
      </c>
      <c r="U321" s="19">
        <f>P321/T321</f>
        <v>0.92426187419768935</v>
      </c>
      <c r="V321" s="19">
        <f>Q321/T321</f>
        <v>7.2742832691484807E-3</v>
      </c>
      <c r="W321" s="19">
        <f>R321/T321</f>
        <v>2.5246041934103552E-2</v>
      </c>
      <c r="X321" s="19">
        <f>S321/T321</f>
        <v>4.3217800599058623E-2</v>
      </c>
      <c r="Y321" s="24">
        <f>AVERAGE(Y3:Y11)</f>
        <v>34.914058162495806</v>
      </c>
      <c r="Z321" s="19">
        <f t="shared" si="24"/>
        <v>0.8643560119811724</v>
      </c>
    </row>
    <row r="323" spans="1:26" ht="13.8" x14ac:dyDescent="0.3">
      <c r="B323" s="36" t="s">
        <v>355</v>
      </c>
      <c r="C323" s="36" t="s">
        <v>356</v>
      </c>
      <c r="D323" s="18"/>
      <c r="E323" s="18">
        <f>SUM(E12:E71)</f>
        <v>23757</v>
      </c>
      <c r="F323" s="18">
        <f t="shared" ref="F323:L323" si="30">SUM(F12:F71)</f>
        <v>6944</v>
      </c>
      <c r="G323" s="18">
        <f t="shared" si="30"/>
        <v>8377</v>
      </c>
      <c r="H323" s="18">
        <f t="shared" si="30"/>
        <v>8231</v>
      </c>
      <c r="I323" s="18">
        <f t="shared" si="30"/>
        <v>23552</v>
      </c>
      <c r="J323" s="18">
        <f t="shared" si="30"/>
        <v>205</v>
      </c>
      <c r="K323" s="18">
        <f t="shared" si="30"/>
        <v>23757</v>
      </c>
      <c r="L323" s="18">
        <f t="shared" si="30"/>
        <v>0</v>
      </c>
      <c r="M323" s="19">
        <f t="shared" ref="M323:M327" si="31">H323/K323</f>
        <v>0.3464663046680978</v>
      </c>
      <c r="N323" s="19">
        <f t="shared" ref="N323:N327" si="32">G323/K323</f>
        <v>0.35261186176705811</v>
      </c>
      <c r="O323" s="19">
        <f t="shared" ref="O323:O327" si="33">F323/K323</f>
        <v>0.29229279791219431</v>
      </c>
      <c r="P323" s="18">
        <f t="shared" ref="P323:T323" si="34">SUM(P12:P71)</f>
        <v>22693</v>
      </c>
      <c r="Q323" s="18">
        <f t="shared" si="34"/>
        <v>2414</v>
      </c>
      <c r="R323" s="18">
        <f t="shared" si="34"/>
        <v>4072</v>
      </c>
      <c r="S323" s="18">
        <f t="shared" si="34"/>
        <v>453</v>
      </c>
      <c r="T323" s="18">
        <f t="shared" si="34"/>
        <v>29632</v>
      </c>
      <c r="U323" s="19">
        <f t="shared" ref="U323:U327" si="35">P323/T323</f>
        <v>0.76582748380129595</v>
      </c>
      <c r="V323" s="19">
        <f t="shared" ref="V323:V327" si="36">Q323/T323</f>
        <v>8.1465982721382293E-2</v>
      </c>
      <c r="W323" s="19">
        <f t="shared" ref="W323:W327" si="37">R323/T323</f>
        <v>0.13741900647948163</v>
      </c>
      <c r="X323" s="19">
        <f t="shared" ref="X323:X327" si="38">S323/T323</f>
        <v>1.5287526997840173E-2</v>
      </c>
      <c r="Y323" s="24"/>
      <c r="Z323" s="19">
        <f t="shared" ref="Z323:Z327" si="39">K323/T323</f>
        <v>0.80173461123110146</v>
      </c>
    </row>
    <row r="324" spans="1:26" ht="13.8" x14ac:dyDescent="0.3">
      <c r="B324" s="36" t="s">
        <v>357</v>
      </c>
      <c r="C324" s="36" t="s">
        <v>358</v>
      </c>
      <c r="D324" s="18"/>
      <c r="E324" s="18">
        <f>SUM(E72:E160)</f>
        <v>33403</v>
      </c>
      <c r="F324" s="18">
        <f t="shared" ref="F324:L324" si="40">SUM(F72:F160)</f>
        <v>3718</v>
      </c>
      <c r="G324" s="18">
        <f t="shared" si="40"/>
        <v>3715</v>
      </c>
      <c r="H324" s="18">
        <f t="shared" si="40"/>
        <v>25812</v>
      </c>
      <c r="I324" s="18">
        <f t="shared" si="40"/>
        <v>33245</v>
      </c>
      <c r="J324" s="18">
        <f t="shared" si="40"/>
        <v>156</v>
      </c>
      <c r="K324" s="18">
        <f t="shared" si="40"/>
        <v>33401</v>
      </c>
      <c r="L324" s="18">
        <f t="shared" si="40"/>
        <v>2</v>
      </c>
      <c r="M324" s="19">
        <f t="shared" si="31"/>
        <v>0.77279123379539538</v>
      </c>
      <c r="N324" s="19">
        <f t="shared" si="32"/>
        <v>0.11122421484386695</v>
      </c>
      <c r="O324" s="19">
        <f t="shared" si="33"/>
        <v>0.11131403251399659</v>
      </c>
      <c r="P324" s="18">
        <f t="shared" ref="P324:T324" si="41">SUM(P72:P160)</f>
        <v>11942</v>
      </c>
      <c r="Q324" s="18">
        <f t="shared" si="41"/>
        <v>22399</v>
      </c>
      <c r="R324" s="18">
        <f t="shared" si="41"/>
        <v>9866</v>
      </c>
      <c r="S324" s="18">
        <f t="shared" si="41"/>
        <v>323</v>
      </c>
      <c r="T324" s="18">
        <f t="shared" si="41"/>
        <v>44530</v>
      </c>
      <c r="U324" s="19">
        <f t="shared" si="35"/>
        <v>0.26817875589490231</v>
      </c>
      <c r="V324" s="19">
        <f t="shared" si="36"/>
        <v>0.50300920727599374</v>
      </c>
      <c r="W324" s="19">
        <f t="shared" si="37"/>
        <v>0.22155849988771614</v>
      </c>
      <c r="X324" s="19">
        <f t="shared" si="38"/>
        <v>7.2535369413878285E-3</v>
      </c>
      <c r="Y324" s="24"/>
      <c r="Z324" s="19">
        <f t="shared" si="39"/>
        <v>0.75007859869750726</v>
      </c>
    </row>
    <row r="325" spans="1:26" ht="13.8" x14ac:dyDescent="0.3">
      <c r="B325" s="36" t="s">
        <v>359</v>
      </c>
      <c r="C325" s="36" t="s">
        <v>360</v>
      </c>
      <c r="D325" s="18"/>
      <c r="E325" s="18">
        <f>SUM(E161:E203)</f>
        <v>13399</v>
      </c>
      <c r="F325" s="18">
        <f t="shared" ref="F325:L325" si="42">SUM(F161:F203)</f>
        <v>1934</v>
      </c>
      <c r="G325" s="18">
        <f t="shared" si="42"/>
        <v>1330</v>
      </c>
      <c r="H325" s="18">
        <f t="shared" si="42"/>
        <v>9998</v>
      </c>
      <c r="I325" s="18">
        <f t="shared" si="42"/>
        <v>13262</v>
      </c>
      <c r="J325" s="18">
        <f t="shared" si="42"/>
        <v>136</v>
      </c>
      <c r="K325" s="18">
        <f t="shared" si="42"/>
        <v>13398</v>
      </c>
      <c r="L325" s="18">
        <f t="shared" si="42"/>
        <v>1</v>
      </c>
      <c r="M325" s="19">
        <f t="shared" si="31"/>
        <v>0.74623078071353932</v>
      </c>
      <c r="N325" s="19">
        <f t="shared" si="32"/>
        <v>9.9268547544409613E-2</v>
      </c>
      <c r="O325" s="19">
        <f t="shared" si="33"/>
        <v>0.14434990297059264</v>
      </c>
      <c r="P325" s="18">
        <f t="shared" ref="P325:T325" si="43">SUM(P161:P203)</f>
        <v>4736</v>
      </c>
      <c r="Q325" s="18">
        <f t="shared" si="43"/>
        <v>9179</v>
      </c>
      <c r="R325" s="18">
        <f t="shared" si="43"/>
        <v>4519</v>
      </c>
      <c r="S325" s="18">
        <f t="shared" si="43"/>
        <v>251</v>
      </c>
      <c r="T325" s="18">
        <f t="shared" si="43"/>
        <v>18685</v>
      </c>
      <c r="U325" s="19">
        <f t="shared" si="35"/>
        <v>0.25346534653465347</v>
      </c>
      <c r="V325" s="19">
        <f t="shared" si="36"/>
        <v>0.49124966550709126</v>
      </c>
      <c r="W325" s="19">
        <f t="shared" si="37"/>
        <v>0.24185175274284185</v>
      </c>
      <c r="X325" s="19">
        <f t="shared" si="38"/>
        <v>1.3433235215413434E-2</v>
      </c>
      <c r="Y325" s="24"/>
      <c r="Z325" s="19">
        <f t="shared" si="39"/>
        <v>0.71704575862991704</v>
      </c>
    </row>
    <row r="326" spans="1:26" ht="13.8" x14ac:dyDescent="0.3">
      <c r="B326" s="36" t="s">
        <v>361</v>
      </c>
      <c r="C326" s="36" t="s">
        <v>362</v>
      </c>
      <c r="D326" s="18"/>
      <c r="E326" s="18">
        <f>SUM(E210:E259)</f>
        <v>19360</v>
      </c>
      <c r="F326" s="18">
        <f t="shared" ref="F326:L326" si="44">SUM(F210:F259)</f>
        <v>1855</v>
      </c>
      <c r="G326" s="18">
        <f t="shared" si="44"/>
        <v>1255</v>
      </c>
      <c r="H326" s="18">
        <f t="shared" si="44"/>
        <v>16141</v>
      </c>
      <c r="I326" s="18">
        <f t="shared" si="44"/>
        <v>19251</v>
      </c>
      <c r="J326" s="18">
        <f t="shared" si="44"/>
        <v>104</v>
      </c>
      <c r="K326" s="18">
        <f t="shared" si="44"/>
        <v>19355</v>
      </c>
      <c r="L326" s="18">
        <f t="shared" si="44"/>
        <v>5</v>
      </c>
      <c r="M326" s="19">
        <f t="shared" si="31"/>
        <v>0.83394471712735729</v>
      </c>
      <c r="N326" s="19">
        <f t="shared" si="32"/>
        <v>6.4841126323947298E-2</v>
      </c>
      <c r="O326" s="19">
        <f t="shared" si="33"/>
        <v>9.5840867992766726E-2</v>
      </c>
      <c r="P326" s="18">
        <f t="shared" ref="P326:T326" si="45">SUM(P210:P259)</f>
        <v>3883</v>
      </c>
      <c r="Q326" s="18">
        <f t="shared" si="45"/>
        <v>14776</v>
      </c>
      <c r="R326" s="18">
        <f t="shared" si="45"/>
        <v>6880</v>
      </c>
      <c r="S326" s="18">
        <f t="shared" si="45"/>
        <v>234</v>
      </c>
      <c r="T326" s="18">
        <f t="shared" si="45"/>
        <v>25773</v>
      </c>
      <c r="U326" s="19">
        <f t="shared" si="35"/>
        <v>0.15066154502774221</v>
      </c>
      <c r="V326" s="19">
        <f t="shared" si="36"/>
        <v>0.57331315717999454</v>
      </c>
      <c r="W326" s="19">
        <f t="shared" si="37"/>
        <v>0.26694602878981882</v>
      </c>
      <c r="X326" s="19">
        <f t="shared" si="38"/>
        <v>9.0792690024444189E-3</v>
      </c>
      <c r="Y326" s="24"/>
      <c r="Z326" s="19">
        <f t="shared" si="39"/>
        <v>0.75097970744577658</v>
      </c>
    </row>
    <row r="327" spans="1:26" ht="13.8" x14ac:dyDescent="0.3">
      <c r="B327" s="36" t="s">
        <v>363</v>
      </c>
      <c r="C327" s="36" t="s">
        <v>364</v>
      </c>
      <c r="D327" s="18"/>
      <c r="E327" s="18">
        <f>SUM(E260:E318)</f>
        <v>24499</v>
      </c>
      <c r="F327" s="18">
        <f t="shared" ref="F327:L327" si="46">SUM(F260:F318)</f>
        <v>3264</v>
      </c>
      <c r="G327" s="18">
        <f t="shared" si="46"/>
        <v>2780</v>
      </c>
      <c r="H327" s="18">
        <f t="shared" si="46"/>
        <v>18252</v>
      </c>
      <c r="I327" s="18">
        <f t="shared" si="46"/>
        <v>24296</v>
      </c>
      <c r="J327" s="18">
        <f t="shared" si="46"/>
        <v>202</v>
      </c>
      <c r="K327" s="18">
        <f t="shared" si="46"/>
        <v>24498</v>
      </c>
      <c r="L327" s="18">
        <f t="shared" si="46"/>
        <v>1</v>
      </c>
      <c r="M327" s="19">
        <f t="shared" si="31"/>
        <v>0.74504041146216016</v>
      </c>
      <c r="N327" s="19">
        <f t="shared" si="32"/>
        <v>0.11347865131847498</v>
      </c>
      <c r="O327" s="19">
        <f t="shared" si="33"/>
        <v>0.13323536615233897</v>
      </c>
      <c r="P327" s="18">
        <f t="shared" ref="P327:T327" si="47">SUM(P260:P318)</f>
        <v>8059</v>
      </c>
      <c r="Q327" s="18">
        <f t="shared" si="47"/>
        <v>15110</v>
      </c>
      <c r="R327" s="18">
        <f t="shared" si="47"/>
        <v>8498</v>
      </c>
      <c r="S327" s="18">
        <f t="shared" si="47"/>
        <v>234</v>
      </c>
      <c r="T327" s="18">
        <f t="shared" si="47"/>
        <v>31901</v>
      </c>
      <c r="U327" s="19">
        <f t="shared" si="35"/>
        <v>0.2526253095514247</v>
      </c>
      <c r="V327" s="19">
        <f t="shared" si="36"/>
        <v>0.4736528635465973</v>
      </c>
      <c r="W327" s="19">
        <f t="shared" si="37"/>
        <v>0.26638663364784804</v>
      </c>
      <c r="X327" s="19">
        <f t="shared" si="38"/>
        <v>7.3351932541299647E-3</v>
      </c>
      <c r="Y327" s="24"/>
      <c r="Z327" s="19">
        <f t="shared" si="39"/>
        <v>0.76793830914391403</v>
      </c>
    </row>
  </sheetData>
  <autoFilter ref="A1:Z319" xr:uid="{46AF0211-9C2C-4D96-B1ED-A7E890569B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6CA1-72BE-4260-8B88-E6CE18F933A5}">
  <dimension ref="A1:AB90"/>
  <sheetViews>
    <sheetView workbookViewId="0">
      <pane xSplit="4" ySplit="1" topLeftCell="K35" activePane="bottomRight" state="frozen"/>
      <selection pane="topRight" activeCell="E1" sqref="E1"/>
      <selection pane="bottomLeft" activeCell="A2" sqref="A2"/>
      <selection pane="bottomRight" activeCell="AB48" sqref="AB48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18" t="s">
        <v>353</v>
      </c>
      <c r="B1" s="18" t="s">
        <v>246</v>
      </c>
      <c r="C1" s="18" t="s">
        <v>247</v>
      </c>
      <c r="D1" s="18" t="s">
        <v>248</v>
      </c>
      <c r="E1" s="18" t="s">
        <v>342</v>
      </c>
      <c r="F1" s="18" t="s">
        <v>343</v>
      </c>
      <c r="G1" s="18" t="s">
        <v>344</v>
      </c>
      <c r="H1" s="18" t="s">
        <v>345</v>
      </c>
      <c r="I1" s="18" t="s">
        <v>346</v>
      </c>
    </row>
    <row r="2" spans="1:28" x14ac:dyDescent="0.25">
      <c r="A2" s="101">
        <v>0.80789473684210522</v>
      </c>
      <c r="B2" s="101">
        <v>0.77850162866449513</v>
      </c>
      <c r="C2" s="101">
        <v>4.5602605863192182E-2</v>
      </c>
      <c r="D2" s="101">
        <v>0.16612377850162866</v>
      </c>
      <c r="E2" s="103">
        <v>0.14736842105263157</v>
      </c>
      <c r="F2" s="103">
        <v>0.65789473684210531</v>
      </c>
      <c r="G2" s="103">
        <v>0.18157894736842106</v>
      </c>
      <c r="H2" s="103">
        <v>1.3157894736842105E-2</v>
      </c>
      <c r="I2" s="104">
        <v>63.618421052631582</v>
      </c>
      <c r="K2" t="s">
        <v>365</v>
      </c>
      <c r="T2" t="s">
        <v>368</v>
      </c>
    </row>
    <row r="3" spans="1:28" x14ac:dyDescent="0.25">
      <c r="A3" s="101">
        <v>0.79226361031518622</v>
      </c>
      <c r="B3" s="101">
        <v>0.77938517179023503</v>
      </c>
      <c r="C3" s="101">
        <v>7.7757685352622063E-2</v>
      </c>
      <c r="D3" s="101">
        <v>0.13924050632911392</v>
      </c>
      <c r="E3" s="103">
        <v>0.21203438395415472</v>
      </c>
      <c r="F3" s="103">
        <v>0.57736389684813749</v>
      </c>
      <c r="G3" s="103">
        <v>0.18481375358166188</v>
      </c>
      <c r="H3" s="103">
        <v>2.5787965616045846E-2</v>
      </c>
      <c r="I3" s="104">
        <v>47.879656160458453</v>
      </c>
    </row>
    <row r="4" spans="1:28" x14ac:dyDescent="0.25">
      <c r="A4" s="101">
        <v>0.77077363896848139</v>
      </c>
      <c r="B4" s="101">
        <v>0.77695167286245348</v>
      </c>
      <c r="C4" s="101">
        <v>0.12267657992565056</v>
      </c>
      <c r="D4" s="101">
        <v>9.4795539033457249E-2</v>
      </c>
      <c r="E4" s="103">
        <v>0.23065902578796563</v>
      </c>
      <c r="F4" s="103">
        <v>0.57879656160458448</v>
      </c>
      <c r="G4" s="103">
        <v>0.166189111747851</v>
      </c>
      <c r="H4" s="103">
        <v>2.4355300859598854E-2</v>
      </c>
      <c r="I4" s="104">
        <v>35.815186246418335</v>
      </c>
    </row>
    <row r="5" spans="1:28" x14ac:dyDescent="0.25">
      <c r="A5" s="101">
        <v>0.73209169054441259</v>
      </c>
      <c r="B5" s="101">
        <v>0.84344422700587085</v>
      </c>
      <c r="C5" s="101">
        <v>6.8493150684931503E-2</v>
      </c>
      <c r="D5" s="101">
        <v>8.4148727984344418E-2</v>
      </c>
      <c r="E5" s="103">
        <v>0.20630372492836677</v>
      </c>
      <c r="F5" s="103">
        <v>0.56303724928366761</v>
      </c>
      <c r="G5" s="103">
        <v>0.22779369627507162</v>
      </c>
      <c r="H5" s="103">
        <v>2.8653295128939827E-3</v>
      </c>
      <c r="I5" s="104">
        <v>27.0243553008596</v>
      </c>
    </row>
    <row r="6" spans="1:28" x14ac:dyDescent="0.25">
      <c r="A6" s="101">
        <v>0.81948424068767911</v>
      </c>
      <c r="B6" s="101">
        <v>0.78321678321678323</v>
      </c>
      <c r="C6" s="101">
        <v>0.12587412587412589</v>
      </c>
      <c r="D6" s="101">
        <v>8.9160839160839167E-2</v>
      </c>
      <c r="E6" s="103">
        <v>0.27650429799426934</v>
      </c>
      <c r="F6" s="103">
        <v>0.52435530085959881</v>
      </c>
      <c r="G6" s="103">
        <v>0.19484240687679083</v>
      </c>
      <c r="H6" s="103">
        <v>4.2979942693409743E-3</v>
      </c>
      <c r="I6" s="104">
        <v>20.709169054441261</v>
      </c>
    </row>
    <row r="7" spans="1:28" x14ac:dyDescent="0.25">
      <c r="A7" s="101">
        <v>0.64324324324324322</v>
      </c>
      <c r="B7" s="101">
        <v>0.81512605042016806</v>
      </c>
      <c r="C7" s="101">
        <v>3.7815126050420166E-2</v>
      </c>
      <c r="D7" s="101">
        <v>0.12605042016806722</v>
      </c>
      <c r="E7" s="103">
        <v>0.14054054054054055</v>
      </c>
      <c r="F7" s="103">
        <v>0.54594594594594592</v>
      </c>
      <c r="G7" s="103">
        <v>0.3</v>
      </c>
      <c r="H7" s="103">
        <v>1.3513513513513514E-2</v>
      </c>
      <c r="I7" s="104">
        <v>71.816216216216219</v>
      </c>
      <c r="AB7" s="28"/>
    </row>
    <row r="8" spans="1:28" x14ac:dyDescent="0.25">
      <c r="A8" s="101">
        <v>0.81351351351351353</v>
      </c>
      <c r="B8" s="101">
        <v>0.75083056478405319</v>
      </c>
      <c r="C8" s="101">
        <v>5.9800664451827246E-2</v>
      </c>
      <c r="D8" s="101">
        <v>0.17940199335548174</v>
      </c>
      <c r="E8" s="103">
        <v>0.22972972972972974</v>
      </c>
      <c r="F8" s="103">
        <v>0.48648648648648651</v>
      </c>
      <c r="G8" s="103">
        <v>0.27297297297297296</v>
      </c>
      <c r="H8" s="103">
        <v>1.0810810810810811E-2</v>
      </c>
      <c r="I8" s="104">
        <v>67.867567567567562</v>
      </c>
      <c r="S8" s="28">
        <f>0.1391+0.7125</f>
        <v>0.85160000000000002</v>
      </c>
      <c r="AB8" s="28">
        <f>-0.6453+0.9411</f>
        <v>0.29580000000000006</v>
      </c>
    </row>
    <row r="9" spans="1:28" x14ac:dyDescent="0.25">
      <c r="A9" s="101">
        <v>0.78648648648648645</v>
      </c>
      <c r="B9" s="101">
        <v>0.82130584192439859</v>
      </c>
      <c r="C9" s="101">
        <v>5.1546391752577317E-2</v>
      </c>
      <c r="D9" s="101">
        <v>0.12371134020618557</v>
      </c>
      <c r="E9" s="103">
        <v>0.16756756756756758</v>
      </c>
      <c r="F9" s="103">
        <v>0.52972972972972976</v>
      </c>
      <c r="G9" s="103">
        <v>0.28918918918918918</v>
      </c>
      <c r="H9" s="103">
        <v>1.3513513513513514E-2</v>
      </c>
      <c r="I9" s="104">
        <v>61.629729729729732</v>
      </c>
    </row>
    <row r="10" spans="1:28" x14ac:dyDescent="0.25">
      <c r="A10" s="101">
        <v>0.83751846381093054</v>
      </c>
      <c r="B10" s="101">
        <v>0.84832451499118167</v>
      </c>
      <c r="C10" s="101">
        <v>6.8783068783068779E-2</v>
      </c>
      <c r="D10" s="101">
        <v>7.7601410934744264E-2</v>
      </c>
      <c r="E10" s="103">
        <v>0.16248153618906944</v>
      </c>
      <c r="F10" s="103">
        <v>0.52584933530280653</v>
      </c>
      <c r="G10" s="103">
        <v>0.28655834564254062</v>
      </c>
      <c r="H10" s="103">
        <v>2.5110782865583457E-2</v>
      </c>
      <c r="I10" s="104">
        <v>53.964549483013293</v>
      </c>
    </row>
    <row r="11" spans="1:28" x14ac:dyDescent="0.25">
      <c r="A11" s="101">
        <v>0.76809453471196454</v>
      </c>
      <c r="B11" s="101">
        <v>0.77884615384615385</v>
      </c>
      <c r="C11" s="101">
        <v>0.11153846153846154</v>
      </c>
      <c r="D11" s="101">
        <v>0.10576923076923077</v>
      </c>
      <c r="E11" s="103">
        <v>0.22895125553914328</v>
      </c>
      <c r="F11" s="103">
        <v>0.48744460856720828</v>
      </c>
      <c r="G11" s="103">
        <v>0.28064992614475626</v>
      </c>
      <c r="H11" s="103">
        <v>2.9542097488921715E-3</v>
      </c>
      <c r="I11" s="104">
        <v>44.635155096011815</v>
      </c>
    </row>
    <row r="12" spans="1:28" x14ac:dyDescent="0.25">
      <c r="A12" s="101">
        <v>0.75036927621861149</v>
      </c>
      <c r="B12" s="101">
        <v>0.73425196850393704</v>
      </c>
      <c r="C12" s="101">
        <v>0.14173228346456693</v>
      </c>
      <c r="D12" s="101">
        <v>0.11614173228346457</v>
      </c>
      <c r="E12" s="103">
        <v>0.30576070901033975</v>
      </c>
      <c r="F12" s="103">
        <v>0.38700147710487443</v>
      </c>
      <c r="G12" s="103">
        <v>0.30280649926144754</v>
      </c>
      <c r="H12" s="103">
        <v>4.4313146233382573E-3</v>
      </c>
      <c r="I12" s="104">
        <v>36.87592319054653</v>
      </c>
    </row>
    <row r="13" spans="1:28" x14ac:dyDescent="0.25">
      <c r="A13" s="101">
        <v>0.71344165435745943</v>
      </c>
      <c r="B13" s="101">
        <v>0.76604554865424435</v>
      </c>
      <c r="C13" s="101">
        <v>0.11594202898550725</v>
      </c>
      <c r="D13" s="101">
        <v>0.11594202898550725</v>
      </c>
      <c r="E13" s="103">
        <v>0.30280649926144754</v>
      </c>
      <c r="F13" s="103">
        <v>0.44017725258493351</v>
      </c>
      <c r="G13" s="103">
        <v>0.24963072378138848</v>
      </c>
      <c r="H13" s="103">
        <v>7.385524372230428E-3</v>
      </c>
      <c r="I13" s="104">
        <v>30.508124076809455</v>
      </c>
    </row>
    <row r="14" spans="1:28" x14ac:dyDescent="0.25">
      <c r="A14" s="101">
        <v>0.76661742983751846</v>
      </c>
      <c r="B14" s="101">
        <v>0.78612716763005785</v>
      </c>
      <c r="C14" s="101">
        <v>0.10211946050096339</v>
      </c>
      <c r="D14" s="101">
        <v>0.10789980732177264</v>
      </c>
      <c r="E14" s="103">
        <v>0.3087149187592319</v>
      </c>
      <c r="F14" s="103">
        <v>0.4342688330871492</v>
      </c>
      <c r="G14" s="103">
        <v>0.25553914327917282</v>
      </c>
      <c r="H14" s="103">
        <v>1.4771048744460858E-3</v>
      </c>
      <c r="I14" s="104">
        <v>25.3205317577548</v>
      </c>
    </row>
    <row r="15" spans="1:28" x14ac:dyDescent="0.25">
      <c r="A15" s="101">
        <v>0.80206794682422455</v>
      </c>
      <c r="B15" s="101">
        <v>0.79926335174953955</v>
      </c>
      <c r="C15" s="101">
        <v>0.1270718232044199</v>
      </c>
      <c r="D15" s="101">
        <v>7.3664825046040522E-2</v>
      </c>
      <c r="E15" s="103">
        <v>0.32791728212703103</v>
      </c>
      <c r="F15" s="103">
        <v>0.41358936484490399</v>
      </c>
      <c r="G15" s="103">
        <v>0.25849335302806498</v>
      </c>
      <c r="H15" s="103">
        <v>0</v>
      </c>
      <c r="I15" s="104">
        <v>20.39290989660266</v>
      </c>
    </row>
    <row r="16" spans="1:28" x14ac:dyDescent="0.25">
      <c r="A16" s="101">
        <v>0.68421052631578949</v>
      </c>
      <c r="B16" s="101">
        <v>0.84615384615384615</v>
      </c>
      <c r="C16" s="101">
        <v>3.4615384615384617E-2</v>
      </c>
      <c r="D16" s="101">
        <v>0.1076923076923077</v>
      </c>
      <c r="E16" s="103">
        <v>8.6842105263157901E-2</v>
      </c>
      <c r="F16" s="103">
        <v>0.59736842105263155</v>
      </c>
      <c r="G16" s="103">
        <v>0.3</v>
      </c>
      <c r="H16" s="103">
        <v>1.5789473684210527E-2</v>
      </c>
      <c r="I16" s="104">
        <v>71.255263157894731</v>
      </c>
    </row>
    <row r="17" spans="1:28" x14ac:dyDescent="0.25">
      <c r="A17" s="101">
        <v>0.83421052631578951</v>
      </c>
      <c r="B17" s="101">
        <v>0.80126182965299686</v>
      </c>
      <c r="C17" s="101">
        <v>2.5236593059936908E-2</v>
      </c>
      <c r="D17" s="101">
        <v>0.16403785488958991</v>
      </c>
      <c r="E17" s="103">
        <v>0.19473684210526315</v>
      </c>
      <c r="F17" s="103">
        <v>0.52105263157894732</v>
      </c>
      <c r="G17" s="103">
        <v>0.27894736842105261</v>
      </c>
      <c r="H17" s="103">
        <v>5.263157894736842E-3</v>
      </c>
      <c r="I17" s="104">
        <v>66.323684210526309</v>
      </c>
    </row>
    <row r="18" spans="1:28" x14ac:dyDescent="0.25">
      <c r="A18" s="101">
        <v>0.83157894736842108</v>
      </c>
      <c r="B18" s="101">
        <v>0.88924050632911389</v>
      </c>
      <c r="C18" s="101">
        <v>2.2151898734177215E-2</v>
      </c>
      <c r="D18" s="101">
        <v>6.0126582278481014E-2</v>
      </c>
      <c r="E18" s="103">
        <v>9.2105263157894732E-2</v>
      </c>
      <c r="F18" s="103">
        <v>0.59736842105263155</v>
      </c>
      <c r="G18" s="103">
        <v>0.29736842105263156</v>
      </c>
      <c r="H18" s="103">
        <v>1.3157894736842105E-2</v>
      </c>
      <c r="I18" s="104">
        <v>59.734210526315792</v>
      </c>
    </row>
    <row r="19" spans="1:28" x14ac:dyDescent="0.25">
      <c r="A19" s="101">
        <v>0.84179970972423801</v>
      </c>
      <c r="B19" s="101">
        <v>0.88275862068965516</v>
      </c>
      <c r="C19" s="101">
        <v>4.3103448275862072E-2</v>
      </c>
      <c r="D19" s="101">
        <v>6.3793103448275865E-2</v>
      </c>
      <c r="E19" s="103">
        <v>8.1277213352685049E-2</v>
      </c>
      <c r="F19" s="103">
        <v>0.65312046444121918</v>
      </c>
      <c r="G19" s="103">
        <v>0.26415094339622641</v>
      </c>
      <c r="H19" s="103">
        <v>1.4513788098693759E-3</v>
      </c>
      <c r="I19" s="104">
        <v>52.403483309143688</v>
      </c>
    </row>
    <row r="20" spans="1:28" x14ac:dyDescent="0.25">
      <c r="A20" s="101">
        <v>0.7866473149492017</v>
      </c>
      <c r="B20" s="101">
        <v>0.86531365313653141</v>
      </c>
      <c r="C20" s="101">
        <v>5.719557195571956E-2</v>
      </c>
      <c r="D20" s="101">
        <v>7.5645756457564578E-2</v>
      </c>
      <c r="E20" s="103">
        <v>0.13062409288824384</v>
      </c>
      <c r="F20" s="103">
        <v>0.61538461538461542</v>
      </c>
      <c r="G20" s="103">
        <v>0.24963715529753266</v>
      </c>
      <c r="H20" s="103">
        <v>4.3541364296081275E-3</v>
      </c>
      <c r="I20" s="104">
        <v>44.338171262699568</v>
      </c>
    </row>
    <row r="21" spans="1:28" x14ac:dyDescent="0.25">
      <c r="A21" s="101">
        <v>0.76811594202898548</v>
      </c>
      <c r="B21" s="101">
        <v>0.84716981132075475</v>
      </c>
      <c r="C21" s="101">
        <v>7.7358490566037733E-2</v>
      </c>
      <c r="D21" s="101">
        <v>7.5471698113207544E-2</v>
      </c>
      <c r="E21" s="103">
        <v>0.17826086956521739</v>
      </c>
      <c r="F21" s="103">
        <v>0.55797101449275366</v>
      </c>
      <c r="G21" s="103">
        <v>0.2608695652173913</v>
      </c>
      <c r="H21" s="103">
        <v>2.8985507246376812E-3</v>
      </c>
      <c r="I21" s="104">
        <v>37.198550724637684</v>
      </c>
    </row>
    <row r="22" spans="1:28" x14ac:dyDescent="0.25">
      <c r="A22" s="101">
        <v>0.75652173913043474</v>
      </c>
      <c r="B22" s="101">
        <v>0.84291187739463602</v>
      </c>
      <c r="C22" s="101">
        <v>8.0459770114942528E-2</v>
      </c>
      <c r="D22" s="101">
        <v>7.662835249042145E-2</v>
      </c>
      <c r="E22" s="103">
        <v>0.19565217391304349</v>
      </c>
      <c r="F22" s="103">
        <v>0.5130434782608696</v>
      </c>
      <c r="G22" s="103">
        <v>0.28695652173913044</v>
      </c>
      <c r="H22" s="103">
        <v>4.3478260869565218E-3</v>
      </c>
      <c r="I22" s="104">
        <v>29.93768115942029</v>
      </c>
      <c r="K22" t="s">
        <v>366</v>
      </c>
      <c r="T22" t="s">
        <v>369</v>
      </c>
    </row>
    <row r="23" spans="1:28" x14ac:dyDescent="0.25">
      <c r="A23" s="101">
        <v>0.78260869565217395</v>
      </c>
      <c r="B23" s="101">
        <v>0.84629629629629632</v>
      </c>
      <c r="C23" s="101">
        <v>7.407407407407407E-2</v>
      </c>
      <c r="D23" s="101">
        <v>7.9629629629629634E-2</v>
      </c>
      <c r="E23" s="103">
        <v>0.18840579710144928</v>
      </c>
      <c r="F23" s="103">
        <v>0.4826086956521739</v>
      </c>
      <c r="G23" s="103">
        <v>0.32898550724637682</v>
      </c>
      <c r="H23" s="103">
        <v>0</v>
      </c>
      <c r="I23" s="104">
        <v>22.078260869565216</v>
      </c>
    </row>
    <row r="24" spans="1:28" x14ac:dyDescent="0.25">
      <c r="A24" s="101">
        <v>0.77368421052631575</v>
      </c>
      <c r="B24" s="101">
        <v>0.73809523809523814</v>
      </c>
      <c r="C24" s="101">
        <v>5.4421768707482991E-2</v>
      </c>
      <c r="D24" s="101">
        <v>0.18027210884353742</v>
      </c>
      <c r="E24" s="103">
        <v>0.24210526315789474</v>
      </c>
      <c r="F24" s="103">
        <v>0.36842105263157893</v>
      </c>
      <c r="G24" s="103">
        <v>0.38421052631578945</v>
      </c>
      <c r="H24" s="103">
        <v>5.263157894736842E-3</v>
      </c>
      <c r="I24" s="104">
        <v>59.952631578947368</v>
      </c>
    </row>
    <row r="25" spans="1:28" x14ac:dyDescent="0.25">
      <c r="A25" s="101">
        <v>0.7594254937163375</v>
      </c>
      <c r="B25" s="101">
        <v>0.70685579196217496</v>
      </c>
      <c r="C25" s="101">
        <v>0.12056737588652482</v>
      </c>
      <c r="D25" s="101">
        <v>0.16784869976359337</v>
      </c>
      <c r="E25" s="103">
        <v>0.34111310592459604</v>
      </c>
      <c r="F25" s="103">
        <v>0.31777378815080792</v>
      </c>
      <c r="G25" s="103">
        <v>0.3357271095152603</v>
      </c>
      <c r="H25" s="103">
        <v>5.3859964093357273E-3</v>
      </c>
      <c r="I25" s="104">
        <v>40.305206463195688</v>
      </c>
    </row>
    <row r="26" spans="1:28" x14ac:dyDescent="0.25">
      <c r="A26" s="101">
        <v>0.77419354838709675</v>
      </c>
      <c r="B26" s="101">
        <v>0.8032407407407407</v>
      </c>
      <c r="C26" s="101">
        <v>0.10879629629629629</v>
      </c>
      <c r="D26" s="101">
        <v>8.5648148148148154E-2</v>
      </c>
      <c r="E26" s="103">
        <v>0.28494623655913981</v>
      </c>
      <c r="F26" s="103">
        <v>0.27777777777777779</v>
      </c>
      <c r="G26" s="103">
        <v>0.43548387096774194</v>
      </c>
      <c r="H26" s="103">
        <v>1.7921146953405018E-3</v>
      </c>
      <c r="I26" s="104">
        <v>25.707885304659499</v>
      </c>
    </row>
    <row r="27" spans="1:28" x14ac:dyDescent="0.25">
      <c r="A27" s="101">
        <v>0.67297297297297298</v>
      </c>
      <c r="B27" s="101">
        <v>0.91164658634538154</v>
      </c>
      <c r="C27" s="101">
        <v>2.4096385542168676E-2</v>
      </c>
      <c r="D27" s="101">
        <v>4.4176706827309238E-2</v>
      </c>
      <c r="E27" s="103">
        <v>1.6216216216216217E-2</v>
      </c>
      <c r="F27" s="103">
        <v>0.54594594594594592</v>
      </c>
      <c r="G27" s="103">
        <v>0.42972972972972973</v>
      </c>
      <c r="H27" s="103">
        <v>8.1081081081081086E-3</v>
      </c>
      <c r="I27" s="104">
        <v>70.64594594594594</v>
      </c>
      <c r="S27" s="28">
        <f>-0.1444+0.8229</f>
        <v>0.67849999999999999</v>
      </c>
    </row>
    <row r="28" spans="1:28" x14ac:dyDescent="0.25">
      <c r="A28" s="101">
        <v>0.75945945945945947</v>
      </c>
      <c r="B28" s="101">
        <v>0.90391459074733094</v>
      </c>
      <c r="C28" s="101">
        <v>2.491103202846975E-2</v>
      </c>
      <c r="D28" s="101">
        <v>6.4056939501779361E-2</v>
      </c>
      <c r="E28" s="103">
        <v>2.1621621621621623E-2</v>
      </c>
      <c r="F28" s="103">
        <v>0.69459459459459461</v>
      </c>
      <c r="G28" s="103">
        <v>0.26756756756756755</v>
      </c>
      <c r="H28" s="103">
        <v>1.6216216216216217E-2</v>
      </c>
      <c r="I28" s="104">
        <v>56.967567567567571</v>
      </c>
    </row>
    <row r="29" spans="1:28" x14ac:dyDescent="0.25">
      <c r="A29" s="101">
        <v>0.71189024390243905</v>
      </c>
      <c r="B29" s="101">
        <v>0.94646680942184158</v>
      </c>
      <c r="C29" s="101">
        <v>1.7130620985010708E-2</v>
      </c>
      <c r="D29" s="101">
        <v>3.4261241970021415E-2</v>
      </c>
      <c r="E29" s="103">
        <v>3.6585365853658534E-2</v>
      </c>
      <c r="F29" s="103">
        <v>0.65548780487804881</v>
      </c>
      <c r="G29" s="103">
        <v>0.30182926829268292</v>
      </c>
      <c r="H29" s="103">
        <v>6.0975609756097563E-3</v>
      </c>
      <c r="I29" s="104">
        <v>41.269817073170735</v>
      </c>
      <c r="AB29" s="28">
        <f>0.56+0.486</f>
        <v>1.046</v>
      </c>
    </row>
    <row r="30" spans="1:28" x14ac:dyDescent="0.25">
      <c r="A30" s="101">
        <v>0.75038051750380519</v>
      </c>
      <c r="B30" s="101">
        <v>0.9513184584178499</v>
      </c>
      <c r="C30" s="101">
        <v>1.6227180527383367E-2</v>
      </c>
      <c r="D30" s="101">
        <v>3.2454361054766734E-2</v>
      </c>
      <c r="E30" s="103">
        <v>5.4794520547945202E-2</v>
      </c>
      <c r="F30" s="103">
        <v>0.61796042617960423</v>
      </c>
      <c r="G30" s="103">
        <v>0.32267884322678841</v>
      </c>
      <c r="H30" s="103">
        <v>4.5662100456621002E-3</v>
      </c>
      <c r="I30" s="104">
        <v>25.496194824961947</v>
      </c>
    </row>
    <row r="31" spans="1:28" x14ac:dyDescent="0.25">
      <c r="A31" s="101">
        <v>0.61596958174904948</v>
      </c>
      <c r="B31" s="101">
        <v>0.88888888888888884</v>
      </c>
      <c r="C31" s="101">
        <v>3.7037037037037035E-2</v>
      </c>
      <c r="D31" s="101">
        <v>6.1728395061728392E-2</v>
      </c>
      <c r="E31" s="103">
        <v>5.3231939163498096E-2</v>
      </c>
      <c r="F31" s="103">
        <v>0.7756653992395437</v>
      </c>
      <c r="G31" s="103">
        <v>0.16730038022813687</v>
      </c>
      <c r="H31" s="103">
        <v>3.8022813688212928E-3</v>
      </c>
      <c r="I31" s="104">
        <v>60.326996197718628</v>
      </c>
    </row>
    <row r="32" spans="1:28" x14ac:dyDescent="0.25">
      <c r="A32" s="101">
        <v>0.49666666666666665</v>
      </c>
      <c r="B32" s="101">
        <v>0.89932885906040272</v>
      </c>
      <c r="C32" s="101">
        <v>1.3422818791946308E-2</v>
      </c>
      <c r="D32" s="101">
        <v>8.7248322147651006E-2</v>
      </c>
      <c r="E32" s="103">
        <v>3.3333333333333335E-3</v>
      </c>
      <c r="F32" s="103">
        <v>0.93666666666666665</v>
      </c>
      <c r="G32" s="103">
        <v>0.06</v>
      </c>
      <c r="H32" s="103">
        <v>0</v>
      </c>
      <c r="I32" s="104">
        <v>82.336666666666673</v>
      </c>
    </row>
    <row r="33" spans="1:28" x14ac:dyDescent="0.25">
      <c r="A33" s="101">
        <v>0.6875</v>
      </c>
      <c r="B33" s="101">
        <v>0.8954545454545455</v>
      </c>
      <c r="C33" s="101">
        <v>2.2727272727272728E-2</v>
      </c>
      <c r="D33" s="101">
        <v>7.2727272727272724E-2</v>
      </c>
      <c r="E33" s="103">
        <v>1.5625E-2</v>
      </c>
      <c r="F33" s="103">
        <v>0.96250000000000002</v>
      </c>
      <c r="G33" s="103">
        <v>1.8749999999999999E-2</v>
      </c>
      <c r="H33" s="103">
        <v>3.1250000000000002E-3</v>
      </c>
      <c r="I33" s="104">
        <v>68.396874999999994</v>
      </c>
    </row>
    <row r="34" spans="1:28" x14ac:dyDescent="0.25">
      <c r="A34" s="101">
        <v>0.71884057971014492</v>
      </c>
      <c r="B34" s="101">
        <v>0.967741935483871</v>
      </c>
      <c r="C34" s="101">
        <v>4.0322580645161289E-3</v>
      </c>
      <c r="D34" s="101">
        <v>2.4193548387096774E-2</v>
      </c>
      <c r="E34" s="103">
        <v>1.1594202898550725E-2</v>
      </c>
      <c r="F34" s="103">
        <v>0.95072463768115945</v>
      </c>
      <c r="G34" s="103">
        <v>3.7681159420289857E-2</v>
      </c>
      <c r="H34" s="103">
        <v>0</v>
      </c>
      <c r="I34" s="104">
        <v>49.455072463768118</v>
      </c>
    </row>
    <row r="35" spans="1:28" x14ac:dyDescent="0.25">
      <c r="A35" s="101">
        <v>0.52666666666666662</v>
      </c>
      <c r="B35" s="101">
        <v>0.91139240506329111</v>
      </c>
      <c r="C35" s="101">
        <v>1.8987341772151899E-2</v>
      </c>
      <c r="D35" s="101">
        <v>6.9620253164556958E-2</v>
      </c>
      <c r="E35" s="103">
        <v>1.3333333333333334E-2</v>
      </c>
      <c r="F35" s="103">
        <v>0.85</v>
      </c>
      <c r="G35" s="103">
        <v>0.13333333333333333</v>
      </c>
      <c r="H35" s="103">
        <v>3.3333333333333335E-3</v>
      </c>
      <c r="I35" s="104">
        <v>82.126666666666665</v>
      </c>
    </row>
    <row r="36" spans="1:28" x14ac:dyDescent="0.25">
      <c r="A36" s="101">
        <v>0.78309859154929573</v>
      </c>
      <c r="B36" s="101">
        <v>0.9532374100719424</v>
      </c>
      <c r="C36" s="101">
        <v>1.0791366906474821E-2</v>
      </c>
      <c r="D36" s="101">
        <v>2.8776978417266189E-2</v>
      </c>
      <c r="E36" s="103">
        <v>2.8169014084507044E-3</v>
      </c>
      <c r="F36" s="103">
        <v>0.95211267605633798</v>
      </c>
      <c r="G36" s="103">
        <v>4.507042253521127E-2</v>
      </c>
      <c r="H36" s="103">
        <v>0</v>
      </c>
      <c r="I36" s="104">
        <v>67.842253521126764</v>
      </c>
    </row>
    <row r="37" spans="1:28" x14ac:dyDescent="0.25">
      <c r="A37" s="101">
        <v>0.75774647887323943</v>
      </c>
      <c r="B37" s="101">
        <v>0.94052044609665431</v>
      </c>
      <c r="C37" s="101">
        <v>1.4869888475836431E-2</v>
      </c>
      <c r="D37" s="101">
        <v>4.4609665427509292E-2</v>
      </c>
      <c r="E37" s="103">
        <v>2.5352112676056339E-2</v>
      </c>
      <c r="F37" s="103">
        <v>0.86760563380281686</v>
      </c>
      <c r="G37" s="103">
        <v>0.10704225352112676</v>
      </c>
      <c r="H37" s="103">
        <v>0</v>
      </c>
      <c r="I37" s="104">
        <v>50.08450704225352</v>
      </c>
    </row>
    <row r="38" spans="1:28" x14ac:dyDescent="0.25">
      <c r="A38" s="101">
        <v>0.64500000000000002</v>
      </c>
      <c r="B38" s="101">
        <v>0.87596899224806202</v>
      </c>
      <c r="C38" s="101">
        <v>1.5503875968992248E-2</v>
      </c>
      <c r="D38" s="101">
        <v>0.10077519379844961</v>
      </c>
      <c r="E38" s="103">
        <v>0.04</v>
      </c>
      <c r="F38" s="103">
        <v>0.94</v>
      </c>
      <c r="G38" s="103">
        <v>0.02</v>
      </c>
      <c r="H38" s="103">
        <v>0</v>
      </c>
      <c r="I38" s="104">
        <v>77.314999999999998</v>
      </c>
    </row>
    <row r="39" spans="1:28" x14ac:dyDescent="0.25">
      <c r="A39" s="101">
        <v>0.7857142857142857</v>
      </c>
      <c r="B39" s="101">
        <v>0.95151515151515154</v>
      </c>
      <c r="C39" s="101">
        <v>1.2121212121212121E-2</v>
      </c>
      <c r="D39" s="101">
        <v>3.6363636363636362E-2</v>
      </c>
      <c r="E39" s="103">
        <v>2.3809523809523808E-2</v>
      </c>
      <c r="F39" s="103">
        <v>0.92380952380952386</v>
      </c>
      <c r="G39" s="103">
        <v>5.2380952380952382E-2</v>
      </c>
      <c r="H39" s="103">
        <v>0</v>
      </c>
      <c r="I39" s="104">
        <v>54.976190476190474</v>
      </c>
    </row>
    <row r="40" spans="1:28" x14ac:dyDescent="0.25">
      <c r="A40" s="101">
        <v>0.59390862944162437</v>
      </c>
      <c r="B40" s="101">
        <v>0.82905982905982911</v>
      </c>
      <c r="C40" s="101">
        <v>1.7094017094017096E-2</v>
      </c>
      <c r="D40" s="101">
        <v>0.15384615384615385</v>
      </c>
      <c r="E40" s="103">
        <v>3.0456852791878174E-2</v>
      </c>
      <c r="F40" s="103">
        <v>0.71573604060913709</v>
      </c>
      <c r="G40" s="103">
        <v>0.24365482233502539</v>
      </c>
      <c r="H40" s="103">
        <v>1.015228426395939E-2</v>
      </c>
      <c r="I40" s="104">
        <v>74.045685279187822</v>
      </c>
    </row>
    <row r="41" spans="1:28" x14ac:dyDescent="0.25">
      <c r="A41" s="101">
        <v>0.73096446700507611</v>
      </c>
      <c r="B41" s="101">
        <v>0.86111111111111116</v>
      </c>
      <c r="C41" s="101">
        <v>6.25E-2</v>
      </c>
      <c r="D41" s="101">
        <v>7.6388888888888895E-2</v>
      </c>
      <c r="E41" s="103">
        <v>0.10152284263959391</v>
      </c>
      <c r="F41" s="103">
        <v>0.71573604060913709</v>
      </c>
      <c r="G41" s="103">
        <v>0.17258883248730963</v>
      </c>
      <c r="H41" s="103">
        <v>1.015228426395939E-2</v>
      </c>
      <c r="I41" s="104">
        <v>46.934010152284266</v>
      </c>
    </row>
    <row r="42" spans="1:28" x14ac:dyDescent="0.25">
      <c r="A42">
        <v>0.56874999999999998</v>
      </c>
      <c r="B42">
        <v>0.80219780219780223</v>
      </c>
      <c r="C42">
        <v>3.2967032967032968E-2</v>
      </c>
      <c r="D42">
        <v>0.14285714285714285</v>
      </c>
      <c r="E42">
        <v>4.6875E-2</v>
      </c>
      <c r="F42">
        <v>0.43437500000000001</v>
      </c>
      <c r="G42">
        <v>0.47812500000000002</v>
      </c>
      <c r="H42">
        <v>4.0625000000000001E-2</v>
      </c>
      <c r="I42">
        <v>74.474999999999994</v>
      </c>
      <c r="K42" t="s">
        <v>367</v>
      </c>
      <c r="T42" t="s">
        <v>370</v>
      </c>
    </row>
    <row r="43" spans="1:28" x14ac:dyDescent="0.25">
      <c r="A43">
        <v>0.78749999999999998</v>
      </c>
      <c r="B43">
        <v>0.89682539682539686</v>
      </c>
      <c r="C43">
        <v>1.5873015873015872E-2</v>
      </c>
      <c r="D43">
        <v>8.3333333333333329E-2</v>
      </c>
      <c r="E43">
        <v>6.5625000000000003E-2</v>
      </c>
      <c r="F43">
        <v>0.49375000000000002</v>
      </c>
      <c r="G43">
        <v>0.421875</v>
      </c>
      <c r="H43">
        <v>1.8749999999999999E-2</v>
      </c>
      <c r="I43">
        <v>58.893749999999997</v>
      </c>
    </row>
    <row r="44" spans="1:28" x14ac:dyDescent="0.25">
      <c r="A44">
        <v>0.73396674584323041</v>
      </c>
      <c r="B44">
        <v>0.83171521035598706</v>
      </c>
      <c r="C44">
        <v>7.4433656957928807E-2</v>
      </c>
      <c r="D44">
        <v>8.7378640776699032E-2</v>
      </c>
      <c r="E44">
        <v>0.21377672209026127</v>
      </c>
      <c r="F44">
        <v>0.36817102137767221</v>
      </c>
      <c r="G44">
        <v>0.40380047505938244</v>
      </c>
      <c r="H44">
        <v>1.4251781472684086E-2</v>
      </c>
      <c r="I44">
        <v>34.743467933491686</v>
      </c>
    </row>
    <row r="45" spans="1:28" x14ac:dyDescent="0.25">
      <c r="A45">
        <v>0.62222222222222223</v>
      </c>
      <c r="B45">
        <v>0.8705357142857143</v>
      </c>
      <c r="C45">
        <v>4.4642857142857144E-2</v>
      </c>
      <c r="D45">
        <v>7.1428571428571425E-2</v>
      </c>
      <c r="E45">
        <v>1.3888888888888888E-2</v>
      </c>
      <c r="F45">
        <v>0.68333333333333335</v>
      </c>
      <c r="G45">
        <v>0.29444444444444445</v>
      </c>
      <c r="H45">
        <v>8.3333333333333332E-3</v>
      </c>
      <c r="I45">
        <v>73.108333333333334</v>
      </c>
    </row>
    <row r="46" spans="1:28" x14ac:dyDescent="0.25">
      <c r="A46">
        <v>0.78611111111111109</v>
      </c>
      <c r="B46">
        <v>0.87632508833922262</v>
      </c>
      <c r="C46">
        <v>3.5335689045936397E-2</v>
      </c>
      <c r="D46">
        <v>7.4204946996466431E-2</v>
      </c>
      <c r="E46">
        <v>4.7222222222222221E-2</v>
      </c>
      <c r="F46">
        <v>0.66111111111111109</v>
      </c>
      <c r="G46">
        <v>0.28611111111111109</v>
      </c>
      <c r="H46">
        <v>5.5555555555555558E-3</v>
      </c>
      <c r="I46">
        <v>67.519444444444446</v>
      </c>
    </row>
    <row r="47" spans="1:28" x14ac:dyDescent="0.25">
      <c r="A47">
        <v>0.79722222222222228</v>
      </c>
      <c r="B47">
        <v>0.90592334494773519</v>
      </c>
      <c r="C47">
        <v>1.0452961672473868E-2</v>
      </c>
      <c r="D47">
        <v>7.6655052264808357E-2</v>
      </c>
      <c r="E47">
        <v>3.888888888888889E-2</v>
      </c>
      <c r="F47">
        <v>0.59722222222222221</v>
      </c>
      <c r="G47">
        <v>0.34444444444444444</v>
      </c>
      <c r="H47">
        <v>1.9444444444444445E-2</v>
      </c>
      <c r="I47">
        <v>60.12222222222222</v>
      </c>
      <c r="S47" s="28">
        <f>0.0018+0.7467</f>
        <v>0.74850000000000005</v>
      </c>
    </row>
    <row r="48" spans="1:28" x14ac:dyDescent="0.25">
      <c r="A48">
        <v>0.71206896551724141</v>
      </c>
      <c r="B48">
        <v>0.94915254237288138</v>
      </c>
      <c r="C48">
        <v>1.6949152542372881E-2</v>
      </c>
      <c r="D48">
        <v>3.3898305084745763E-2</v>
      </c>
      <c r="E48">
        <v>2.9310344827586206E-2</v>
      </c>
      <c r="F48">
        <v>0.67586206896551726</v>
      </c>
      <c r="G48">
        <v>0.2810344827586207</v>
      </c>
      <c r="H48">
        <v>1.3793103448275862E-2</v>
      </c>
      <c r="I48">
        <v>50.562068965517241</v>
      </c>
      <c r="AB48" s="28">
        <f>0.3844+0.6968</f>
        <v>1.0811999999999999</v>
      </c>
    </row>
    <row r="49" spans="1:9" x14ac:dyDescent="0.25">
      <c r="A49">
        <v>0.66781411359724607</v>
      </c>
      <c r="B49">
        <v>0.92783505154639179</v>
      </c>
      <c r="C49">
        <v>1.804123711340206E-2</v>
      </c>
      <c r="D49">
        <v>5.4123711340206188E-2</v>
      </c>
      <c r="E49">
        <v>4.4750430292598967E-2</v>
      </c>
      <c r="F49">
        <v>0.71772805507745263</v>
      </c>
      <c r="G49">
        <v>0.23235800344234078</v>
      </c>
      <c r="H49">
        <v>5.1635111876075735E-3</v>
      </c>
      <c r="I49">
        <v>40.931153184165233</v>
      </c>
    </row>
    <row r="50" spans="1:9" x14ac:dyDescent="0.25">
      <c r="A50">
        <v>0.6506024096385542</v>
      </c>
      <c r="B50">
        <v>0.93650793650793651</v>
      </c>
      <c r="C50">
        <v>1.5873015873015872E-2</v>
      </c>
      <c r="D50">
        <v>4.7619047619047616E-2</v>
      </c>
      <c r="E50">
        <v>6.1962134251290879E-2</v>
      </c>
      <c r="F50">
        <v>0.60585197934595525</v>
      </c>
      <c r="G50">
        <v>0.32702237521514632</v>
      </c>
      <c r="H50">
        <v>5.1635111876075735E-3</v>
      </c>
      <c r="I50">
        <v>33.049913941480206</v>
      </c>
    </row>
    <row r="51" spans="1:9" x14ac:dyDescent="0.25">
      <c r="A51">
        <v>0.72805507745266784</v>
      </c>
      <c r="B51">
        <v>0.88652482269503541</v>
      </c>
      <c r="C51">
        <v>4.9645390070921988E-2</v>
      </c>
      <c r="D51">
        <v>6.1465721040189124E-2</v>
      </c>
      <c r="E51">
        <v>0.153184165232358</v>
      </c>
      <c r="F51">
        <v>0.5129087779690189</v>
      </c>
      <c r="G51">
        <v>0.33218588640275387</v>
      </c>
      <c r="H51">
        <v>1.7211703958691911E-3</v>
      </c>
      <c r="I51">
        <v>23.802065404475044</v>
      </c>
    </row>
    <row r="52" spans="1:9" x14ac:dyDescent="0.25">
      <c r="A52">
        <v>0.76842105263157889</v>
      </c>
      <c r="B52">
        <v>0.74315068493150682</v>
      </c>
      <c r="C52">
        <v>8.9041095890410954E-2</v>
      </c>
      <c r="D52">
        <v>0.15068493150684931</v>
      </c>
      <c r="E52">
        <v>0.24736842105263157</v>
      </c>
      <c r="F52">
        <v>0.5368421052631579</v>
      </c>
      <c r="G52">
        <v>0.20263157894736841</v>
      </c>
      <c r="H52">
        <v>1.3157894736842105E-2</v>
      </c>
      <c r="I52">
        <v>62.7</v>
      </c>
    </row>
    <row r="53" spans="1:9" x14ac:dyDescent="0.25">
      <c r="A53">
        <v>0.83157894736842108</v>
      </c>
      <c r="B53">
        <v>0.65822784810126578</v>
      </c>
      <c r="C53">
        <v>0.14873417721518986</v>
      </c>
      <c r="D53">
        <v>0.17721518987341772</v>
      </c>
      <c r="E53">
        <v>0.32894736842105265</v>
      </c>
      <c r="F53">
        <v>0.41052631578947368</v>
      </c>
      <c r="G53">
        <v>0.25526315789473686</v>
      </c>
      <c r="H53">
        <v>5.263157894736842E-3</v>
      </c>
      <c r="I53">
        <v>56.744736842105262</v>
      </c>
    </row>
    <row r="54" spans="1:9" x14ac:dyDescent="0.25">
      <c r="A54">
        <v>0.80526315789473679</v>
      </c>
      <c r="B54">
        <v>0.64379084967320266</v>
      </c>
      <c r="C54">
        <v>0.17647058823529413</v>
      </c>
      <c r="D54">
        <v>0.17320261437908496</v>
      </c>
      <c r="E54">
        <v>0.4026315789473684</v>
      </c>
      <c r="F54">
        <v>0.38157894736842107</v>
      </c>
      <c r="G54">
        <v>0.20263157894736841</v>
      </c>
      <c r="H54">
        <v>1.3157894736842105E-2</v>
      </c>
      <c r="I54">
        <v>49.215789473684211</v>
      </c>
    </row>
    <row r="55" spans="1:9" x14ac:dyDescent="0.25">
      <c r="A55">
        <v>0.70322580645161292</v>
      </c>
      <c r="B55">
        <v>0.72247706422018354</v>
      </c>
      <c r="C55">
        <v>0.12614678899082568</v>
      </c>
      <c r="D55">
        <v>0.15137614678899083</v>
      </c>
      <c r="E55">
        <v>0.31451612903225806</v>
      </c>
      <c r="F55">
        <v>0.47419354838709676</v>
      </c>
      <c r="G55">
        <v>0.2</v>
      </c>
      <c r="H55">
        <v>1.1290322580645161E-2</v>
      </c>
      <c r="I55">
        <v>40.11451612903226</v>
      </c>
    </row>
    <row r="56" spans="1:9" x14ac:dyDescent="0.25">
      <c r="A56">
        <v>0.69838709677419353</v>
      </c>
      <c r="B56">
        <v>0.69515011547344108</v>
      </c>
      <c r="C56">
        <v>0.16166281755196305</v>
      </c>
      <c r="D56">
        <v>0.14318706697459585</v>
      </c>
      <c r="E56">
        <v>0.38548387096774195</v>
      </c>
      <c r="F56">
        <v>0.39677419354838711</v>
      </c>
      <c r="G56">
        <v>0.20806451612903226</v>
      </c>
      <c r="H56">
        <v>9.6774193548387101E-3</v>
      </c>
      <c r="I56">
        <v>31.020967741935483</v>
      </c>
    </row>
    <row r="57" spans="1:9" x14ac:dyDescent="0.25">
      <c r="A57">
        <v>0.75483870967741939</v>
      </c>
      <c r="B57">
        <v>0.64316239316239321</v>
      </c>
      <c r="C57">
        <v>0.23076923076923078</v>
      </c>
      <c r="D57">
        <v>0.12393162393162394</v>
      </c>
      <c r="E57">
        <v>0.49516129032258066</v>
      </c>
      <c r="F57">
        <v>0.30483870967741933</v>
      </c>
      <c r="G57">
        <v>0.1967741935483871</v>
      </c>
      <c r="H57">
        <v>3.2258064516129032E-3</v>
      </c>
      <c r="I57">
        <v>26.414516129032258</v>
      </c>
    </row>
    <row r="58" spans="1:9" x14ac:dyDescent="0.25">
      <c r="A58">
        <v>0.7709677419354839</v>
      </c>
      <c r="B58">
        <v>0.62761506276150625</v>
      </c>
      <c r="C58">
        <v>0.2405857740585774</v>
      </c>
      <c r="D58">
        <v>0.12552301255230125</v>
      </c>
      <c r="E58">
        <v>0.53870967741935483</v>
      </c>
      <c r="F58">
        <v>0.27741935483870966</v>
      </c>
      <c r="G58">
        <v>0.18225806451612903</v>
      </c>
      <c r="H58">
        <v>1.6129032258064516E-3</v>
      </c>
      <c r="I58">
        <v>22.995161290322581</v>
      </c>
    </row>
    <row r="59" spans="1:9" x14ac:dyDescent="0.25">
      <c r="A59">
        <v>0.75806451612903225</v>
      </c>
      <c r="B59">
        <v>0.58085106382978724</v>
      </c>
      <c r="C59">
        <v>0.28085106382978725</v>
      </c>
      <c r="D59">
        <v>0.13191489361702127</v>
      </c>
      <c r="E59">
        <v>0.54677419354838708</v>
      </c>
      <c r="F59">
        <v>0.28387096774193549</v>
      </c>
      <c r="G59">
        <v>0.16935483870967741</v>
      </c>
      <c r="H59">
        <v>0</v>
      </c>
      <c r="I59">
        <v>19.614516129032257</v>
      </c>
    </row>
    <row r="60" spans="1:9" x14ac:dyDescent="0.25">
      <c r="A60">
        <v>0.75135135135135134</v>
      </c>
      <c r="B60">
        <v>0.72661870503597126</v>
      </c>
      <c r="C60">
        <v>7.5539568345323743E-2</v>
      </c>
      <c r="D60">
        <v>0.1906474820143885</v>
      </c>
      <c r="E60">
        <v>0.27837837837837837</v>
      </c>
      <c r="F60">
        <v>0.56216216216216219</v>
      </c>
      <c r="G60">
        <v>0.15675675675675677</v>
      </c>
      <c r="H60">
        <v>2.7027027027027029E-3</v>
      </c>
      <c r="I60">
        <v>65.229729729729726</v>
      </c>
    </row>
    <row r="61" spans="1:9" x14ac:dyDescent="0.25">
      <c r="A61">
        <v>0.84324324324324329</v>
      </c>
      <c r="B61">
        <v>0.66987179487179482</v>
      </c>
      <c r="C61">
        <v>0.14423076923076922</v>
      </c>
      <c r="D61">
        <v>0.1858974358974359</v>
      </c>
      <c r="E61">
        <v>0.36216216216216218</v>
      </c>
      <c r="F61">
        <v>0.44054054054054054</v>
      </c>
      <c r="G61">
        <v>0.1918918918918919</v>
      </c>
      <c r="H61">
        <v>5.4054054054054057E-3</v>
      </c>
      <c r="I61">
        <v>56.697297297297297</v>
      </c>
    </row>
    <row r="62" spans="1:9" x14ac:dyDescent="0.25">
      <c r="A62">
        <v>0.82162162162162167</v>
      </c>
      <c r="B62">
        <v>0.74013157894736847</v>
      </c>
      <c r="C62">
        <v>0.14802631578947367</v>
      </c>
      <c r="D62">
        <v>0.10855263157894737</v>
      </c>
      <c r="E62">
        <v>0.3108108108108108</v>
      </c>
      <c r="F62">
        <v>0.51081081081081081</v>
      </c>
      <c r="G62">
        <v>0.17027027027027028</v>
      </c>
      <c r="H62">
        <v>8.1081081081081086E-3</v>
      </c>
      <c r="I62">
        <v>49.508108108108111</v>
      </c>
    </row>
    <row r="63" spans="1:9" x14ac:dyDescent="0.25">
      <c r="A63">
        <v>0.74647887323943662</v>
      </c>
      <c r="B63">
        <v>0.72955974842767291</v>
      </c>
      <c r="C63">
        <v>0.15303983228511531</v>
      </c>
      <c r="D63">
        <v>0.11530398322851153</v>
      </c>
      <c r="E63">
        <v>0.30516431924882631</v>
      </c>
      <c r="F63">
        <v>0.54929577464788737</v>
      </c>
      <c r="G63">
        <v>0.14084507042253522</v>
      </c>
      <c r="H63">
        <v>4.6948356807511738E-3</v>
      </c>
      <c r="I63">
        <v>41.625978090766822</v>
      </c>
    </row>
    <row r="64" spans="1:9" x14ac:dyDescent="0.25">
      <c r="A64">
        <v>0.69374999999999998</v>
      </c>
      <c r="B64">
        <v>0.68243243243243246</v>
      </c>
      <c r="C64">
        <v>0.16891891891891891</v>
      </c>
      <c r="D64">
        <v>0.14864864864864866</v>
      </c>
      <c r="E64">
        <v>0.41718749999999999</v>
      </c>
      <c r="F64">
        <v>0.46406249999999999</v>
      </c>
      <c r="G64">
        <v>0.1171875</v>
      </c>
      <c r="H64">
        <v>1.5625000000000001E-3</v>
      </c>
      <c r="I64">
        <v>32.259374999999999</v>
      </c>
    </row>
    <row r="65" spans="1:9" x14ac:dyDescent="0.25">
      <c r="A65">
        <v>0.72343749999999996</v>
      </c>
      <c r="B65">
        <v>0.68250539956803458</v>
      </c>
      <c r="C65">
        <v>0.18142548596112312</v>
      </c>
      <c r="D65">
        <v>0.13606911447084233</v>
      </c>
      <c r="E65">
        <v>0.4609375</v>
      </c>
      <c r="F65">
        <v>0.41093750000000001</v>
      </c>
      <c r="G65">
        <v>0.12812499999999999</v>
      </c>
      <c r="H65">
        <v>0</v>
      </c>
      <c r="I65">
        <v>25.134374999999999</v>
      </c>
    </row>
    <row r="66" spans="1:9" x14ac:dyDescent="0.25">
      <c r="A66">
        <v>0.75312500000000004</v>
      </c>
      <c r="B66">
        <v>0.62448132780082988</v>
      </c>
      <c r="C66">
        <v>0.23029045643153526</v>
      </c>
      <c r="D66">
        <v>0.14522821576763487</v>
      </c>
      <c r="E66">
        <v>0.46875</v>
      </c>
      <c r="F66">
        <v>0.39218750000000002</v>
      </c>
      <c r="G66">
        <v>0.13750000000000001</v>
      </c>
      <c r="H66">
        <v>1.5625000000000001E-3</v>
      </c>
      <c r="I66">
        <v>20.160937499999999</v>
      </c>
    </row>
    <row r="67" spans="1:9" x14ac:dyDescent="0.25">
      <c r="A67">
        <v>0.73684210526315785</v>
      </c>
      <c r="B67">
        <v>0.8392857142857143</v>
      </c>
      <c r="C67">
        <v>4.2857142857142858E-2</v>
      </c>
      <c r="D67">
        <v>0.11071428571428571</v>
      </c>
      <c r="E67">
        <v>0.18157894736842106</v>
      </c>
      <c r="F67">
        <v>0.63421052631578945</v>
      </c>
      <c r="G67">
        <v>0.1736842105263158</v>
      </c>
      <c r="H67">
        <v>1.0526315789473684E-2</v>
      </c>
      <c r="I67">
        <v>66.918421052631572</v>
      </c>
    </row>
    <row r="68" spans="1:9" x14ac:dyDescent="0.25">
      <c r="A68">
        <v>0.83684210526315794</v>
      </c>
      <c r="B68">
        <v>0.73899371069182385</v>
      </c>
      <c r="C68">
        <v>9.1194968553459113E-2</v>
      </c>
      <c r="D68">
        <v>0.16666666666666666</v>
      </c>
      <c r="E68">
        <v>0.2868421052631579</v>
      </c>
      <c r="F68">
        <v>0.54473684210526319</v>
      </c>
      <c r="G68">
        <v>0.16052631578947368</v>
      </c>
      <c r="H68">
        <v>7.8947368421052634E-3</v>
      </c>
      <c r="I68">
        <v>60.231578947368419</v>
      </c>
    </row>
    <row r="69" spans="1:9" x14ac:dyDescent="0.25">
      <c r="A69">
        <v>0.88157894736842102</v>
      </c>
      <c r="B69">
        <v>0.79104477611940294</v>
      </c>
      <c r="C69">
        <v>8.6567164179104483E-2</v>
      </c>
      <c r="D69">
        <v>0.12238805970149254</v>
      </c>
      <c r="E69">
        <v>0.23684210526315788</v>
      </c>
      <c r="F69">
        <v>0.60263157894736841</v>
      </c>
      <c r="G69">
        <v>0.15526315789473685</v>
      </c>
      <c r="H69">
        <v>5.263157894736842E-3</v>
      </c>
      <c r="I69">
        <v>53.69736842105263</v>
      </c>
    </row>
    <row r="70" spans="1:9" x14ac:dyDescent="0.25">
      <c r="A70">
        <v>0.74477611940298505</v>
      </c>
      <c r="B70">
        <v>0.78557114228456915</v>
      </c>
      <c r="C70">
        <v>0.12024048096192384</v>
      </c>
      <c r="D70">
        <v>9.2184368737474945E-2</v>
      </c>
      <c r="E70">
        <v>0.24029850746268658</v>
      </c>
      <c r="F70">
        <v>0.54477611940298509</v>
      </c>
      <c r="G70">
        <v>0.20895522388059701</v>
      </c>
      <c r="H70">
        <v>5.9701492537313433E-3</v>
      </c>
      <c r="I70">
        <v>45.623880597014924</v>
      </c>
    </row>
    <row r="71" spans="1:9" x14ac:dyDescent="0.25">
      <c r="A71">
        <v>0.64626865671641787</v>
      </c>
      <c r="B71">
        <v>0.68360277136258663</v>
      </c>
      <c r="C71">
        <v>0.17782909930715934</v>
      </c>
      <c r="D71">
        <v>0.13856812933025403</v>
      </c>
      <c r="E71">
        <v>0.38059701492537312</v>
      </c>
      <c r="F71">
        <v>0.46716417910447761</v>
      </c>
      <c r="G71">
        <v>0.14925373134328357</v>
      </c>
      <c r="H71">
        <v>2.9850746268656717E-3</v>
      </c>
      <c r="I71">
        <v>34.949253731343283</v>
      </c>
    </row>
    <row r="72" spans="1:9" x14ac:dyDescent="0.25">
      <c r="A72">
        <v>0.69047619047619047</v>
      </c>
      <c r="B72">
        <v>0.71767241379310343</v>
      </c>
      <c r="C72">
        <v>0.14655172413793102</v>
      </c>
      <c r="D72">
        <v>0.12715517241379309</v>
      </c>
      <c r="E72">
        <v>0.375</v>
      </c>
      <c r="F72">
        <v>0.4419642857142857</v>
      </c>
      <c r="G72">
        <v>0.18005952380952381</v>
      </c>
      <c r="H72">
        <v>2.976190476190476E-3</v>
      </c>
      <c r="I72">
        <v>28.15029761904762</v>
      </c>
    </row>
    <row r="73" spans="1:9" x14ac:dyDescent="0.25">
      <c r="A73">
        <v>0.73809523809523814</v>
      </c>
      <c r="B73">
        <v>0.74798387096774188</v>
      </c>
      <c r="C73">
        <v>0.14314516129032259</v>
      </c>
      <c r="D73">
        <v>0.10887096774193548</v>
      </c>
      <c r="E73">
        <v>0.35863095238095238</v>
      </c>
      <c r="F73">
        <v>0.45535714285714285</v>
      </c>
      <c r="G73">
        <v>0.18601190476190477</v>
      </c>
      <c r="H73">
        <v>0</v>
      </c>
      <c r="I73">
        <v>24.055059523809526</v>
      </c>
    </row>
    <row r="74" spans="1:9" x14ac:dyDescent="0.25">
      <c r="A74">
        <v>0.78125</v>
      </c>
      <c r="B74">
        <v>0.73333333333333328</v>
      </c>
      <c r="C74">
        <v>0.16380952380952382</v>
      </c>
      <c r="D74">
        <v>0.10285714285714286</v>
      </c>
      <c r="E74">
        <v>0.39136904761904762</v>
      </c>
      <c r="F74">
        <v>0.46279761904761907</v>
      </c>
      <c r="G74">
        <v>0.14583333333333334</v>
      </c>
      <c r="H74">
        <v>0</v>
      </c>
      <c r="I74">
        <v>20.11904761904762</v>
      </c>
    </row>
    <row r="75" spans="1:9" x14ac:dyDescent="0.25">
      <c r="A75">
        <v>0.73947368421052628</v>
      </c>
      <c r="B75">
        <v>0.76156583629893237</v>
      </c>
      <c r="C75">
        <v>0.12811387900355872</v>
      </c>
      <c r="D75">
        <v>0.10676156583629894</v>
      </c>
      <c r="E75">
        <v>0.3</v>
      </c>
      <c r="F75">
        <v>0.4263157894736842</v>
      </c>
      <c r="G75">
        <v>0.25263157894736843</v>
      </c>
      <c r="H75">
        <v>2.1052631578947368E-2</v>
      </c>
      <c r="I75">
        <v>69.102631578947367</v>
      </c>
    </row>
    <row r="76" spans="1:9" x14ac:dyDescent="0.25">
      <c r="A76">
        <v>0.78421052631578947</v>
      </c>
      <c r="B76">
        <v>0.83557046979865768</v>
      </c>
      <c r="C76">
        <v>7.3825503355704702E-2</v>
      </c>
      <c r="D76">
        <v>8.3892617449664433E-2</v>
      </c>
      <c r="E76">
        <v>0.25526315789473686</v>
      </c>
      <c r="F76">
        <v>0.44210526315789472</v>
      </c>
      <c r="G76">
        <v>0.27368421052631581</v>
      </c>
      <c r="H76">
        <v>2.8947368421052631E-2</v>
      </c>
      <c r="I76">
        <v>61.165789473684214</v>
      </c>
    </row>
    <row r="77" spans="1:9" x14ac:dyDescent="0.25">
      <c r="A77">
        <v>0.79736842105263162</v>
      </c>
      <c r="B77">
        <v>0.78877887788778878</v>
      </c>
      <c r="C77">
        <v>0.12871287128712872</v>
      </c>
      <c r="D77">
        <v>7.9207920792079209E-2</v>
      </c>
      <c r="E77">
        <v>0.31578947368421051</v>
      </c>
      <c r="F77">
        <v>0.44736842105263158</v>
      </c>
      <c r="G77">
        <v>0.21578947368421053</v>
      </c>
      <c r="H77">
        <v>2.1052631578947368E-2</v>
      </c>
      <c r="I77">
        <v>52.939473684210526</v>
      </c>
    </row>
    <row r="78" spans="1:9" x14ac:dyDescent="0.25">
      <c r="A78">
        <v>0.74687499999999996</v>
      </c>
      <c r="B78">
        <v>0.69037656903765687</v>
      </c>
      <c r="C78">
        <v>0.16736401673640167</v>
      </c>
      <c r="D78">
        <v>0.13807531380753138</v>
      </c>
      <c r="E78">
        <v>0.35468749999999999</v>
      </c>
      <c r="F78">
        <v>0.39687499999999998</v>
      </c>
      <c r="G78">
        <v>0.23749999999999999</v>
      </c>
      <c r="H78">
        <v>1.0937499999999999E-2</v>
      </c>
      <c r="I78">
        <v>43.081249999999997</v>
      </c>
    </row>
    <row r="79" spans="1:9" x14ac:dyDescent="0.25">
      <c r="A79">
        <v>0.671875</v>
      </c>
      <c r="B79">
        <v>0.68837209302325586</v>
      </c>
      <c r="C79">
        <v>0.16279069767441862</v>
      </c>
      <c r="D79">
        <v>0.14651162790697675</v>
      </c>
      <c r="E79">
        <v>0.4375</v>
      </c>
      <c r="F79">
        <v>0.36406250000000001</v>
      </c>
      <c r="G79">
        <v>0.18593750000000001</v>
      </c>
      <c r="H79">
        <v>1.2500000000000001E-2</v>
      </c>
      <c r="I79">
        <v>34.373437500000001</v>
      </c>
    </row>
    <row r="80" spans="1:9" x14ac:dyDescent="0.25">
      <c r="A80">
        <v>0.70202808112324488</v>
      </c>
      <c r="B80">
        <v>0.76222222222222225</v>
      </c>
      <c r="C80">
        <v>0.12666666666666668</v>
      </c>
      <c r="D80">
        <v>0.1</v>
      </c>
      <c r="E80">
        <v>0.40405616224648988</v>
      </c>
      <c r="F80">
        <v>0.36193447737909518</v>
      </c>
      <c r="G80">
        <v>0.21996879875195008</v>
      </c>
      <c r="H80">
        <v>1.4040561622464899E-2</v>
      </c>
      <c r="I80">
        <v>28.533541341653667</v>
      </c>
    </row>
    <row r="81" spans="1:9" x14ac:dyDescent="0.25">
      <c r="A81">
        <v>0.74570982839313571</v>
      </c>
      <c r="B81">
        <v>0.75523012552301261</v>
      </c>
      <c r="C81">
        <v>0.13389121338912133</v>
      </c>
      <c r="D81">
        <v>0.11087866108786611</v>
      </c>
      <c r="E81">
        <v>0.46645865834633388</v>
      </c>
      <c r="F81">
        <v>0.36349453978159124</v>
      </c>
      <c r="G81">
        <v>0.1606864274570983</v>
      </c>
      <c r="H81">
        <v>9.3603744149765994E-3</v>
      </c>
      <c r="I81">
        <v>24.068642745709827</v>
      </c>
    </row>
    <row r="82" spans="1:9" x14ac:dyDescent="0.25">
      <c r="A82">
        <v>0.7909516380655226</v>
      </c>
      <c r="B82">
        <v>0.75739644970414199</v>
      </c>
      <c r="C82">
        <v>0.14990138067061143</v>
      </c>
      <c r="D82">
        <v>9.0729783037475351E-2</v>
      </c>
      <c r="E82">
        <v>0.44929797191887677</v>
      </c>
      <c r="F82">
        <v>0.36661466458658348</v>
      </c>
      <c r="G82">
        <v>0.1794071762870515</v>
      </c>
      <c r="H82">
        <v>4.6801872074882997E-3</v>
      </c>
      <c r="I82">
        <v>19.975039001560063</v>
      </c>
    </row>
    <row r="83" spans="1:9" x14ac:dyDescent="0.25">
      <c r="A83">
        <v>0.8</v>
      </c>
      <c r="B83">
        <v>0.57432432432432434</v>
      </c>
      <c r="C83">
        <v>0.14864864864864866</v>
      </c>
      <c r="D83">
        <v>0.27027027027027029</v>
      </c>
      <c r="E83">
        <v>0.4756756756756757</v>
      </c>
      <c r="F83">
        <v>0.33513513513513515</v>
      </c>
      <c r="G83">
        <v>0.18108108108108109</v>
      </c>
      <c r="H83">
        <v>8.1081081081081086E-3</v>
      </c>
      <c r="I83">
        <v>61.775675675675679</v>
      </c>
    </row>
    <row r="84" spans="1:9" x14ac:dyDescent="0.25">
      <c r="A84">
        <v>0.80540540540540539</v>
      </c>
      <c r="B84">
        <v>0.70134228187919467</v>
      </c>
      <c r="C84">
        <v>0.13758389261744966</v>
      </c>
      <c r="D84">
        <v>0.15771812080536912</v>
      </c>
      <c r="E84">
        <v>0.35405405405405405</v>
      </c>
      <c r="F84">
        <v>0.45405405405405408</v>
      </c>
      <c r="G84">
        <v>0.18378378378378379</v>
      </c>
      <c r="H84">
        <v>8.1081081081081086E-3</v>
      </c>
      <c r="I84">
        <v>50.859459459459458</v>
      </c>
    </row>
    <row r="85" spans="1:9" x14ac:dyDescent="0.25">
      <c r="A85">
        <v>0.71731448763250882</v>
      </c>
      <c r="B85">
        <v>0.72413793103448276</v>
      </c>
      <c r="C85">
        <v>0.13300492610837439</v>
      </c>
      <c r="D85">
        <v>0.14039408866995073</v>
      </c>
      <c r="E85">
        <v>0.34982332155477031</v>
      </c>
      <c r="F85">
        <v>0.47526501766784451</v>
      </c>
      <c r="G85">
        <v>0.16607773851590105</v>
      </c>
      <c r="H85">
        <v>8.8339222614840993E-3</v>
      </c>
      <c r="I85">
        <v>38.118374558303884</v>
      </c>
    </row>
    <row r="86" spans="1:9" x14ac:dyDescent="0.25">
      <c r="A86">
        <v>0.71024734982332161</v>
      </c>
      <c r="B86">
        <v>0.70398009950248752</v>
      </c>
      <c r="C86">
        <v>0.18407960199004975</v>
      </c>
      <c r="D86">
        <v>0.10696517412935323</v>
      </c>
      <c r="E86">
        <v>0.45406360424028269</v>
      </c>
      <c r="F86">
        <v>0.41342756183745583</v>
      </c>
      <c r="G86">
        <v>0.12720848056537101</v>
      </c>
      <c r="H86">
        <v>5.3003533568904597E-3</v>
      </c>
      <c r="I86">
        <v>28.632508833922262</v>
      </c>
    </row>
    <row r="87" spans="1:9" x14ac:dyDescent="0.25">
      <c r="A87">
        <v>0.81095406360424027</v>
      </c>
      <c r="B87">
        <v>0.71895424836601307</v>
      </c>
      <c r="C87">
        <v>0.15468409586056645</v>
      </c>
      <c r="D87">
        <v>0.12636165577342048</v>
      </c>
      <c r="E87">
        <v>0.4628975265017668</v>
      </c>
      <c r="F87">
        <v>0.40282685512367489</v>
      </c>
      <c r="G87">
        <v>0.13427561837455831</v>
      </c>
      <c r="H87">
        <v>0</v>
      </c>
      <c r="I87">
        <v>23.657243816254418</v>
      </c>
    </row>
    <row r="88" spans="1:9" x14ac:dyDescent="0.25">
      <c r="A88">
        <v>0.83745583038869253</v>
      </c>
      <c r="B88">
        <v>0.68776371308016881</v>
      </c>
      <c r="C88">
        <v>0.18143459915611815</v>
      </c>
      <c r="D88">
        <v>0.12025316455696203</v>
      </c>
      <c r="E88">
        <v>0.47703180212014135</v>
      </c>
      <c r="F88">
        <v>0.39045936395759717</v>
      </c>
      <c r="G88">
        <v>0.13250883392226148</v>
      </c>
      <c r="H88">
        <v>0</v>
      </c>
      <c r="I88">
        <v>19.514134275618375</v>
      </c>
    </row>
    <row r="89" spans="1:9" x14ac:dyDescent="0.25">
      <c r="A89">
        <v>0.84285714285714286</v>
      </c>
      <c r="B89">
        <v>0.23389830508474577</v>
      </c>
      <c r="C89">
        <v>0.4101694915254237</v>
      </c>
      <c r="D89">
        <v>0.35254237288135593</v>
      </c>
      <c r="E89">
        <v>0.87142857142857144</v>
      </c>
      <c r="F89">
        <v>0.04</v>
      </c>
      <c r="G89">
        <v>0.08</v>
      </c>
      <c r="H89">
        <v>8.5714285714285719E-3</v>
      </c>
      <c r="I89">
        <v>43.548571428571428</v>
      </c>
    </row>
    <row r="90" spans="1:9" x14ac:dyDescent="0.25">
      <c r="A90">
        <v>0.8190045248868778</v>
      </c>
      <c r="B90">
        <v>0.19889502762430938</v>
      </c>
      <c r="C90">
        <v>0.51381215469613262</v>
      </c>
      <c r="D90">
        <v>0.28176795580110497</v>
      </c>
      <c r="E90">
        <v>0.9434389140271493</v>
      </c>
      <c r="F90">
        <v>1.3574660633484163E-2</v>
      </c>
      <c r="G90">
        <v>4.2986425339366516E-2</v>
      </c>
      <c r="H90">
        <v>0</v>
      </c>
      <c r="I90">
        <v>22.70814479638009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1216-7104-4189-8E72-38656AC69945}">
  <dimension ref="A1:AB45"/>
  <sheetViews>
    <sheetView workbookViewId="0">
      <pane xSplit="4" ySplit="1" topLeftCell="L38" activePane="bottomRight" state="frozen"/>
      <selection pane="topRight" activeCell="E1" sqref="E1"/>
      <selection pane="bottomLeft" activeCell="A2" sqref="A2"/>
      <selection pane="bottomRight" activeCell="AB45" sqref="AB45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18" t="s">
        <v>353</v>
      </c>
      <c r="B1" s="18" t="s">
        <v>246</v>
      </c>
      <c r="C1" s="18" t="s">
        <v>247</v>
      </c>
      <c r="D1" s="18" t="s">
        <v>248</v>
      </c>
      <c r="E1" s="18" t="s">
        <v>342</v>
      </c>
      <c r="F1" s="18" t="s">
        <v>343</v>
      </c>
      <c r="G1" s="18" t="s">
        <v>344</v>
      </c>
      <c r="H1" s="18" t="s">
        <v>345</v>
      </c>
      <c r="I1" s="18" t="s">
        <v>346</v>
      </c>
    </row>
    <row r="2" spans="1:28" x14ac:dyDescent="0.25">
      <c r="A2" s="30">
        <v>0.73793103448275865</v>
      </c>
      <c r="B2" s="30">
        <v>0.90186915887850472</v>
      </c>
      <c r="C2" s="30">
        <v>1.4018691588785047E-2</v>
      </c>
      <c r="D2" s="30">
        <v>7.0093457943925228E-2</v>
      </c>
      <c r="E2" s="32">
        <v>4.1379310344827586E-2</v>
      </c>
      <c r="F2" s="32">
        <v>0.85172413793103452</v>
      </c>
      <c r="G2" s="32">
        <v>0.1</v>
      </c>
      <c r="H2" s="32">
        <v>6.8965517241379309E-3</v>
      </c>
      <c r="I2" s="34">
        <v>69.110344827586204</v>
      </c>
      <c r="K2" t="s">
        <v>365</v>
      </c>
      <c r="T2" t="s">
        <v>368</v>
      </c>
    </row>
    <row r="3" spans="1:28" x14ac:dyDescent="0.25">
      <c r="A3" s="30">
        <v>0.73162939297124596</v>
      </c>
      <c r="B3" s="30">
        <v>0.86899563318777295</v>
      </c>
      <c r="C3" s="30">
        <v>6.5502183406113537E-2</v>
      </c>
      <c r="D3" s="30">
        <v>5.6768558951965066E-2</v>
      </c>
      <c r="E3" s="32">
        <v>0.13738019169329074</v>
      </c>
      <c r="F3" s="32">
        <v>0.60383386581469645</v>
      </c>
      <c r="G3" s="32">
        <v>0.25878594249201275</v>
      </c>
      <c r="H3" s="32">
        <v>0</v>
      </c>
      <c r="I3" s="34">
        <v>39.482428115015978</v>
      </c>
    </row>
    <row r="4" spans="1:28" x14ac:dyDescent="0.25">
      <c r="A4" s="30">
        <v>0.60270270270270265</v>
      </c>
      <c r="B4" s="30">
        <v>0.86098654708520184</v>
      </c>
      <c r="C4" s="30">
        <v>3.5874439461883408E-2</v>
      </c>
      <c r="D4" s="30">
        <v>8.9686098654708515E-2</v>
      </c>
      <c r="E4" s="32">
        <v>2.9729729729729731E-2</v>
      </c>
      <c r="F4" s="32">
        <v>0.81081081081081086</v>
      </c>
      <c r="G4" s="32">
        <v>0.15135135135135136</v>
      </c>
      <c r="H4" s="32">
        <v>8.1081081081081086E-3</v>
      </c>
      <c r="I4" s="34">
        <v>76.824324324324323</v>
      </c>
    </row>
    <row r="5" spans="1:28" x14ac:dyDescent="0.25">
      <c r="A5" s="30">
        <v>0.77297297297297296</v>
      </c>
      <c r="B5" s="30">
        <v>0.91958041958041958</v>
      </c>
      <c r="C5" s="30">
        <v>1.048951048951049E-2</v>
      </c>
      <c r="D5" s="30">
        <v>6.2937062937062943E-2</v>
      </c>
      <c r="E5" s="32">
        <v>4.0540540540540543E-2</v>
      </c>
      <c r="F5" s="32">
        <v>0.82432432432432434</v>
      </c>
      <c r="G5" s="32">
        <v>0.12702702702702703</v>
      </c>
      <c r="H5" s="32">
        <v>8.1081081081081086E-3</v>
      </c>
      <c r="I5" s="34">
        <v>65.467567567567571</v>
      </c>
    </row>
    <row r="6" spans="1:28" x14ac:dyDescent="0.25">
      <c r="A6" s="30">
        <v>0.79435483870967738</v>
      </c>
      <c r="B6" s="30">
        <v>0.79441624365482233</v>
      </c>
      <c r="C6" s="30">
        <v>7.8680203045685279E-2</v>
      </c>
      <c r="D6" s="30">
        <v>0.12182741116751269</v>
      </c>
      <c r="E6" s="32">
        <v>0.18548387096774194</v>
      </c>
      <c r="F6" s="32">
        <v>0.64314516129032262</v>
      </c>
      <c r="G6" s="32">
        <v>0.16532258064516128</v>
      </c>
      <c r="H6" s="32">
        <v>6.0483870967741934E-3</v>
      </c>
      <c r="I6" s="34">
        <v>46.625</v>
      </c>
      <c r="S6" s="28">
        <f>0.0965+0.6905</f>
        <v>0.78700000000000003</v>
      </c>
      <c r="AB6" s="28">
        <f>-0.6366+0.906</f>
        <v>0.26939999999999997</v>
      </c>
    </row>
    <row r="7" spans="1:28" x14ac:dyDescent="0.25">
      <c r="A7" s="30">
        <v>0.61971830985915488</v>
      </c>
      <c r="B7" s="30">
        <v>0.90340909090909094</v>
      </c>
      <c r="C7" s="30">
        <v>1.1363636363636364E-2</v>
      </c>
      <c r="D7" s="30">
        <v>7.3863636363636367E-2</v>
      </c>
      <c r="E7" s="32">
        <v>3.5211267605633804E-2</v>
      </c>
      <c r="F7" s="32">
        <v>0.81690140845070425</v>
      </c>
      <c r="G7" s="32">
        <v>0.13380281690140844</v>
      </c>
      <c r="H7" s="32">
        <v>1.4084507042253521E-2</v>
      </c>
      <c r="I7" s="34">
        <v>72.852112676056336</v>
      </c>
    </row>
    <row r="8" spans="1:28" x14ac:dyDescent="0.25">
      <c r="A8" s="30">
        <v>0.75</v>
      </c>
      <c r="B8" s="30">
        <v>0.8779342723004695</v>
      </c>
      <c r="C8" s="30">
        <v>3.7558685446009391E-2</v>
      </c>
      <c r="D8" s="30">
        <v>7.9812206572769953E-2</v>
      </c>
      <c r="E8" s="32">
        <v>0.13732394366197184</v>
      </c>
      <c r="F8" s="32">
        <v>0.68661971830985913</v>
      </c>
      <c r="G8" s="32">
        <v>0.16901408450704225</v>
      </c>
      <c r="H8" s="32">
        <v>7.0422535211267607E-3</v>
      </c>
      <c r="I8" s="34">
        <v>46.742957746478872</v>
      </c>
    </row>
    <row r="9" spans="1:28" x14ac:dyDescent="0.25">
      <c r="A9" s="30">
        <v>0.39473684210526316</v>
      </c>
      <c r="B9" s="30">
        <v>0.80666666666666664</v>
      </c>
      <c r="C9" s="30">
        <v>0.04</v>
      </c>
      <c r="D9" s="30">
        <v>0.14666666666666667</v>
      </c>
      <c r="E9" s="32">
        <v>6.5789473684210523E-2</v>
      </c>
      <c r="F9" s="32">
        <v>0.50263157894736843</v>
      </c>
      <c r="G9" s="32">
        <v>0.37368421052631579</v>
      </c>
      <c r="H9" s="32">
        <v>5.7894736842105263E-2</v>
      </c>
      <c r="I9" s="34">
        <v>82.786842105263162</v>
      </c>
    </row>
    <row r="10" spans="1:28" x14ac:dyDescent="0.25">
      <c r="A10" s="30">
        <v>0.59210526315789469</v>
      </c>
      <c r="B10" s="30">
        <v>0.84444444444444444</v>
      </c>
      <c r="C10" s="30">
        <v>2.6666666666666668E-2</v>
      </c>
      <c r="D10" s="30">
        <v>0.12444444444444444</v>
      </c>
      <c r="E10" s="32">
        <v>6.3157894736842107E-2</v>
      </c>
      <c r="F10" s="32">
        <v>0.52368421052631575</v>
      </c>
      <c r="G10" s="32">
        <v>0.37894736842105264</v>
      </c>
      <c r="H10" s="32">
        <v>3.4210526315789476E-2</v>
      </c>
      <c r="I10" s="34">
        <v>74.589473684210532</v>
      </c>
    </row>
    <row r="11" spans="1:28" x14ac:dyDescent="0.25">
      <c r="A11" s="30">
        <v>0.64736842105263159</v>
      </c>
      <c r="B11" s="30">
        <v>0.7967479674796748</v>
      </c>
      <c r="C11" s="30">
        <v>7.3170731707317069E-2</v>
      </c>
      <c r="D11" s="30">
        <v>0.10569105691056911</v>
      </c>
      <c r="E11" s="32">
        <v>0.10263157894736842</v>
      </c>
      <c r="F11" s="32">
        <v>0.52105263157894732</v>
      </c>
      <c r="G11" s="32">
        <v>0.35526315789473684</v>
      </c>
      <c r="H11" s="32">
        <v>2.1052631578947368E-2</v>
      </c>
      <c r="I11" s="34">
        <v>67.418421052631572</v>
      </c>
    </row>
    <row r="12" spans="1:28" x14ac:dyDescent="0.25">
      <c r="A12" s="30">
        <v>0.66578947368421049</v>
      </c>
      <c r="B12" s="30">
        <v>0.83399209486166004</v>
      </c>
      <c r="C12" s="30">
        <v>3.9525691699604744E-2</v>
      </c>
      <c r="D12" s="30">
        <v>0.11857707509881422</v>
      </c>
      <c r="E12" s="32">
        <v>0.11315789473684211</v>
      </c>
      <c r="F12" s="32">
        <v>0.47368421052631576</v>
      </c>
      <c r="G12" s="32">
        <v>0.39210526315789473</v>
      </c>
      <c r="H12" s="32">
        <v>2.1052631578947368E-2</v>
      </c>
      <c r="I12" s="34">
        <v>60.778947368421051</v>
      </c>
    </row>
    <row r="13" spans="1:28" x14ac:dyDescent="0.25">
      <c r="A13" s="30">
        <v>0.65313653136531369</v>
      </c>
      <c r="B13" s="30">
        <v>0.80790960451977401</v>
      </c>
      <c r="C13" s="30">
        <v>7.909604519774012E-2</v>
      </c>
      <c r="D13" s="30">
        <v>0.11016949152542373</v>
      </c>
      <c r="E13" s="32">
        <v>0.14760147601476015</v>
      </c>
      <c r="F13" s="32">
        <v>0.45018450184501846</v>
      </c>
      <c r="G13" s="32">
        <v>0.37822878228782286</v>
      </c>
      <c r="H13" s="32">
        <v>2.3985239852398525E-2</v>
      </c>
      <c r="I13" s="34">
        <v>52.230627306273064</v>
      </c>
    </row>
    <row r="14" spans="1:28" x14ac:dyDescent="0.25">
      <c r="A14" s="30">
        <v>0.64575645756457567</v>
      </c>
      <c r="B14" s="30">
        <v>0.82</v>
      </c>
      <c r="C14" s="30">
        <v>7.7142857142857138E-2</v>
      </c>
      <c r="D14" s="30">
        <v>0.1</v>
      </c>
      <c r="E14" s="32">
        <v>0.18450184501845018</v>
      </c>
      <c r="F14" s="32">
        <v>0.4059040590405904</v>
      </c>
      <c r="G14" s="32">
        <v>0.40774907749077488</v>
      </c>
      <c r="H14" s="32">
        <v>1.8450184501845018E-3</v>
      </c>
      <c r="I14" s="34">
        <v>39.76568265682657</v>
      </c>
    </row>
    <row r="15" spans="1:28" x14ac:dyDescent="0.25">
      <c r="A15" s="30">
        <v>0.68450184501845024</v>
      </c>
      <c r="B15" s="30">
        <v>0.80323450134770891</v>
      </c>
      <c r="C15" s="30">
        <v>0.11051212938005391</v>
      </c>
      <c r="D15" s="30">
        <v>8.3557951482479784E-2</v>
      </c>
      <c r="E15" s="32">
        <v>0.22693726937269373</v>
      </c>
      <c r="F15" s="32">
        <v>0.34870848708487084</v>
      </c>
      <c r="G15" s="32">
        <v>0.42066420664206644</v>
      </c>
      <c r="H15" s="32">
        <v>3.6900369003690036E-3</v>
      </c>
      <c r="I15" s="34">
        <v>26.06088560885609</v>
      </c>
    </row>
    <row r="16" spans="1:28" x14ac:dyDescent="0.25">
      <c r="A16" s="30">
        <v>0.53421052631578947</v>
      </c>
      <c r="B16" s="30">
        <v>0.79802955665024633</v>
      </c>
      <c r="C16" s="30">
        <v>1.9704433497536946E-2</v>
      </c>
      <c r="D16" s="30">
        <v>0.14778325123152711</v>
      </c>
      <c r="E16" s="32">
        <v>7.8947368421052634E-3</v>
      </c>
      <c r="F16" s="32">
        <v>0.95789473684210524</v>
      </c>
      <c r="G16" s="32">
        <v>2.8947368421052631E-2</v>
      </c>
      <c r="H16" s="32">
        <v>5.263157894736842E-3</v>
      </c>
      <c r="I16" s="34">
        <v>76.205263157894734</v>
      </c>
    </row>
    <row r="17" spans="1:28" x14ac:dyDescent="0.25">
      <c r="A17" s="30">
        <v>0.73421052631578942</v>
      </c>
      <c r="B17" s="30">
        <v>0.86738351254480284</v>
      </c>
      <c r="C17" s="30">
        <v>1.0752688172043012E-2</v>
      </c>
      <c r="D17" s="30">
        <v>0.11469534050179211</v>
      </c>
      <c r="E17" s="32">
        <v>5.263157894736842E-3</v>
      </c>
      <c r="F17" s="32">
        <v>0.94736842105263153</v>
      </c>
      <c r="G17" s="32">
        <v>4.2105263157894736E-2</v>
      </c>
      <c r="H17" s="32">
        <v>5.263157894736842E-3</v>
      </c>
      <c r="I17" s="34">
        <v>71.118421052631575</v>
      </c>
    </row>
    <row r="18" spans="1:28" x14ac:dyDescent="0.25">
      <c r="A18" s="30">
        <v>0.8236842105263158</v>
      </c>
      <c r="B18" s="30">
        <v>0.89456869009584661</v>
      </c>
      <c r="C18" s="30">
        <v>3.1948881789137379E-3</v>
      </c>
      <c r="D18" s="30">
        <v>8.3067092651757185E-2</v>
      </c>
      <c r="E18" s="32">
        <v>2.631578947368421E-3</v>
      </c>
      <c r="F18" s="32">
        <v>0.94210526315789478</v>
      </c>
      <c r="G18" s="32">
        <v>0.05</v>
      </c>
      <c r="H18" s="32">
        <v>5.263157894736842E-3</v>
      </c>
      <c r="I18" s="34">
        <v>64</v>
      </c>
    </row>
    <row r="19" spans="1:28" x14ac:dyDescent="0.25">
      <c r="A19" s="30">
        <v>0.80263157894736847</v>
      </c>
      <c r="B19" s="30">
        <v>0.89836065573770496</v>
      </c>
      <c r="C19" s="30">
        <v>9.8360655737704927E-3</v>
      </c>
      <c r="D19" s="30">
        <v>8.1967213114754092E-2</v>
      </c>
      <c r="E19" s="32">
        <v>2.1052631578947368E-2</v>
      </c>
      <c r="F19" s="32">
        <v>0.95</v>
      </c>
      <c r="G19" s="32">
        <v>2.6315789473684209E-2</v>
      </c>
      <c r="H19" s="32">
        <v>2.631578947368421E-3</v>
      </c>
      <c r="I19" s="34">
        <v>58.797368421052632</v>
      </c>
    </row>
    <row r="20" spans="1:28" x14ac:dyDescent="0.25">
      <c r="A20" s="30">
        <v>0.84651162790697676</v>
      </c>
      <c r="B20" s="30">
        <v>0.94871794871794868</v>
      </c>
      <c r="C20" s="30">
        <v>1.4652014652014652E-2</v>
      </c>
      <c r="D20" s="30">
        <v>3.47985347985348E-2</v>
      </c>
      <c r="E20" s="32">
        <v>7.7519379844961239E-3</v>
      </c>
      <c r="F20" s="32">
        <v>0.96279069767441861</v>
      </c>
      <c r="G20" s="32">
        <v>2.7906976744186046E-2</v>
      </c>
      <c r="H20" s="32">
        <v>1.5503875968992248E-3</v>
      </c>
      <c r="I20" s="34">
        <v>52.096124031007754</v>
      </c>
    </row>
    <row r="21" spans="1:28" x14ac:dyDescent="0.25">
      <c r="A21" s="30">
        <v>0.76744186046511631</v>
      </c>
      <c r="B21" s="30">
        <v>0.95151515151515154</v>
      </c>
      <c r="C21" s="30">
        <v>6.0606060606060606E-3</v>
      </c>
      <c r="D21" s="30">
        <v>4.2424242424242427E-2</v>
      </c>
      <c r="E21" s="32">
        <v>1.8604651162790697E-2</v>
      </c>
      <c r="F21" s="32">
        <v>0.94108527131782949</v>
      </c>
      <c r="G21" s="32">
        <v>4.0310077519379844E-2</v>
      </c>
      <c r="H21" s="32">
        <v>0</v>
      </c>
      <c r="I21" s="34">
        <v>42.181395348837206</v>
      </c>
    </row>
    <row r="22" spans="1:28" x14ac:dyDescent="0.25">
      <c r="A22" s="30">
        <v>0.77364341085271315</v>
      </c>
      <c r="B22" s="30">
        <v>0.92585170340681366</v>
      </c>
      <c r="C22" s="30">
        <v>2.4048096192384769E-2</v>
      </c>
      <c r="D22" s="30">
        <v>5.0100200400801605E-2</v>
      </c>
      <c r="E22" s="32">
        <v>6.6666666666666666E-2</v>
      </c>
      <c r="F22" s="32">
        <v>0.87131782945736436</v>
      </c>
      <c r="G22" s="32">
        <v>6.0465116279069767E-2</v>
      </c>
      <c r="H22" s="32">
        <v>1.5503875968992248E-3</v>
      </c>
      <c r="I22" s="34">
        <v>27.190697674418605</v>
      </c>
      <c r="K22" t="s">
        <v>366</v>
      </c>
      <c r="T22" t="s">
        <v>369</v>
      </c>
    </row>
    <row r="23" spans="1:28" x14ac:dyDescent="0.25">
      <c r="A23" s="30">
        <v>0.75937500000000002</v>
      </c>
      <c r="B23" s="30">
        <v>0.3991769547325103</v>
      </c>
      <c r="C23" s="30">
        <v>0.13580246913580246</v>
      </c>
      <c r="D23" s="30">
        <v>0.45267489711934156</v>
      </c>
      <c r="E23" s="32">
        <v>0.72812500000000002</v>
      </c>
      <c r="F23" s="32">
        <v>0.140625</v>
      </c>
      <c r="G23" s="32">
        <v>0.121875</v>
      </c>
      <c r="H23" s="32">
        <v>9.3749999999999997E-3</v>
      </c>
      <c r="I23" s="34">
        <v>69.915625000000006</v>
      </c>
    </row>
    <row r="24" spans="1:28" x14ac:dyDescent="0.25">
      <c r="A24" s="30">
        <v>0.81562500000000004</v>
      </c>
      <c r="B24" s="30">
        <v>0.37164750957854409</v>
      </c>
      <c r="C24" s="30">
        <v>0.27586206896551724</v>
      </c>
      <c r="D24" s="30">
        <v>0.33716475095785442</v>
      </c>
      <c r="E24" s="32">
        <v>0.82187500000000002</v>
      </c>
      <c r="F24" s="32">
        <v>8.7499999999999994E-2</v>
      </c>
      <c r="G24" s="32">
        <v>8.1250000000000003E-2</v>
      </c>
      <c r="H24" s="32">
        <v>9.3749999999999997E-3</v>
      </c>
      <c r="I24" s="34">
        <v>61.565624999999997</v>
      </c>
    </row>
    <row r="25" spans="1:28" x14ac:dyDescent="0.25">
      <c r="A25" s="30">
        <v>0.72318339100346019</v>
      </c>
      <c r="B25" s="30">
        <v>0.36842105263157893</v>
      </c>
      <c r="C25" s="30">
        <v>0.30143540669856461</v>
      </c>
      <c r="D25" s="30">
        <v>0.32775119617224879</v>
      </c>
      <c r="E25" s="32">
        <v>0.76297577854671284</v>
      </c>
      <c r="F25" s="32">
        <v>0.13148788927335639</v>
      </c>
      <c r="G25" s="32">
        <v>0.10207612456747404</v>
      </c>
      <c r="H25" s="32">
        <v>3.4602076124567475E-3</v>
      </c>
      <c r="I25" s="34">
        <v>45.673010380622834</v>
      </c>
    </row>
    <row r="26" spans="1:28" x14ac:dyDescent="0.25">
      <c r="A26" s="30">
        <v>0.77854671280276821</v>
      </c>
      <c r="B26" s="30">
        <v>0.36666666666666664</v>
      </c>
      <c r="C26" s="30">
        <v>0.3288888888888889</v>
      </c>
      <c r="D26" s="30">
        <v>0.30444444444444446</v>
      </c>
      <c r="E26" s="32">
        <v>0.88927335640138405</v>
      </c>
      <c r="F26" s="32">
        <v>5.1903114186851208E-2</v>
      </c>
      <c r="G26" s="32">
        <v>5.8823529411764705E-2</v>
      </c>
      <c r="H26" s="32">
        <v>0</v>
      </c>
      <c r="I26" s="34">
        <v>36.463667820069205</v>
      </c>
      <c r="S26" s="28">
        <f>-0.022+0.7247</f>
        <v>0.70269999999999999</v>
      </c>
      <c r="AB26">
        <f>0.4769+0.5137</f>
        <v>0.99060000000000004</v>
      </c>
    </row>
    <row r="27" spans="1:28" x14ac:dyDescent="0.25">
      <c r="A27" s="30">
        <v>0.80310880829015541</v>
      </c>
      <c r="B27" s="30">
        <v>0.46666666666666667</v>
      </c>
      <c r="C27" s="30">
        <v>0.28387096774193549</v>
      </c>
      <c r="D27" s="30">
        <v>0.24516129032258063</v>
      </c>
      <c r="E27" s="32">
        <v>0.82210708117443865</v>
      </c>
      <c r="F27" s="32">
        <v>9.8445595854922283E-2</v>
      </c>
      <c r="G27" s="32">
        <v>7.7720207253886009E-2</v>
      </c>
      <c r="H27" s="32">
        <v>1.7271157167530224E-3</v>
      </c>
      <c r="I27" s="34">
        <v>25.511226252158895</v>
      </c>
    </row>
    <row r="28" spans="1:28" x14ac:dyDescent="0.25">
      <c r="A28" s="30">
        <v>0.73417721518987344</v>
      </c>
      <c r="B28" s="30">
        <v>0.49137931034482757</v>
      </c>
      <c r="C28" s="30">
        <v>0.25</v>
      </c>
      <c r="D28" s="30">
        <v>0.25431034482758619</v>
      </c>
      <c r="E28" s="32">
        <v>0.54113924050632911</v>
      </c>
      <c r="F28" s="32">
        <v>0.20569620253164558</v>
      </c>
      <c r="G28" s="32">
        <v>0.24367088607594936</v>
      </c>
      <c r="H28" s="32">
        <v>9.4936708860759497E-3</v>
      </c>
      <c r="I28" s="34">
        <v>48.566455696202532</v>
      </c>
    </row>
    <row r="29" spans="1:28" x14ac:dyDescent="0.25">
      <c r="A29" s="30">
        <v>0.76025236593059942</v>
      </c>
      <c r="B29" s="30">
        <v>0.49377593360995853</v>
      </c>
      <c r="C29" s="30">
        <v>0.30290456431535268</v>
      </c>
      <c r="D29" s="30">
        <v>0.2033195020746888</v>
      </c>
      <c r="E29" s="32">
        <v>0.66561514195583593</v>
      </c>
      <c r="F29" s="32">
        <v>0.18611987381703471</v>
      </c>
      <c r="G29" s="32">
        <v>0.14826498422712933</v>
      </c>
      <c r="H29" s="32">
        <v>0</v>
      </c>
      <c r="I29" s="34">
        <v>25.050473186119874</v>
      </c>
    </row>
    <row r="30" spans="1:28" x14ac:dyDescent="0.25">
      <c r="A30" s="30">
        <v>0.61875000000000002</v>
      </c>
      <c r="B30" s="30">
        <v>0.86868686868686873</v>
      </c>
      <c r="C30" s="30">
        <v>2.5252525252525252E-2</v>
      </c>
      <c r="D30" s="30">
        <v>8.5858585858585856E-2</v>
      </c>
      <c r="E30" s="32">
        <v>8.4375000000000006E-2</v>
      </c>
      <c r="F30" s="32">
        <v>0.421875</v>
      </c>
      <c r="G30" s="32">
        <v>0.45</v>
      </c>
      <c r="H30" s="32">
        <v>4.3749999999999997E-2</v>
      </c>
      <c r="I30" s="34">
        <v>73.478125000000006</v>
      </c>
    </row>
    <row r="31" spans="1:28" x14ac:dyDescent="0.25">
      <c r="A31" s="30">
        <v>0.8</v>
      </c>
      <c r="B31" s="30">
        <v>0.8515625</v>
      </c>
      <c r="C31" s="30">
        <v>3.90625E-2</v>
      </c>
      <c r="D31" s="30">
        <v>0.1015625</v>
      </c>
      <c r="E31" s="32">
        <v>0.11874999999999999</v>
      </c>
      <c r="F31" s="32">
        <v>0.4</v>
      </c>
      <c r="G31" s="32">
        <v>0.42499999999999999</v>
      </c>
      <c r="H31" s="32">
        <v>5.6250000000000001E-2</v>
      </c>
      <c r="I31" s="34">
        <v>55.353124999999999</v>
      </c>
    </row>
    <row r="32" spans="1:28" x14ac:dyDescent="0.25">
      <c r="A32" s="30">
        <v>0.72222222222222221</v>
      </c>
      <c r="B32" s="30">
        <v>0.82371794871794868</v>
      </c>
      <c r="C32" s="30">
        <v>7.0512820512820512E-2</v>
      </c>
      <c r="D32" s="30">
        <v>0.10576923076923077</v>
      </c>
      <c r="E32" s="32">
        <v>0.17824074074074073</v>
      </c>
      <c r="F32" s="32">
        <v>0.40277777777777779</v>
      </c>
      <c r="G32" s="32">
        <v>0.40509259259259262</v>
      </c>
      <c r="H32" s="32">
        <v>1.3888888888888888E-2</v>
      </c>
      <c r="I32" s="34">
        <v>37.807870370370374</v>
      </c>
    </row>
    <row r="33" spans="1:28" x14ac:dyDescent="0.25">
      <c r="A33" s="30">
        <v>0.56052631578947365</v>
      </c>
      <c r="B33" s="30">
        <v>0.84507042253521125</v>
      </c>
      <c r="C33" s="30">
        <v>2.8169014084507043E-2</v>
      </c>
      <c r="D33" s="30">
        <v>0.107981220657277</v>
      </c>
      <c r="E33" s="32">
        <v>7.1052631578947367E-2</v>
      </c>
      <c r="F33" s="32">
        <v>0.66052631578947374</v>
      </c>
      <c r="G33" s="32">
        <v>0.24736842105263157</v>
      </c>
      <c r="H33" s="32">
        <v>2.1052631578947368E-2</v>
      </c>
      <c r="I33" s="34">
        <v>76.184210526315795</v>
      </c>
    </row>
    <row r="34" spans="1:28" x14ac:dyDescent="0.25">
      <c r="A34" s="30">
        <v>0.75789473684210529</v>
      </c>
      <c r="B34" s="30">
        <v>0.85416666666666663</v>
      </c>
      <c r="C34" s="30">
        <v>4.1666666666666664E-2</v>
      </c>
      <c r="D34" s="30">
        <v>0.10416666666666667</v>
      </c>
      <c r="E34" s="32">
        <v>0.11052631578947368</v>
      </c>
      <c r="F34" s="32">
        <v>0.62894736842105259</v>
      </c>
      <c r="G34" s="32">
        <v>0.24473684210526317</v>
      </c>
      <c r="H34" s="32">
        <v>1.5789473684210527E-2</v>
      </c>
      <c r="I34" s="34">
        <v>63.478947368421053</v>
      </c>
    </row>
    <row r="35" spans="1:28" x14ac:dyDescent="0.25">
      <c r="A35" s="30">
        <v>0.75172413793103443</v>
      </c>
      <c r="B35" s="30">
        <v>0.83486238532110091</v>
      </c>
      <c r="C35" s="30">
        <v>2.7522935779816515E-2</v>
      </c>
      <c r="D35" s="30">
        <v>0.12538226299694188</v>
      </c>
      <c r="E35" s="32">
        <v>0.10344827586206896</v>
      </c>
      <c r="F35" s="32">
        <v>0.6344827586206897</v>
      </c>
      <c r="G35" s="32">
        <v>0.23218390804597702</v>
      </c>
      <c r="H35" s="32">
        <v>2.9885057471264367E-2</v>
      </c>
      <c r="I35" s="34">
        <v>52.793103448275865</v>
      </c>
    </row>
    <row r="36" spans="1:28" x14ac:dyDescent="0.25">
      <c r="A36" s="30">
        <v>0.69495412844036697</v>
      </c>
      <c r="B36" s="30">
        <v>0.81188118811881194</v>
      </c>
      <c r="C36" s="30">
        <v>6.2706270627062702E-2</v>
      </c>
      <c r="D36" s="30">
        <v>0.11881188118811881</v>
      </c>
      <c r="E36" s="32">
        <v>0.15137614678899083</v>
      </c>
      <c r="F36" s="32">
        <v>0.59174311926605505</v>
      </c>
      <c r="G36" s="32">
        <v>0.24082568807339449</v>
      </c>
      <c r="H36" s="32">
        <v>1.6055045871559634E-2</v>
      </c>
      <c r="I36" s="34">
        <v>39.199541284403672</v>
      </c>
    </row>
    <row r="37" spans="1:28" x14ac:dyDescent="0.25">
      <c r="A37" s="30">
        <v>0.74541284403669728</v>
      </c>
      <c r="B37" s="30">
        <v>0.71692307692307689</v>
      </c>
      <c r="C37" s="30">
        <v>0.12615384615384614</v>
      </c>
      <c r="D37" s="30">
        <v>0.15076923076923077</v>
      </c>
      <c r="E37" s="32">
        <v>0.28669724770642202</v>
      </c>
      <c r="F37" s="32">
        <v>0.49311926605504586</v>
      </c>
      <c r="G37" s="32">
        <v>0.19495412844036697</v>
      </c>
      <c r="H37" s="32">
        <v>2.5229357798165139E-2</v>
      </c>
      <c r="I37" s="34">
        <v>26.522935779816514</v>
      </c>
    </row>
    <row r="38" spans="1:28" x14ac:dyDescent="0.25">
      <c r="A38" s="30">
        <v>0.65</v>
      </c>
      <c r="B38" s="30">
        <v>0.68016194331983804</v>
      </c>
      <c r="C38" s="30">
        <v>6.0728744939271252E-2</v>
      </c>
      <c r="D38" s="30">
        <v>0.23886639676113361</v>
      </c>
      <c r="E38" s="32">
        <v>0.1736842105263158</v>
      </c>
      <c r="F38" s="32">
        <v>0.33157894736842103</v>
      </c>
      <c r="G38" s="32">
        <v>0.47368421052631576</v>
      </c>
      <c r="H38" s="32">
        <v>2.1052631578947368E-2</v>
      </c>
      <c r="I38" s="34">
        <v>72.284210526315789</v>
      </c>
    </row>
    <row r="39" spans="1:28" x14ac:dyDescent="0.25">
      <c r="A39" s="30">
        <v>0.80263157894736847</v>
      </c>
      <c r="B39" s="30">
        <v>0.74426229508196717</v>
      </c>
      <c r="C39" s="30">
        <v>5.5737704918032788E-2</v>
      </c>
      <c r="D39" s="30">
        <v>0.18360655737704917</v>
      </c>
      <c r="E39" s="32">
        <v>0.20263157894736841</v>
      </c>
      <c r="F39" s="32">
        <v>0.23947368421052631</v>
      </c>
      <c r="G39" s="32">
        <v>0.5368421052631579</v>
      </c>
      <c r="H39" s="32">
        <v>2.1052631578947368E-2</v>
      </c>
      <c r="I39" s="34">
        <v>65.305263157894743</v>
      </c>
    </row>
    <row r="40" spans="1:28" x14ac:dyDescent="0.25">
      <c r="A40" s="30">
        <v>0.82894736842105265</v>
      </c>
      <c r="B40" s="30">
        <v>0.68571428571428572</v>
      </c>
      <c r="C40" s="30">
        <v>9.5238095238095233E-2</v>
      </c>
      <c r="D40" s="30">
        <v>0.19682539682539682</v>
      </c>
      <c r="E40" s="32">
        <v>0.24210526315789474</v>
      </c>
      <c r="F40" s="32">
        <v>0.21578947368421053</v>
      </c>
      <c r="G40" s="32">
        <v>0.51315789473684215</v>
      </c>
      <c r="H40" s="32">
        <v>2.8947368421052631E-2</v>
      </c>
      <c r="I40" s="34">
        <v>56.873684210526314</v>
      </c>
    </row>
    <row r="41" spans="1:28" x14ac:dyDescent="0.25">
      <c r="A41" s="30">
        <v>0.67169179229480735</v>
      </c>
      <c r="B41" s="30">
        <v>0.55860349127182041</v>
      </c>
      <c r="C41" s="30">
        <v>0.14962593516209477</v>
      </c>
      <c r="D41" s="30">
        <v>0.20698254364089774</v>
      </c>
      <c r="E41" s="32">
        <v>0.46231155778894473</v>
      </c>
      <c r="F41" s="32">
        <v>0.22613065326633167</v>
      </c>
      <c r="G41" s="32">
        <v>0.2897822445561139</v>
      </c>
      <c r="H41" s="32">
        <v>2.1775544388609715E-2</v>
      </c>
      <c r="I41" s="34">
        <v>49.077051926298161</v>
      </c>
      <c r="K41" t="s">
        <v>367</v>
      </c>
      <c r="T41" t="s">
        <v>370</v>
      </c>
    </row>
    <row r="42" spans="1:28" x14ac:dyDescent="0.25">
      <c r="A42" s="30">
        <v>0.70351758793969854</v>
      </c>
      <c r="B42" s="30">
        <v>0.64523809523809528</v>
      </c>
      <c r="C42" s="30">
        <v>0.19285714285714287</v>
      </c>
      <c r="D42" s="30">
        <v>0.15952380952380951</v>
      </c>
      <c r="E42" s="32">
        <v>0.43718592964824121</v>
      </c>
      <c r="F42" s="32">
        <v>0.16582914572864321</v>
      </c>
      <c r="G42" s="32">
        <v>0.37520938023450584</v>
      </c>
      <c r="H42" s="32">
        <v>2.1775544388609715E-2</v>
      </c>
      <c r="I42" s="34">
        <v>41.825795644891123</v>
      </c>
    </row>
    <row r="43" spans="1:28" x14ac:dyDescent="0.25">
      <c r="A43" s="30">
        <v>0.66220735785953178</v>
      </c>
      <c r="B43" s="30">
        <v>0.67929292929292928</v>
      </c>
      <c r="C43" s="30">
        <v>0.14141414141414141</v>
      </c>
      <c r="D43" s="30">
        <v>0.16666666666666666</v>
      </c>
      <c r="E43" s="32">
        <v>0.44816053511705684</v>
      </c>
      <c r="F43" s="32">
        <v>0.13712374581939799</v>
      </c>
      <c r="G43" s="32">
        <v>0.39799331103678931</v>
      </c>
      <c r="H43" s="32">
        <v>1.6722408026755852E-2</v>
      </c>
      <c r="I43" s="34">
        <v>35.449832775919731</v>
      </c>
    </row>
    <row r="44" spans="1:28" x14ac:dyDescent="0.25">
      <c r="A44" s="30">
        <v>0.76588628762541811</v>
      </c>
      <c r="B44" s="30">
        <v>0.72270742358078599</v>
      </c>
      <c r="C44" s="30">
        <v>0.14192139737991266</v>
      </c>
      <c r="D44" s="30">
        <v>0.12882096069868995</v>
      </c>
      <c r="E44" s="32">
        <v>0.3511705685618729</v>
      </c>
      <c r="F44" s="32">
        <v>0.14548494983277591</v>
      </c>
      <c r="G44" s="32">
        <v>0.50334448160535117</v>
      </c>
      <c r="H44" s="32">
        <v>0</v>
      </c>
      <c r="I44" s="34">
        <v>25.008361204013379</v>
      </c>
    </row>
    <row r="45" spans="1:28" x14ac:dyDescent="0.25">
      <c r="S45" s="28">
        <f>-0.1571+0.7518</f>
        <v>0.59470000000000001</v>
      </c>
      <c r="AB45" s="28">
        <f>0.0536+0.7406</f>
        <v>0.79420000000000002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7431-F813-4BEF-8002-33C1EF2129CE}">
  <dimension ref="A1:AB57"/>
  <sheetViews>
    <sheetView tabSelected="1" workbookViewId="0">
      <pane xSplit="4" ySplit="1" topLeftCell="Q2" activePane="bottomRight" state="frozen"/>
      <selection pane="topRight" activeCell="E1" sqref="E1"/>
      <selection pane="bottomLeft" activeCell="A2" sqref="A2"/>
      <selection pane="bottomRight" activeCell="AB50" sqref="AB50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18" t="s">
        <v>353</v>
      </c>
      <c r="B1" s="18" t="s">
        <v>246</v>
      </c>
      <c r="C1" s="18" t="s">
        <v>247</v>
      </c>
      <c r="D1" s="18" t="s">
        <v>248</v>
      </c>
      <c r="E1" s="18" t="s">
        <v>342</v>
      </c>
      <c r="F1" s="18" t="s">
        <v>343</v>
      </c>
      <c r="G1" s="18" t="s">
        <v>344</v>
      </c>
      <c r="H1" s="18" t="s">
        <v>345</v>
      </c>
      <c r="I1" s="18" t="s">
        <v>346</v>
      </c>
    </row>
    <row r="2" spans="1:28" x14ac:dyDescent="0.25">
      <c r="A2" s="106">
        <v>0.70263157894736838</v>
      </c>
      <c r="B2" s="106">
        <v>0.77153558052434457</v>
      </c>
      <c r="C2" s="106">
        <v>2.9962546816479401E-2</v>
      </c>
      <c r="D2" s="106">
        <v>0.19101123595505617</v>
      </c>
      <c r="E2" s="108">
        <v>0.12105263157894737</v>
      </c>
      <c r="F2" s="108">
        <v>0.73421052631578942</v>
      </c>
      <c r="G2" s="108">
        <v>0.14210526315789473</v>
      </c>
      <c r="H2" s="108">
        <v>2.631578947368421E-3</v>
      </c>
      <c r="I2" s="109">
        <v>69.815789473684205</v>
      </c>
      <c r="K2" t="s">
        <v>365</v>
      </c>
      <c r="T2" t="s">
        <v>368</v>
      </c>
    </row>
    <row r="3" spans="1:28" x14ac:dyDescent="0.25">
      <c r="A3" s="106">
        <v>0.85263157894736841</v>
      </c>
      <c r="B3" s="106">
        <v>0.81172839506172845</v>
      </c>
      <c r="C3" s="106">
        <v>3.0864197530864196E-2</v>
      </c>
      <c r="D3" s="106">
        <v>0.15740740740740741</v>
      </c>
      <c r="E3" s="108">
        <v>0.12631578947368421</v>
      </c>
      <c r="F3" s="108">
        <v>0.80263157894736847</v>
      </c>
      <c r="G3" s="108">
        <v>7.1052631578947367E-2</v>
      </c>
      <c r="H3" s="108">
        <v>0</v>
      </c>
      <c r="I3" s="109">
        <v>62.042105263157893</v>
      </c>
    </row>
    <row r="4" spans="1:28" x14ac:dyDescent="0.25">
      <c r="A4" s="106">
        <v>0.85526315789473684</v>
      </c>
      <c r="B4" s="106">
        <v>0.82461538461538464</v>
      </c>
      <c r="C4" s="106">
        <v>0.04</v>
      </c>
      <c r="D4" s="106">
        <v>0.13230769230769232</v>
      </c>
      <c r="E4" s="108">
        <v>0.10526315789473684</v>
      </c>
      <c r="F4" s="108">
        <v>0.80263157894736847</v>
      </c>
      <c r="G4" s="108">
        <v>8.4210526315789472E-2</v>
      </c>
      <c r="H4" s="108">
        <v>7.8947368421052634E-3</v>
      </c>
      <c r="I4" s="109">
        <v>54.976315789473681</v>
      </c>
    </row>
    <row r="5" spans="1:28" x14ac:dyDescent="0.25">
      <c r="A5" s="106">
        <v>0.82741935483870965</v>
      </c>
      <c r="B5" s="106">
        <v>0.88304093567251463</v>
      </c>
      <c r="C5" s="106">
        <v>5.2631578947368418E-2</v>
      </c>
      <c r="D5" s="106">
        <v>5.6530214424951264E-2</v>
      </c>
      <c r="E5" s="108">
        <v>8.387096774193549E-2</v>
      </c>
      <c r="F5" s="108">
        <v>0.77741935483870972</v>
      </c>
      <c r="G5" s="108">
        <v>0.13709677419354838</v>
      </c>
      <c r="H5" s="108">
        <v>1.6129032258064516E-3</v>
      </c>
      <c r="I5" s="109">
        <v>47.196774193548386</v>
      </c>
    </row>
    <row r="6" spans="1:28" x14ac:dyDescent="0.25">
      <c r="A6" s="106">
        <v>0.73913043478260865</v>
      </c>
      <c r="B6" s="106">
        <v>0.89324618736383443</v>
      </c>
      <c r="C6" s="106">
        <v>3.9215686274509803E-2</v>
      </c>
      <c r="D6" s="106">
        <v>6.7538126361655779E-2</v>
      </c>
      <c r="E6" s="108">
        <v>0.10466988727858294</v>
      </c>
      <c r="F6" s="108">
        <v>0.71497584541062797</v>
      </c>
      <c r="G6" s="108">
        <v>0.18035426731078905</v>
      </c>
      <c r="H6" s="108">
        <v>0</v>
      </c>
      <c r="I6" s="109">
        <v>37.122383252818032</v>
      </c>
      <c r="S6" s="28">
        <f>0.0088+0.7544</f>
        <v>0.76319999999999999</v>
      </c>
      <c r="AB6" s="28">
        <f>-0.7647+0.9409</f>
        <v>0.17619999999999991</v>
      </c>
    </row>
    <row r="7" spans="1:28" x14ac:dyDescent="0.25">
      <c r="A7" s="106">
        <v>0.77777777777777779</v>
      </c>
      <c r="B7" s="106">
        <v>0.84472049689440998</v>
      </c>
      <c r="C7" s="106">
        <v>7.0393374741200831E-2</v>
      </c>
      <c r="D7" s="106">
        <v>6.2111801242236024E-2</v>
      </c>
      <c r="E7" s="108">
        <v>0.1320450885668277</v>
      </c>
      <c r="F7" s="108">
        <v>0.64412238325281801</v>
      </c>
      <c r="G7" s="108">
        <v>0.22222222222222221</v>
      </c>
      <c r="H7" s="108">
        <v>1.6103059581320451E-3</v>
      </c>
      <c r="I7" s="109">
        <v>24.62962962962963</v>
      </c>
    </row>
    <row r="8" spans="1:28" x14ac:dyDescent="0.25">
      <c r="A8" s="106">
        <v>0.76756756756756761</v>
      </c>
      <c r="B8" s="106">
        <v>0.48943661971830987</v>
      </c>
      <c r="C8" s="106">
        <v>7.3943661971830985E-2</v>
      </c>
      <c r="D8" s="106">
        <v>0.426056338028169</v>
      </c>
      <c r="E8" s="108">
        <v>0.51081081081081081</v>
      </c>
      <c r="F8" s="108">
        <v>0.33243243243243242</v>
      </c>
      <c r="G8" s="108">
        <v>0.15135135135135136</v>
      </c>
      <c r="H8" s="108">
        <v>5.4054054054054057E-3</v>
      </c>
      <c r="I8" s="109">
        <v>65.248648648648654</v>
      </c>
    </row>
    <row r="9" spans="1:28" x14ac:dyDescent="0.25">
      <c r="A9" s="106">
        <v>0.79953379953379955</v>
      </c>
      <c r="B9" s="106">
        <v>0.57434402332361512</v>
      </c>
      <c r="C9" s="106">
        <v>0.15160349854227406</v>
      </c>
      <c r="D9" s="106">
        <v>0.26822157434402333</v>
      </c>
      <c r="E9" s="108">
        <v>0.44289044289044288</v>
      </c>
      <c r="F9" s="108">
        <v>0.36596736596736595</v>
      </c>
      <c r="G9" s="108">
        <v>0.18648018648018649</v>
      </c>
      <c r="H9" s="108">
        <v>4.662004662004662E-3</v>
      </c>
      <c r="I9" s="109">
        <v>44.694638694638698</v>
      </c>
    </row>
    <row r="10" spans="1:28" x14ac:dyDescent="0.25">
      <c r="A10" s="106">
        <v>0.75524475524475521</v>
      </c>
      <c r="B10" s="106">
        <v>0.33024691358024694</v>
      </c>
      <c r="C10" s="106">
        <v>0.35185185185185186</v>
      </c>
      <c r="D10" s="106">
        <v>0.31481481481481483</v>
      </c>
      <c r="E10" s="108">
        <v>0.82983682983682983</v>
      </c>
      <c r="F10" s="108">
        <v>0.11888111888111888</v>
      </c>
      <c r="G10" s="108">
        <v>5.128205128205128E-2</v>
      </c>
      <c r="H10" s="108">
        <v>0</v>
      </c>
      <c r="I10" s="109">
        <v>27.547785547785548</v>
      </c>
    </row>
    <row r="11" spans="1:28" x14ac:dyDescent="0.25">
      <c r="A11" s="106">
        <v>0.67368421052631577</v>
      </c>
      <c r="B11" s="106">
        <v>0.8203125</v>
      </c>
      <c r="C11" s="106">
        <v>4.296875E-2</v>
      </c>
      <c r="D11" s="106">
        <v>0.12109375</v>
      </c>
      <c r="E11" s="108">
        <v>0.13421052631578947</v>
      </c>
      <c r="F11" s="108">
        <v>0.37368421052631579</v>
      </c>
      <c r="G11" s="108">
        <v>0.45263157894736844</v>
      </c>
      <c r="H11" s="108">
        <v>3.9473684210526314E-2</v>
      </c>
      <c r="I11" s="109">
        <v>70.95</v>
      </c>
    </row>
    <row r="12" spans="1:28" x14ac:dyDescent="0.25">
      <c r="A12" s="106">
        <v>0.74473684210526314</v>
      </c>
      <c r="B12" s="106">
        <v>0.81625441696113077</v>
      </c>
      <c r="C12" s="106">
        <v>2.4734982332155476E-2</v>
      </c>
      <c r="D12" s="106">
        <v>0.13780918727915195</v>
      </c>
      <c r="E12" s="108">
        <v>0.1</v>
      </c>
      <c r="F12" s="108">
        <v>0.4026315789473684</v>
      </c>
      <c r="G12" s="108">
        <v>0.47631578947368419</v>
      </c>
      <c r="H12" s="108">
        <v>2.1052631578947368E-2</v>
      </c>
      <c r="I12" s="109">
        <v>64.297368421052639</v>
      </c>
    </row>
    <row r="13" spans="1:28" x14ac:dyDescent="0.25">
      <c r="A13" s="106">
        <v>0.77631578947368418</v>
      </c>
      <c r="B13" s="106">
        <v>0.83389830508474572</v>
      </c>
      <c r="C13" s="106">
        <v>3.3898305084745763E-2</v>
      </c>
      <c r="D13" s="106">
        <v>0.12203389830508475</v>
      </c>
      <c r="E13" s="108">
        <v>0.10526315789473684</v>
      </c>
      <c r="F13" s="108">
        <v>0.40789473684210525</v>
      </c>
      <c r="G13" s="108">
        <v>0.4631578947368421</v>
      </c>
      <c r="H13" s="108">
        <v>2.368421052631579E-2</v>
      </c>
      <c r="I13" s="109">
        <v>55.381578947368418</v>
      </c>
    </row>
    <row r="14" spans="1:28" x14ac:dyDescent="0.25">
      <c r="A14" s="106">
        <v>0.7593220338983051</v>
      </c>
      <c r="B14" s="106">
        <v>0.8482142857142857</v>
      </c>
      <c r="C14" s="106">
        <v>8.2589285714285712E-2</v>
      </c>
      <c r="D14" s="106">
        <v>6.6964285714285712E-2</v>
      </c>
      <c r="E14" s="108">
        <v>0.12542372881355932</v>
      </c>
      <c r="F14" s="108">
        <v>0.44067796610169491</v>
      </c>
      <c r="G14" s="108">
        <v>0.4101694915254237</v>
      </c>
      <c r="H14" s="108">
        <v>2.3728813559322035E-2</v>
      </c>
      <c r="I14" s="109">
        <v>45.538983050847456</v>
      </c>
    </row>
    <row r="15" spans="1:28" x14ac:dyDescent="0.25">
      <c r="A15" s="106">
        <v>0.71016949152542375</v>
      </c>
      <c r="B15" s="106">
        <v>0.85441527446300713</v>
      </c>
      <c r="C15" s="106">
        <v>5.7279236276849645E-2</v>
      </c>
      <c r="D15" s="106">
        <v>8.5918854415274457E-2</v>
      </c>
      <c r="E15" s="108">
        <v>0.13728813559322034</v>
      </c>
      <c r="F15" s="108">
        <v>0.43389830508474575</v>
      </c>
      <c r="G15" s="108">
        <v>0.4152542372881356</v>
      </c>
      <c r="H15" s="108">
        <v>1.3559322033898305E-2</v>
      </c>
      <c r="I15" s="109">
        <v>35.537288135593222</v>
      </c>
    </row>
    <row r="16" spans="1:28" x14ac:dyDescent="0.25">
      <c r="A16" s="106">
        <v>0.7220338983050848</v>
      </c>
      <c r="B16" s="106">
        <v>0.852112676056338</v>
      </c>
      <c r="C16" s="106">
        <v>7.0422535211267609E-2</v>
      </c>
      <c r="D16" s="106">
        <v>7.0422535211267609E-2</v>
      </c>
      <c r="E16" s="108">
        <v>0.1440677966101695</v>
      </c>
      <c r="F16" s="108">
        <v>0.36949152542372882</v>
      </c>
      <c r="G16" s="108">
        <v>0.47457627118644069</v>
      </c>
      <c r="H16" s="108">
        <v>1.1864406779661017E-2</v>
      </c>
      <c r="I16" s="109">
        <v>24.349152542372881</v>
      </c>
    </row>
    <row r="17" spans="1:28" x14ac:dyDescent="0.25">
      <c r="A17" s="106">
        <v>0.745</v>
      </c>
      <c r="B17" s="106">
        <v>0.80201342281879195</v>
      </c>
      <c r="C17" s="106">
        <v>3.0201342281879196E-2</v>
      </c>
      <c r="D17" s="106">
        <v>0.16778523489932887</v>
      </c>
      <c r="E17" s="108">
        <v>8.2500000000000004E-2</v>
      </c>
      <c r="F17" s="108">
        <v>0.78500000000000003</v>
      </c>
      <c r="G17" s="108">
        <v>0.1275</v>
      </c>
      <c r="H17" s="108">
        <v>5.0000000000000001E-3</v>
      </c>
      <c r="I17" s="109">
        <v>69.075000000000003</v>
      </c>
    </row>
    <row r="18" spans="1:28" x14ac:dyDescent="0.25">
      <c r="A18" s="106">
        <v>0.70529801324503316</v>
      </c>
      <c r="B18" s="106">
        <v>0.76291079812206575</v>
      </c>
      <c r="C18" s="106">
        <v>0.11502347417840375</v>
      </c>
      <c r="D18" s="106">
        <v>0.12206572769953052</v>
      </c>
      <c r="E18" s="108">
        <v>0.24172185430463577</v>
      </c>
      <c r="F18" s="108">
        <v>0.61092715231788075</v>
      </c>
      <c r="G18" s="108">
        <v>0.14735099337748345</v>
      </c>
      <c r="H18" s="108">
        <v>0</v>
      </c>
      <c r="I18" s="109">
        <v>32.602649006622514</v>
      </c>
    </row>
    <row r="19" spans="1:28" x14ac:dyDescent="0.25">
      <c r="A19" s="106">
        <v>0.51621621621621616</v>
      </c>
      <c r="B19" s="106">
        <v>0.70157068062827221</v>
      </c>
      <c r="C19" s="106">
        <v>6.8062827225130892E-2</v>
      </c>
      <c r="D19" s="106">
        <v>0.193717277486911</v>
      </c>
      <c r="E19" s="108">
        <v>0.14594594594594595</v>
      </c>
      <c r="F19" s="108">
        <v>0.49189189189189192</v>
      </c>
      <c r="G19" s="108">
        <v>0.34054054054054056</v>
      </c>
      <c r="H19" s="108">
        <v>2.1621621621621623E-2</v>
      </c>
      <c r="I19" s="109">
        <v>68.781081081081084</v>
      </c>
    </row>
    <row r="20" spans="1:28" x14ac:dyDescent="0.25">
      <c r="A20" s="106">
        <v>0.76486486486486482</v>
      </c>
      <c r="B20" s="106">
        <v>0.78445229681978801</v>
      </c>
      <c r="C20" s="106">
        <v>3.5335689045936397E-2</v>
      </c>
      <c r="D20" s="106">
        <v>0.16961130742049471</v>
      </c>
      <c r="E20" s="108">
        <v>0.13783783783783785</v>
      </c>
      <c r="F20" s="108">
        <v>0.57027027027027022</v>
      </c>
      <c r="G20" s="108">
        <v>0.28378378378378377</v>
      </c>
      <c r="H20" s="108">
        <v>8.1081081081081086E-3</v>
      </c>
      <c r="I20" s="109">
        <v>74.697297297297297</v>
      </c>
    </row>
    <row r="21" spans="1:28" x14ac:dyDescent="0.25">
      <c r="A21" s="106">
        <v>0.79459459459459458</v>
      </c>
      <c r="B21" s="106">
        <v>0.74489795918367352</v>
      </c>
      <c r="C21" s="106">
        <v>6.8027210884353748E-2</v>
      </c>
      <c r="D21" s="106">
        <v>0.18027210884353742</v>
      </c>
      <c r="E21" s="108">
        <v>0.1864864864864865</v>
      </c>
      <c r="F21" s="108">
        <v>0.5</v>
      </c>
      <c r="G21" s="108">
        <v>0.3</v>
      </c>
      <c r="H21" s="108">
        <v>1.3513513513513514E-2</v>
      </c>
      <c r="I21" s="109">
        <v>70.413513513513507</v>
      </c>
    </row>
    <row r="22" spans="1:28" x14ac:dyDescent="0.25">
      <c r="A22" s="106">
        <v>0.80270270270270272</v>
      </c>
      <c r="B22" s="106">
        <v>0.70707070707070707</v>
      </c>
      <c r="C22" s="106">
        <v>7.407407407407407E-2</v>
      </c>
      <c r="D22" s="106">
        <v>0.20875420875420875</v>
      </c>
      <c r="E22" s="108">
        <v>0.22432432432432434</v>
      </c>
      <c r="F22" s="108">
        <v>0.49189189189189192</v>
      </c>
      <c r="G22" s="108">
        <v>0.26216216216216215</v>
      </c>
      <c r="H22" s="108">
        <v>2.1621621621621623E-2</v>
      </c>
      <c r="I22" s="109">
        <v>67.402702702702697</v>
      </c>
      <c r="K22" t="s">
        <v>366</v>
      </c>
      <c r="T22" t="s">
        <v>369</v>
      </c>
    </row>
    <row r="23" spans="1:28" x14ac:dyDescent="0.25">
      <c r="A23" s="106">
        <v>0.81351351351351353</v>
      </c>
      <c r="B23" s="106">
        <v>0.82059800664451832</v>
      </c>
      <c r="C23" s="106">
        <v>5.647840531561462E-2</v>
      </c>
      <c r="D23" s="106">
        <v>0.11960132890365449</v>
      </c>
      <c r="E23" s="108">
        <v>0.13243243243243244</v>
      </c>
      <c r="F23" s="108">
        <v>0.6</v>
      </c>
      <c r="G23" s="108">
        <v>0.25945945945945947</v>
      </c>
      <c r="H23" s="108">
        <v>8.1081081081081086E-3</v>
      </c>
      <c r="I23" s="109">
        <v>64.708108108108107</v>
      </c>
    </row>
    <row r="24" spans="1:28" x14ac:dyDescent="0.25">
      <c r="A24" s="106">
        <v>0.8</v>
      </c>
      <c r="B24" s="106">
        <v>0.81418918918918914</v>
      </c>
      <c r="C24" s="106">
        <v>5.4054054054054057E-2</v>
      </c>
      <c r="D24" s="106">
        <v>0.11148648648648649</v>
      </c>
      <c r="E24" s="108">
        <v>0.15945945945945947</v>
      </c>
      <c r="F24" s="108">
        <v>0.56216216216216219</v>
      </c>
      <c r="G24" s="108">
        <v>0.26486486486486488</v>
      </c>
      <c r="H24" s="108">
        <v>1.3513513513513514E-2</v>
      </c>
      <c r="I24" s="109">
        <v>62.116216216216216</v>
      </c>
    </row>
    <row r="25" spans="1:28" x14ac:dyDescent="0.25">
      <c r="A25" s="106">
        <v>0.79459459459459458</v>
      </c>
      <c r="B25" s="106">
        <v>0.86734693877551017</v>
      </c>
      <c r="C25" s="106">
        <v>4.0816326530612242E-2</v>
      </c>
      <c r="D25" s="106">
        <v>8.5034013605442174E-2</v>
      </c>
      <c r="E25" s="108">
        <v>0.11081081081081082</v>
      </c>
      <c r="F25" s="108">
        <v>0.61351351351351346</v>
      </c>
      <c r="G25" s="108">
        <v>0.25405405405405407</v>
      </c>
      <c r="H25" s="108">
        <v>2.1621621621621623E-2</v>
      </c>
      <c r="I25" s="109">
        <v>59.645945945945947</v>
      </c>
      <c r="AB25">
        <f>0.4375+0.57</f>
        <v>1.0074999999999998</v>
      </c>
    </row>
    <row r="26" spans="1:28" x14ac:dyDescent="0.25">
      <c r="A26" s="106">
        <v>0.80221811460258785</v>
      </c>
      <c r="B26" s="106">
        <v>0.91935483870967738</v>
      </c>
      <c r="C26" s="106">
        <v>2.0737327188940093E-2</v>
      </c>
      <c r="D26" s="106">
        <v>4.8387096774193547E-2</v>
      </c>
      <c r="E26" s="108">
        <v>9.9815157116451017E-2</v>
      </c>
      <c r="F26" s="108">
        <v>0.61182994454713491</v>
      </c>
      <c r="G26" s="108">
        <v>0.2754158964879852</v>
      </c>
      <c r="H26" s="108">
        <v>1.2939001848428836E-2</v>
      </c>
      <c r="I26" s="109">
        <v>56.325323475046211</v>
      </c>
      <c r="S26" s="28">
        <f>0.0138+0.7477</f>
        <v>0.76150000000000007</v>
      </c>
    </row>
    <row r="27" spans="1:28" x14ac:dyDescent="0.25">
      <c r="A27" s="106">
        <v>0.78743068391866911</v>
      </c>
      <c r="B27" s="106">
        <v>0.8779342723004695</v>
      </c>
      <c r="C27" s="106">
        <v>4.2253521126760563E-2</v>
      </c>
      <c r="D27" s="106">
        <v>7.9812206572769953E-2</v>
      </c>
      <c r="E27" s="108">
        <v>0.11645101663585952</v>
      </c>
      <c r="F27" s="108">
        <v>0.56931608133086875</v>
      </c>
      <c r="G27" s="108">
        <v>0.29574861367837341</v>
      </c>
      <c r="H27" s="108">
        <v>1.8484288354898338E-2</v>
      </c>
      <c r="I27" s="109">
        <v>52.245841035120151</v>
      </c>
    </row>
    <row r="28" spans="1:28" x14ac:dyDescent="0.25">
      <c r="A28" s="106">
        <v>0.7837338262476895</v>
      </c>
      <c r="B28" s="106">
        <v>0.85613207547169812</v>
      </c>
      <c r="C28" s="106">
        <v>5.4245283018867926E-2</v>
      </c>
      <c r="D28" s="106">
        <v>8.7264150943396221E-2</v>
      </c>
      <c r="E28" s="108">
        <v>0.14048059149722736</v>
      </c>
      <c r="F28" s="108">
        <v>0.57486136783733821</v>
      </c>
      <c r="G28" s="108">
        <v>0.28096118299445472</v>
      </c>
      <c r="H28" s="108">
        <v>3.6968576709796672E-3</v>
      </c>
      <c r="I28" s="109">
        <v>48.499075785582257</v>
      </c>
    </row>
    <row r="29" spans="1:28" x14ac:dyDescent="0.25">
      <c r="A29" s="106">
        <v>0.74306839186691309</v>
      </c>
      <c r="B29" s="106">
        <v>0.79353233830845771</v>
      </c>
      <c r="C29" s="106">
        <v>9.4527363184079602E-2</v>
      </c>
      <c r="D29" s="106">
        <v>0.10945273631840796</v>
      </c>
      <c r="E29" s="108">
        <v>0.18299445471349354</v>
      </c>
      <c r="F29" s="108">
        <v>0.51201478743068396</v>
      </c>
      <c r="G29" s="108">
        <v>0.29020332717190389</v>
      </c>
      <c r="H29" s="108">
        <v>1.4787430683918669E-2</v>
      </c>
      <c r="I29" s="109">
        <v>44.902033271719041</v>
      </c>
    </row>
    <row r="30" spans="1:28" x14ac:dyDescent="0.25">
      <c r="A30" s="106">
        <v>0.72828096118299446</v>
      </c>
      <c r="B30" s="106">
        <v>0.77157360406091369</v>
      </c>
      <c r="C30" s="106">
        <v>0.10913705583756345</v>
      </c>
      <c r="D30" s="106">
        <v>0.11928934010152284</v>
      </c>
      <c r="E30" s="108">
        <v>0.21996303142329021</v>
      </c>
      <c r="F30" s="108">
        <v>0.51571164510166356</v>
      </c>
      <c r="G30" s="108">
        <v>0.25878003696857671</v>
      </c>
      <c r="H30" s="108">
        <v>5.5452865064695009E-3</v>
      </c>
      <c r="I30" s="109">
        <v>42.022181146025879</v>
      </c>
    </row>
    <row r="31" spans="1:28" x14ac:dyDescent="0.25">
      <c r="A31" s="106">
        <v>0.74676524953789281</v>
      </c>
      <c r="B31" s="106">
        <v>0.77722772277227725</v>
      </c>
      <c r="C31" s="106">
        <v>0.10148514851485149</v>
      </c>
      <c r="D31" s="106">
        <v>0.11633663366336634</v>
      </c>
      <c r="E31" s="108">
        <v>0.22181146025878004</v>
      </c>
      <c r="F31" s="108">
        <v>0.47689463955637706</v>
      </c>
      <c r="G31" s="108">
        <v>0.29944547134935307</v>
      </c>
      <c r="H31" s="108">
        <v>1.8484288354898336E-3</v>
      </c>
      <c r="I31" s="109">
        <v>39.556377079482438</v>
      </c>
    </row>
    <row r="32" spans="1:28" x14ac:dyDescent="0.25">
      <c r="A32" s="106">
        <v>0.72088724584103514</v>
      </c>
      <c r="B32" s="106">
        <v>0.74615384615384617</v>
      </c>
      <c r="C32" s="106">
        <v>0.13076923076923078</v>
      </c>
      <c r="D32" s="106">
        <v>0.11282051282051282</v>
      </c>
      <c r="E32" s="108">
        <v>0.27171903881700554</v>
      </c>
      <c r="F32" s="108">
        <v>0.46025878003696857</v>
      </c>
      <c r="G32" s="108">
        <v>0.25878003696857671</v>
      </c>
      <c r="H32" s="108">
        <v>9.242144177449169E-3</v>
      </c>
      <c r="I32" s="109">
        <v>37.199630314232905</v>
      </c>
    </row>
    <row r="33" spans="1:28" x14ac:dyDescent="0.25">
      <c r="A33" s="106">
        <v>0.7140221402214022</v>
      </c>
      <c r="B33" s="106">
        <v>0.74935400516795869</v>
      </c>
      <c r="C33" s="106">
        <v>0.12144702842377261</v>
      </c>
      <c r="D33" s="106">
        <v>0.12919896640826872</v>
      </c>
      <c r="E33" s="108">
        <v>0.30073800738007378</v>
      </c>
      <c r="F33" s="108">
        <v>0.45940959409594095</v>
      </c>
      <c r="G33" s="108">
        <v>0.23616236162361623</v>
      </c>
      <c r="H33" s="108">
        <v>3.6900369003690036E-3</v>
      </c>
      <c r="I33" s="109">
        <v>34.891143911439116</v>
      </c>
    </row>
    <row r="34" spans="1:28" x14ac:dyDescent="0.25">
      <c r="A34" s="106">
        <v>0.71771217712177127</v>
      </c>
      <c r="B34" s="106">
        <v>0.76092544987146526</v>
      </c>
      <c r="C34" s="106">
        <v>0.12596401028277635</v>
      </c>
      <c r="D34" s="106">
        <v>0.11311053984575835</v>
      </c>
      <c r="E34" s="108">
        <v>0.28782287822878228</v>
      </c>
      <c r="F34" s="108">
        <v>0.45018450184501846</v>
      </c>
      <c r="G34" s="108">
        <v>0.25645756457564578</v>
      </c>
      <c r="H34" s="108">
        <v>5.5350553505535052E-3</v>
      </c>
      <c r="I34" s="109">
        <v>32.440959409594093</v>
      </c>
    </row>
    <row r="35" spans="1:28" x14ac:dyDescent="0.25">
      <c r="A35" s="106">
        <v>0.72509225092250917</v>
      </c>
      <c r="B35" s="106">
        <v>0.77353689567430028</v>
      </c>
      <c r="C35" s="106">
        <v>0.12468193384223919</v>
      </c>
      <c r="D35" s="106">
        <v>9.9236641221374045E-2</v>
      </c>
      <c r="E35" s="108">
        <v>0.26568265682656828</v>
      </c>
      <c r="F35" s="108">
        <v>0.42988929889298894</v>
      </c>
      <c r="G35" s="108">
        <v>0.29704797047970477</v>
      </c>
      <c r="H35" s="108">
        <v>7.3800738007380072E-3</v>
      </c>
      <c r="I35" s="109">
        <v>29.712177121771219</v>
      </c>
    </row>
    <row r="36" spans="1:28" x14ac:dyDescent="0.25">
      <c r="A36" s="106">
        <v>0.77121771217712176</v>
      </c>
      <c r="B36" s="106">
        <v>0.8133971291866029</v>
      </c>
      <c r="C36" s="106">
        <v>0.10287081339712918</v>
      </c>
      <c r="D36" s="106">
        <v>8.3732057416267949E-2</v>
      </c>
      <c r="E36" s="108">
        <v>0.21771217712177121</v>
      </c>
      <c r="F36" s="108">
        <v>0.43726937269372695</v>
      </c>
      <c r="G36" s="108">
        <v>0.34317343173431736</v>
      </c>
      <c r="H36" s="108">
        <v>1.8450184501845018E-3</v>
      </c>
      <c r="I36" s="109">
        <v>26.822878228782287</v>
      </c>
    </row>
    <row r="37" spans="1:28" x14ac:dyDescent="0.25">
      <c r="A37" s="106">
        <v>0.79151291512915134</v>
      </c>
      <c r="B37" s="106">
        <v>0.80885780885780889</v>
      </c>
      <c r="C37" s="106">
        <v>9.7902097902097904E-2</v>
      </c>
      <c r="D37" s="106">
        <v>8.6247086247086241E-2</v>
      </c>
      <c r="E37" s="108">
        <v>0.22878228782287824</v>
      </c>
      <c r="F37" s="108">
        <v>0.4059040590405904</v>
      </c>
      <c r="G37" s="108">
        <v>0.36531365313653136</v>
      </c>
      <c r="H37" s="108">
        <v>0</v>
      </c>
      <c r="I37" s="109">
        <v>23.649446494464943</v>
      </c>
    </row>
    <row r="38" spans="1:28" x14ac:dyDescent="0.25">
      <c r="A38" s="106">
        <v>0.83210332103321039</v>
      </c>
      <c r="B38" s="106">
        <v>0.74501108647450109</v>
      </c>
      <c r="C38" s="106">
        <v>0.14855875831485588</v>
      </c>
      <c r="D38" s="106">
        <v>0.10199556541019955</v>
      </c>
      <c r="E38" s="108">
        <v>0.29520295202952029</v>
      </c>
      <c r="F38" s="108">
        <v>0.34686346863468637</v>
      </c>
      <c r="G38" s="108">
        <v>0.35793357933579334</v>
      </c>
      <c r="H38" s="108">
        <v>0</v>
      </c>
      <c r="I38" s="109">
        <v>20.097785977859779</v>
      </c>
    </row>
    <row r="39" spans="1:28" x14ac:dyDescent="0.25">
      <c r="A39" s="106">
        <v>0.75555555555555554</v>
      </c>
      <c r="B39" s="106">
        <v>0.8294117647058824</v>
      </c>
      <c r="C39" s="106">
        <v>6.4705882352941183E-2</v>
      </c>
      <c r="D39" s="106">
        <v>0.10294117647058823</v>
      </c>
      <c r="E39" s="108">
        <v>0.13111111111111112</v>
      </c>
      <c r="F39" s="108">
        <v>0.6</v>
      </c>
      <c r="G39" s="108">
        <v>0.25333333333333335</v>
      </c>
      <c r="H39" s="108">
        <v>1.5555555555555555E-2</v>
      </c>
      <c r="I39" s="109">
        <v>60.671111111111109</v>
      </c>
    </row>
    <row r="40" spans="1:28" x14ac:dyDescent="0.25">
      <c r="A40" s="106">
        <v>0.73606557377049175</v>
      </c>
      <c r="B40" s="106">
        <v>0.83518930957683746</v>
      </c>
      <c r="C40" s="106">
        <v>8.4632516703786187E-2</v>
      </c>
      <c r="D40" s="106">
        <v>7.3496659242761692E-2</v>
      </c>
      <c r="E40" s="108">
        <v>0.15901639344262294</v>
      </c>
      <c r="F40" s="108">
        <v>0.60491803278688527</v>
      </c>
      <c r="G40" s="108">
        <v>0.23278688524590163</v>
      </c>
      <c r="H40" s="108">
        <v>3.2786885245901639E-3</v>
      </c>
      <c r="I40" s="109">
        <v>38.501639344262294</v>
      </c>
    </row>
    <row r="41" spans="1:28" x14ac:dyDescent="0.25">
      <c r="A41" s="106">
        <v>0.76104746317512273</v>
      </c>
      <c r="B41" s="106">
        <v>0.7870967741935484</v>
      </c>
      <c r="C41" s="106">
        <v>0.1032258064516129</v>
      </c>
      <c r="D41" s="106">
        <v>0.10967741935483871</v>
      </c>
      <c r="E41" s="108">
        <v>0.24549918166939444</v>
      </c>
      <c r="F41" s="108">
        <v>0.4746317512274959</v>
      </c>
      <c r="G41" s="108">
        <v>0.27495908346972175</v>
      </c>
      <c r="H41" s="108">
        <v>4.9099836333878887E-3</v>
      </c>
      <c r="I41" s="109">
        <v>23.846153846153847</v>
      </c>
      <c r="K41" t="s">
        <v>367</v>
      </c>
      <c r="T41" t="s">
        <v>370</v>
      </c>
    </row>
    <row r="42" spans="1:28" x14ac:dyDescent="0.25">
      <c r="A42" s="106">
        <v>0.61315789473684212</v>
      </c>
      <c r="B42" s="106">
        <v>0.87982832618025753</v>
      </c>
      <c r="C42" s="106">
        <v>1.2875536480686695E-2</v>
      </c>
      <c r="D42" s="106">
        <v>8.5836909871244635E-2</v>
      </c>
      <c r="E42" s="108">
        <v>2.368421052631579E-2</v>
      </c>
      <c r="F42" s="108">
        <v>0.78157894736842104</v>
      </c>
      <c r="G42" s="108">
        <v>0.1763157894736842</v>
      </c>
      <c r="H42" s="108">
        <v>1.8421052631578946E-2</v>
      </c>
      <c r="I42" s="109">
        <v>73.368421052631575</v>
      </c>
    </row>
    <row r="43" spans="1:28" x14ac:dyDescent="0.25">
      <c r="A43" s="106">
        <v>0.78421052631578947</v>
      </c>
      <c r="B43" s="106">
        <v>0.92281879194630867</v>
      </c>
      <c r="C43" s="106">
        <v>2.3489932885906041E-2</v>
      </c>
      <c r="D43" s="106">
        <v>5.0335570469798654E-2</v>
      </c>
      <c r="E43" s="108">
        <v>2.1052631578947368E-2</v>
      </c>
      <c r="F43" s="108">
        <v>0.81578947368421051</v>
      </c>
      <c r="G43" s="108">
        <v>0.15789473684210525</v>
      </c>
      <c r="H43" s="108">
        <v>5.263157894736842E-3</v>
      </c>
      <c r="I43" s="109">
        <v>69.315789473684205</v>
      </c>
    </row>
    <row r="44" spans="1:28" x14ac:dyDescent="0.25">
      <c r="A44" s="106">
        <v>0.76842105263157889</v>
      </c>
      <c r="B44" s="106">
        <v>0.95205479452054798</v>
      </c>
      <c r="C44" s="106">
        <v>1.0273972602739725E-2</v>
      </c>
      <c r="D44" s="106">
        <v>3.0821917808219176E-2</v>
      </c>
      <c r="E44" s="108">
        <v>2.6315789473684209E-2</v>
      </c>
      <c r="F44" s="108">
        <v>0.84473684210526312</v>
      </c>
      <c r="G44" s="108">
        <v>0.11842105263157894</v>
      </c>
      <c r="H44" s="108">
        <v>1.0526315789473684E-2</v>
      </c>
      <c r="I44" s="109">
        <v>62.8</v>
      </c>
    </row>
    <row r="45" spans="1:28" x14ac:dyDescent="0.25">
      <c r="A45" s="106">
        <v>0.75036284470246739</v>
      </c>
      <c r="B45" s="106">
        <v>0.94197292069632499</v>
      </c>
      <c r="C45" s="106">
        <v>1.160541586073501E-2</v>
      </c>
      <c r="D45" s="106">
        <v>3.6750483558994199E-2</v>
      </c>
      <c r="E45" s="108">
        <v>7.2568940493468797E-3</v>
      </c>
      <c r="F45" s="108">
        <v>0.85776487663280121</v>
      </c>
      <c r="G45" s="108">
        <v>0.12481857764876633</v>
      </c>
      <c r="H45" s="108">
        <v>1.0159651669085631E-2</v>
      </c>
      <c r="I45" s="109">
        <v>56.29898403483309</v>
      </c>
    </row>
    <row r="46" spans="1:28" x14ac:dyDescent="0.25">
      <c r="A46" s="106">
        <v>0.75181422351233673</v>
      </c>
      <c r="B46" s="106">
        <v>0.9498069498069498</v>
      </c>
      <c r="C46" s="106">
        <v>2.3166023166023165E-2</v>
      </c>
      <c r="D46" s="106">
        <v>2.7027027027027029E-2</v>
      </c>
      <c r="E46" s="108">
        <v>2.0319303338171262E-2</v>
      </c>
      <c r="F46" s="108">
        <v>0.84615384615384615</v>
      </c>
      <c r="G46" s="108">
        <v>0.12191582002902758</v>
      </c>
      <c r="H46" s="108">
        <v>1.1611030478955007E-2</v>
      </c>
      <c r="I46" s="109">
        <v>49.062409288824384</v>
      </c>
      <c r="S46" s="28">
        <f>-0.0325+0.7641</f>
        <v>0.73160000000000003</v>
      </c>
      <c r="AB46" s="28">
        <f>0.0915+0.8001</f>
        <v>0.89160000000000006</v>
      </c>
    </row>
    <row r="47" spans="1:28" x14ac:dyDescent="0.25">
      <c r="A47" s="106">
        <v>0.70101596516690856</v>
      </c>
      <c r="B47" s="106">
        <v>0.93581780538302273</v>
      </c>
      <c r="C47" s="106">
        <v>1.8633540372670808E-2</v>
      </c>
      <c r="D47" s="106">
        <v>4.3478260869565216E-2</v>
      </c>
      <c r="E47" s="108">
        <v>3.6284470246734396E-2</v>
      </c>
      <c r="F47" s="108">
        <v>0.88098693759071123</v>
      </c>
      <c r="G47" s="108">
        <v>7.982583454281568E-2</v>
      </c>
      <c r="H47" s="108">
        <v>2.9027576197387518E-3</v>
      </c>
      <c r="I47" s="109">
        <v>42.613933236574745</v>
      </c>
    </row>
    <row r="48" spans="1:28" x14ac:dyDescent="0.25">
      <c r="A48" s="106">
        <v>0.72568940493468792</v>
      </c>
      <c r="B48" s="106">
        <v>0.94199999999999995</v>
      </c>
      <c r="C48" s="106">
        <v>2.1999999999999999E-2</v>
      </c>
      <c r="D48" s="106">
        <v>3.5999999999999997E-2</v>
      </c>
      <c r="E48" s="108">
        <v>4.2089985486211901E-2</v>
      </c>
      <c r="F48" s="108">
        <v>0.81277213352685052</v>
      </c>
      <c r="G48" s="108">
        <v>0.14078374455732948</v>
      </c>
      <c r="H48" s="108">
        <v>4.3541364296081275E-3</v>
      </c>
      <c r="I48" s="109">
        <v>36.978229317851962</v>
      </c>
    </row>
    <row r="49" spans="1:9" x14ac:dyDescent="0.25">
      <c r="A49" s="106">
        <v>0.68650217706821481</v>
      </c>
      <c r="B49" s="106">
        <v>0.92600422832980978</v>
      </c>
      <c r="C49" s="106">
        <v>2.3255813953488372E-2</v>
      </c>
      <c r="D49" s="106">
        <v>3.8054968287526428E-2</v>
      </c>
      <c r="E49" s="108">
        <v>3.483309143686502E-2</v>
      </c>
      <c r="F49" s="108">
        <v>0.85050798258345428</v>
      </c>
      <c r="G49" s="108">
        <v>0.11030478955007257</v>
      </c>
      <c r="H49" s="108">
        <v>4.3541364296081275E-3</v>
      </c>
      <c r="I49" s="109">
        <v>31.624092888243833</v>
      </c>
    </row>
    <row r="50" spans="1:9" x14ac:dyDescent="0.25">
      <c r="A50" s="106">
        <v>0.75907111756168355</v>
      </c>
      <c r="B50" s="106">
        <v>0.95411089866156784</v>
      </c>
      <c r="C50" s="106">
        <v>1.9120458891013385E-2</v>
      </c>
      <c r="D50" s="106">
        <v>2.2944550669216062E-2</v>
      </c>
      <c r="E50" s="108">
        <v>3.0478955007256895E-2</v>
      </c>
      <c r="F50" s="108">
        <v>0.85921625544267055</v>
      </c>
      <c r="G50" s="108">
        <v>0.10595065312046444</v>
      </c>
      <c r="H50" s="108">
        <v>4.3541364296081275E-3</v>
      </c>
      <c r="I50" s="109">
        <v>26.576197387518143</v>
      </c>
    </row>
    <row r="51" spans="1:9" x14ac:dyDescent="0.25">
      <c r="A51" s="106">
        <v>0.81567489114658931</v>
      </c>
      <c r="B51" s="106">
        <v>0.94839857651245552</v>
      </c>
      <c r="C51" s="106">
        <v>2.491103202846975E-2</v>
      </c>
      <c r="D51" s="106">
        <v>2.1352313167259787E-2</v>
      </c>
      <c r="E51" s="108">
        <v>3.3381712626995644E-2</v>
      </c>
      <c r="F51" s="108">
        <v>0.85776487663280121</v>
      </c>
      <c r="G51" s="108">
        <v>0.10885341074020319</v>
      </c>
      <c r="H51" s="108">
        <v>0</v>
      </c>
      <c r="I51" s="109">
        <v>21.110304789550071</v>
      </c>
    </row>
    <row r="52" spans="1:9" x14ac:dyDescent="0.25">
      <c r="A52" s="106">
        <v>0.73157894736842111</v>
      </c>
      <c r="B52" s="106">
        <v>0.85251798561151082</v>
      </c>
      <c r="C52" s="106">
        <v>2.8776978417266189E-2</v>
      </c>
      <c r="D52" s="106">
        <v>0.10431654676258993</v>
      </c>
      <c r="E52" s="108">
        <v>2.6315789473684209E-2</v>
      </c>
      <c r="F52" s="108">
        <v>0.48157894736842105</v>
      </c>
      <c r="G52" s="108">
        <v>0.47368421052631576</v>
      </c>
      <c r="H52" s="108">
        <v>1.8421052631578946E-2</v>
      </c>
      <c r="I52" s="109">
        <v>69.555263157894743</v>
      </c>
    </row>
    <row r="53" spans="1:9" x14ac:dyDescent="0.25">
      <c r="A53" s="106">
        <v>0.84210526315789469</v>
      </c>
      <c r="B53" s="106">
        <v>0.91874999999999996</v>
      </c>
      <c r="C53" s="106">
        <v>2.1874999999999999E-2</v>
      </c>
      <c r="D53" s="106">
        <v>5.6250000000000001E-2</v>
      </c>
      <c r="E53" s="108">
        <v>3.1578947368421054E-2</v>
      </c>
      <c r="F53" s="108">
        <v>0.51052631578947372</v>
      </c>
      <c r="G53" s="108">
        <v>0.44473684210526315</v>
      </c>
      <c r="H53" s="108">
        <v>1.3157894736842105E-2</v>
      </c>
      <c r="I53" s="109">
        <v>61.044736842105266</v>
      </c>
    </row>
    <row r="54" spans="1:9" x14ac:dyDescent="0.25">
      <c r="A54" s="106">
        <v>0.80368098159509205</v>
      </c>
      <c r="B54" s="106">
        <v>0.93320610687022898</v>
      </c>
      <c r="C54" s="106">
        <v>1.5267175572519083E-2</v>
      </c>
      <c r="D54" s="106">
        <v>4.9618320610687022E-2</v>
      </c>
      <c r="E54" s="108">
        <v>3.2208588957055216E-2</v>
      </c>
      <c r="F54" s="108">
        <v>0.56595092024539873</v>
      </c>
      <c r="G54" s="108">
        <v>0.39417177914110429</v>
      </c>
      <c r="H54" s="108">
        <v>7.6687116564417178E-3</v>
      </c>
      <c r="I54" s="109">
        <v>49.521472392638039</v>
      </c>
    </row>
    <row r="55" spans="1:9" x14ac:dyDescent="0.25">
      <c r="A55" s="106">
        <v>0.74846625766871167</v>
      </c>
      <c r="B55" s="106">
        <v>0.92213114754098358</v>
      </c>
      <c r="C55" s="106">
        <v>3.2786885245901641E-2</v>
      </c>
      <c r="D55" s="106">
        <v>4.3032786885245901E-2</v>
      </c>
      <c r="E55" s="108">
        <v>4.4478527607361963E-2</v>
      </c>
      <c r="F55" s="108">
        <v>0.55214723926380371</v>
      </c>
      <c r="G55" s="108">
        <v>0.39570552147239263</v>
      </c>
      <c r="H55" s="108">
        <v>7.6687116564417178E-3</v>
      </c>
      <c r="I55" s="109">
        <v>38.95092024539877</v>
      </c>
    </row>
    <row r="56" spans="1:9" x14ac:dyDescent="0.25">
      <c r="A56" s="106">
        <v>0.72546012269938653</v>
      </c>
      <c r="B56" s="106">
        <v>0.92177589852008457</v>
      </c>
      <c r="C56" s="106">
        <v>2.748414376321353E-2</v>
      </c>
      <c r="D56" s="106">
        <v>4.8625792811839326E-2</v>
      </c>
      <c r="E56" s="108">
        <v>7.6687116564417179E-2</v>
      </c>
      <c r="F56" s="108">
        <v>0.53374233128834359</v>
      </c>
      <c r="G56" s="108">
        <v>0.37883435582822084</v>
      </c>
      <c r="H56" s="108">
        <v>1.0736196319018405E-2</v>
      </c>
      <c r="I56" s="109">
        <v>31.219325153374232</v>
      </c>
    </row>
    <row r="57" spans="1:9" x14ac:dyDescent="0.25">
      <c r="A57" s="106">
        <v>0.7975460122699386</v>
      </c>
      <c r="B57" s="106">
        <v>0.92692307692307696</v>
      </c>
      <c r="C57" s="106">
        <v>2.8846153846153848E-2</v>
      </c>
      <c r="D57" s="106">
        <v>4.4230769230769233E-2</v>
      </c>
      <c r="E57" s="108">
        <v>8.4355828220858894E-2</v>
      </c>
      <c r="F57" s="108">
        <v>0.54601226993865026</v>
      </c>
      <c r="G57" s="108">
        <v>0.36809815950920244</v>
      </c>
      <c r="H57" s="108">
        <v>1.5337423312883436E-3</v>
      </c>
      <c r="I57" s="109">
        <v>23.042944785276074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4F47-AB74-49AF-AAE2-B5F803E97C4F}">
  <dimension ref="A1:AB60"/>
  <sheetViews>
    <sheetView workbookViewId="0">
      <pane xSplit="4" ySplit="1" topLeftCell="K2" activePane="bottomRight" state="frozen"/>
      <selection pane="topRight" activeCell="E1" sqref="E1"/>
      <selection pane="bottomLeft" activeCell="A2" sqref="A2"/>
      <selection pane="bottomRight" activeCell="AB46" sqref="AB46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18" t="s">
        <v>353</v>
      </c>
      <c r="B1" s="18" t="s">
        <v>246</v>
      </c>
      <c r="C1" s="18" t="s">
        <v>247</v>
      </c>
      <c r="D1" s="18" t="s">
        <v>248</v>
      </c>
      <c r="E1" s="18" t="s">
        <v>342</v>
      </c>
      <c r="F1" s="18" t="s">
        <v>343</v>
      </c>
      <c r="G1" s="18" t="s">
        <v>344</v>
      </c>
      <c r="H1" s="18" t="s">
        <v>345</v>
      </c>
      <c r="I1" s="18" t="s">
        <v>346</v>
      </c>
    </row>
    <row r="2" spans="1:28" x14ac:dyDescent="0.25">
      <c r="A2" s="111">
        <v>0.61315789473684212</v>
      </c>
      <c r="B2" s="111">
        <v>0.93133047210300424</v>
      </c>
      <c r="C2" s="111">
        <v>4.2918454935622317E-3</v>
      </c>
      <c r="D2" s="111">
        <v>5.1502145922746781E-2</v>
      </c>
      <c r="E2" s="113">
        <v>2.368421052631579E-2</v>
      </c>
      <c r="F2" s="113">
        <v>0.8236842105263158</v>
      </c>
      <c r="G2" s="113">
        <v>0.13421052631578947</v>
      </c>
      <c r="H2" s="113">
        <v>1.8421052631578946E-2</v>
      </c>
      <c r="I2" s="114">
        <v>72.607894736842098</v>
      </c>
      <c r="K2" t="s">
        <v>365</v>
      </c>
      <c r="T2" t="s">
        <v>368</v>
      </c>
    </row>
    <row r="3" spans="1:28" x14ac:dyDescent="0.25">
      <c r="A3" s="111">
        <v>0.78947368421052633</v>
      </c>
      <c r="B3" s="111">
        <v>0.94</v>
      </c>
      <c r="C3" s="111">
        <v>0.01</v>
      </c>
      <c r="D3" s="111">
        <v>0.05</v>
      </c>
      <c r="E3" s="113">
        <v>2.368421052631579E-2</v>
      </c>
      <c r="F3" s="113">
        <v>0.80526315789473679</v>
      </c>
      <c r="G3" s="113">
        <v>0.15526315789473685</v>
      </c>
      <c r="H3" s="113">
        <v>1.5789473684210527E-2</v>
      </c>
      <c r="I3" s="114">
        <v>61.481578947368419</v>
      </c>
    </row>
    <row r="4" spans="1:28" x14ac:dyDescent="0.25">
      <c r="A4" s="111">
        <v>0.75747508305647837</v>
      </c>
      <c r="B4" s="111">
        <v>0.94078947368421051</v>
      </c>
      <c r="C4" s="111">
        <v>1.7543859649122806E-2</v>
      </c>
      <c r="D4" s="111">
        <v>4.1666666666666664E-2</v>
      </c>
      <c r="E4" s="113">
        <v>2.4916943521594685E-2</v>
      </c>
      <c r="F4" s="113">
        <v>0.84883720930232553</v>
      </c>
      <c r="G4" s="113">
        <v>0.10963455149501661</v>
      </c>
      <c r="H4" s="113">
        <v>1.6611295681063124E-2</v>
      </c>
      <c r="I4" s="114">
        <v>51.303986710963457</v>
      </c>
    </row>
    <row r="5" spans="1:28" x14ac:dyDescent="0.25">
      <c r="A5" s="111">
        <v>0.7595356550580431</v>
      </c>
      <c r="B5" s="111">
        <v>0.92576419213973804</v>
      </c>
      <c r="C5" s="111">
        <v>2.8384279475982533E-2</v>
      </c>
      <c r="D5" s="111">
        <v>4.3668122270742356E-2</v>
      </c>
      <c r="E5" s="113">
        <v>4.975124378109453E-2</v>
      </c>
      <c r="F5" s="113">
        <v>0.8192371475953566</v>
      </c>
      <c r="G5" s="113">
        <v>0.12271973466003316</v>
      </c>
      <c r="H5" s="113">
        <v>8.291873963515755E-3</v>
      </c>
      <c r="I5" s="114">
        <v>41.086235489220563</v>
      </c>
    </row>
    <row r="6" spans="1:28" x14ac:dyDescent="0.25">
      <c r="A6" s="111">
        <v>0.72139303482587069</v>
      </c>
      <c r="B6" s="111">
        <v>0.94252873563218387</v>
      </c>
      <c r="C6" s="111">
        <v>2.0689655172413793E-2</v>
      </c>
      <c r="D6" s="111">
        <v>3.2183908045977011E-2</v>
      </c>
      <c r="E6" s="113">
        <v>5.6384742951907131E-2</v>
      </c>
      <c r="F6" s="113">
        <v>0.80431177446102819</v>
      </c>
      <c r="G6" s="113">
        <v>0.13598673300165837</v>
      </c>
      <c r="H6" s="113">
        <v>3.3167495854063019E-3</v>
      </c>
      <c r="I6" s="114">
        <v>32.203980099502488</v>
      </c>
      <c r="S6" s="28">
        <f>0.1109+0.7405</f>
        <v>0.85140000000000005</v>
      </c>
      <c r="AB6" s="28">
        <f>-0.8262+0.9502</f>
        <v>0.124</v>
      </c>
    </row>
    <row r="7" spans="1:28" x14ac:dyDescent="0.25">
      <c r="A7" s="111">
        <v>0.76616915422885568</v>
      </c>
      <c r="B7" s="111">
        <v>0.93506493506493504</v>
      </c>
      <c r="C7" s="111">
        <v>3.2467532467532464E-2</v>
      </c>
      <c r="D7" s="111">
        <v>2.813852813852814E-2</v>
      </c>
      <c r="E7" s="113">
        <v>5.9701492537313432E-2</v>
      </c>
      <c r="F7" s="113">
        <v>0.76948590381426207</v>
      </c>
      <c r="G7" s="113">
        <v>0.16583747927031509</v>
      </c>
      <c r="H7" s="113">
        <v>4.9751243781094526E-3</v>
      </c>
      <c r="I7" s="114">
        <v>23.102819237147596</v>
      </c>
    </row>
    <row r="8" spans="1:28" x14ac:dyDescent="0.25">
      <c r="A8" s="111">
        <v>0.59473684210526312</v>
      </c>
      <c r="B8" s="111">
        <v>0.89823008849557517</v>
      </c>
      <c r="C8" s="111">
        <v>2.6548672566371681E-2</v>
      </c>
      <c r="D8" s="111">
        <v>6.1946902654867256E-2</v>
      </c>
      <c r="E8" s="113">
        <v>7.8947368421052634E-3</v>
      </c>
      <c r="F8" s="113">
        <v>0.84473684210526312</v>
      </c>
      <c r="G8" s="113">
        <v>0.13157894736842105</v>
      </c>
      <c r="H8" s="113">
        <v>1.5789473684210527E-2</v>
      </c>
      <c r="I8" s="114">
        <v>76.005263157894731</v>
      </c>
    </row>
    <row r="9" spans="1:28" x14ac:dyDescent="0.25">
      <c r="A9" s="111">
        <v>0.78157894736842104</v>
      </c>
      <c r="B9" s="111">
        <v>0.93939393939393945</v>
      </c>
      <c r="C9" s="111">
        <v>1.3468013468013467E-2</v>
      </c>
      <c r="D9" s="111">
        <v>4.7138047138047139E-2</v>
      </c>
      <c r="E9" s="113">
        <v>2.1052631578947368E-2</v>
      </c>
      <c r="F9" s="113">
        <v>0.85789473684210527</v>
      </c>
      <c r="G9" s="113">
        <v>0.11052631578947368</v>
      </c>
      <c r="H9" s="113">
        <v>1.0526315789473684E-2</v>
      </c>
      <c r="I9" s="114">
        <v>66.702631578947361</v>
      </c>
    </row>
    <row r="10" spans="1:28" x14ac:dyDescent="0.25">
      <c r="A10" s="111">
        <v>0.79210526315789476</v>
      </c>
      <c r="B10" s="111">
        <v>0.93687707641196016</v>
      </c>
      <c r="C10" s="111">
        <v>1.3289036544850499E-2</v>
      </c>
      <c r="D10" s="111">
        <v>3.9867109634551492E-2</v>
      </c>
      <c r="E10" s="113">
        <v>2.8947368421052631E-2</v>
      </c>
      <c r="F10" s="113">
        <v>0.85</v>
      </c>
      <c r="G10" s="113">
        <v>0.11842105263157894</v>
      </c>
      <c r="H10" s="113">
        <v>2.631578947368421E-3</v>
      </c>
      <c r="I10" s="114">
        <v>59.323684210526316</v>
      </c>
    </row>
    <row r="11" spans="1:28" x14ac:dyDescent="0.25">
      <c r="A11" s="111">
        <v>0.75456053067993367</v>
      </c>
      <c r="B11" s="111">
        <v>0.92307692307692313</v>
      </c>
      <c r="C11" s="111">
        <v>3.2967032967032968E-2</v>
      </c>
      <c r="D11" s="111">
        <v>3.5164835164835165E-2</v>
      </c>
      <c r="E11" s="113">
        <v>5.306799336650083E-2</v>
      </c>
      <c r="F11" s="113">
        <v>0.83913764510779432</v>
      </c>
      <c r="G11" s="113">
        <v>9.7844112769485903E-2</v>
      </c>
      <c r="H11" s="113">
        <v>9.9502487562189053E-3</v>
      </c>
      <c r="I11" s="114">
        <v>49.99336650082919</v>
      </c>
    </row>
    <row r="12" spans="1:28" x14ac:dyDescent="0.25">
      <c r="A12" s="111">
        <v>0.69536423841059603</v>
      </c>
      <c r="B12" s="111">
        <v>0.92380952380952386</v>
      </c>
      <c r="C12" s="111">
        <v>3.0952380952380953E-2</v>
      </c>
      <c r="D12" s="111">
        <v>4.5238095238095237E-2</v>
      </c>
      <c r="E12" s="113">
        <v>8.2781456953642391E-2</v>
      </c>
      <c r="F12" s="113">
        <v>0.79139072847682124</v>
      </c>
      <c r="G12" s="113">
        <v>0.12086092715231789</v>
      </c>
      <c r="H12" s="113">
        <v>4.9668874172185433E-3</v>
      </c>
      <c r="I12" s="114">
        <v>40.562913907284766</v>
      </c>
    </row>
    <row r="13" spans="1:28" x14ac:dyDescent="0.25">
      <c r="A13" s="111">
        <v>0.6870860927152318</v>
      </c>
      <c r="B13" s="111">
        <v>0.92048192771084336</v>
      </c>
      <c r="C13" s="111">
        <v>3.3734939759036145E-2</v>
      </c>
      <c r="D13" s="111">
        <v>4.3373493975903614E-2</v>
      </c>
      <c r="E13" s="113">
        <v>9.7682119205298013E-2</v>
      </c>
      <c r="F13" s="113">
        <v>0.76158940397350994</v>
      </c>
      <c r="G13" s="113">
        <v>0.13741721854304637</v>
      </c>
      <c r="H13" s="113">
        <v>3.3112582781456954E-3</v>
      </c>
      <c r="I13" s="114">
        <v>32.253311258278146</v>
      </c>
    </row>
    <row r="14" spans="1:28" x14ac:dyDescent="0.25">
      <c r="A14" s="111">
        <v>0.79635761589403975</v>
      </c>
      <c r="B14" s="111">
        <v>0.86486486486486491</v>
      </c>
      <c r="C14" s="111">
        <v>8.9397089397089402E-2</v>
      </c>
      <c r="D14" s="111">
        <v>4.5738045738045741E-2</v>
      </c>
      <c r="E14" s="113">
        <v>0.19205298013245034</v>
      </c>
      <c r="F14" s="113">
        <v>0.64403973509933776</v>
      </c>
      <c r="G14" s="113">
        <v>0.16390728476821192</v>
      </c>
      <c r="H14" s="113">
        <v>0</v>
      </c>
      <c r="I14" s="114">
        <v>22.890728476821192</v>
      </c>
    </row>
    <row r="15" spans="1:28" x14ac:dyDescent="0.25">
      <c r="A15" s="111">
        <v>0.57894736842105265</v>
      </c>
      <c r="B15" s="111">
        <v>0.82727272727272727</v>
      </c>
      <c r="C15" s="111">
        <v>4.0909090909090909E-2</v>
      </c>
      <c r="D15" s="111">
        <v>9.5454545454545459E-2</v>
      </c>
      <c r="E15" s="113">
        <v>0</v>
      </c>
      <c r="F15" s="113">
        <v>0.93421052631578949</v>
      </c>
      <c r="G15" s="113">
        <v>6.0526315789473685E-2</v>
      </c>
      <c r="H15" s="113">
        <v>5.263157894736842E-3</v>
      </c>
      <c r="I15" s="114">
        <v>76.813157894736847</v>
      </c>
    </row>
    <row r="16" spans="1:28" x14ac:dyDescent="0.25">
      <c r="A16" s="111">
        <v>0.75789473684210529</v>
      </c>
      <c r="B16" s="111">
        <v>0.90972222222222221</v>
      </c>
      <c r="C16" s="111">
        <v>2.7777777777777776E-2</v>
      </c>
      <c r="D16" s="111">
        <v>5.2083333333333336E-2</v>
      </c>
      <c r="E16" s="113">
        <v>5.263157894736842E-3</v>
      </c>
      <c r="F16" s="113">
        <v>0.95789473684210524</v>
      </c>
      <c r="G16" s="113">
        <v>3.4210526315789476E-2</v>
      </c>
      <c r="H16" s="113">
        <v>2.631578947368421E-3</v>
      </c>
      <c r="I16" s="114">
        <v>69.502631578947373</v>
      </c>
    </row>
    <row r="17" spans="1:28" x14ac:dyDescent="0.25">
      <c r="A17" s="111">
        <v>0.84210526315789469</v>
      </c>
      <c r="B17" s="111">
        <v>0.9375</v>
      </c>
      <c r="C17" s="111">
        <v>1.8749999999999999E-2</v>
      </c>
      <c r="D17" s="111">
        <v>4.3749999999999997E-2</v>
      </c>
      <c r="E17" s="113">
        <v>2.631578947368421E-3</v>
      </c>
      <c r="F17" s="113">
        <v>0.93684210526315792</v>
      </c>
      <c r="G17" s="113">
        <v>5.7894736842105263E-2</v>
      </c>
      <c r="H17" s="113">
        <v>2.631578947368421E-3</v>
      </c>
      <c r="I17" s="114">
        <v>62.202631578947368</v>
      </c>
    </row>
    <row r="18" spans="1:28" x14ac:dyDescent="0.25">
      <c r="A18" s="111">
        <v>0.81509433962264155</v>
      </c>
      <c r="B18" s="111">
        <v>0.93055555555555558</v>
      </c>
      <c r="C18" s="111">
        <v>1.6203703703703703E-2</v>
      </c>
      <c r="D18" s="111">
        <v>4.3981481481481483E-2</v>
      </c>
      <c r="E18" s="113">
        <v>5.6603773584905656E-3</v>
      </c>
      <c r="F18" s="113">
        <v>0.93396226415094341</v>
      </c>
      <c r="G18" s="113">
        <v>5.4716981132075473E-2</v>
      </c>
      <c r="H18" s="113">
        <v>5.6603773584905656E-3</v>
      </c>
      <c r="I18" s="114">
        <v>54.194339622641508</v>
      </c>
    </row>
    <row r="19" spans="1:28" x14ac:dyDescent="0.25">
      <c r="A19" s="111">
        <v>0.77589453860640301</v>
      </c>
      <c r="B19" s="111">
        <v>0.94417475728155342</v>
      </c>
      <c r="C19" s="111">
        <v>9.7087378640776691E-3</v>
      </c>
      <c r="D19" s="111">
        <v>4.3689320388349516E-2</v>
      </c>
      <c r="E19" s="113">
        <v>5.6497175141242938E-3</v>
      </c>
      <c r="F19" s="113">
        <v>0.9152542372881356</v>
      </c>
      <c r="G19" s="113">
        <v>7.7212806026365349E-2</v>
      </c>
      <c r="H19" s="113">
        <v>1.8832391713747645E-3</v>
      </c>
      <c r="I19" s="114">
        <v>43.529190207156311</v>
      </c>
    </row>
    <row r="20" spans="1:28" x14ac:dyDescent="0.25">
      <c r="A20" s="111">
        <v>0.78907721280602638</v>
      </c>
      <c r="B20" s="111">
        <v>0.95704057279236276</v>
      </c>
      <c r="C20" s="111">
        <v>9.5465393794749408E-3</v>
      </c>
      <c r="D20" s="111">
        <v>2.8639618138424822E-2</v>
      </c>
      <c r="E20" s="113">
        <v>3.7664783427495289E-2</v>
      </c>
      <c r="F20" s="113">
        <v>0.82674199623352163</v>
      </c>
      <c r="G20" s="113">
        <v>0.13182674199623351</v>
      </c>
      <c r="H20" s="113">
        <v>3.766478342749529E-3</v>
      </c>
      <c r="I20" s="114">
        <v>27.783427495291903</v>
      </c>
    </row>
    <row r="21" spans="1:28" x14ac:dyDescent="0.25">
      <c r="A21" s="111">
        <v>0.77837837837837842</v>
      </c>
      <c r="B21" s="111">
        <v>0.44791666666666669</v>
      </c>
      <c r="C21" s="111">
        <v>9.7222222222222224E-2</v>
      </c>
      <c r="D21" s="111">
        <v>0.41319444444444442</v>
      </c>
      <c r="E21" s="113">
        <v>0.44324324324324327</v>
      </c>
      <c r="F21" s="113">
        <v>0.10810810810810811</v>
      </c>
      <c r="G21" s="113">
        <v>0.44054054054054054</v>
      </c>
      <c r="H21" s="113">
        <v>8.1081081081081086E-3</v>
      </c>
      <c r="I21" s="114">
        <v>64.689189189189193</v>
      </c>
    </row>
    <row r="22" spans="1:28" x14ac:dyDescent="0.25">
      <c r="A22" s="111">
        <v>0.8540540540540541</v>
      </c>
      <c r="B22" s="111">
        <v>0.49367088607594939</v>
      </c>
      <c r="C22" s="111">
        <v>0.12974683544303797</v>
      </c>
      <c r="D22" s="111">
        <v>0.36075949367088606</v>
      </c>
      <c r="E22" s="113">
        <v>0.48378378378378378</v>
      </c>
      <c r="F22" s="113">
        <v>9.1891891891891897E-2</v>
      </c>
      <c r="G22" s="113">
        <v>0.42162162162162165</v>
      </c>
      <c r="H22" s="113">
        <v>2.7027027027027029E-3</v>
      </c>
      <c r="I22" s="114">
        <v>59.378378378378379</v>
      </c>
      <c r="K22" t="s">
        <v>366</v>
      </c>
      <c r="T22" t="s">
        <v>369</v>
      </c>
    </row>
    <row r="23" spans="1:28" x14ac:dyDescent="0.25">
      <c r="A23" s="111">
        <v>0.82187500000000002</v>
      </c>
      <c r="B23" s="111">
        <v>0.57414448669201523</v>
      </c>
      <c r="C23" s="111">
        <v>0.17110266159695817</v>
      </c>
      <c r="D23" s="111">
        <v>0.2414448669201521</v>
      </c>
      <c r="E23" s="113">
        <v>0.37968750000000001</v>
      </c>
      <c r="F23" s="113">
        <v>0.12656249999999999</v>
      </c>
      <c r="G23" s="113">
        <v>0.48125000000000001</v>
      </c>
      <c r="H23" s="113">
        <v>1.2500000000000001E-2</v>
      </c>
      <c r="I23" s="114">
        <v>48.670312500000001</v>
      </c>
    </row>
    <row r="24" spans="1:28" x14ac:dyDescent="0.25">
      <c r="A24" s="111">
        <v>0.77500000000000002</v>
      </c>
      <c r="B24" s="111">
        <v>0.60685483870967738</v>
      </c>
      <c r="C24" s="111">
        <v>0.17137096774193547</v>
      </c>
      <c r="D24" s="111">
        <v>0.20564516129032259</v>
      </c>
      <c r="E24" s="113">
        <v>0.421875</v>
      </c>
      <c r="F24" s="113">
        <v>0.11874999999999999</v>
      </c>
      <c r="G24" s="113">
        <v>0.45624999999999999</v>
      </c>
      <c r="H24" s="113">
        <v>3.1250000000000002E-3</v>
      </c>
      <c r="I24" s="114">
        <v>37.589062499999997</v>
      </c>
    </row>
    <row r="25" spans="1:28" x14ac:dyDescent="0.25">
      <c r="A25" s="111">
        <v>0.77656250000000004</v>
      </c>
      <c r="B25" s="111">
        <v>0.51307847082494973</v>
      </c>
      <c r="C25" s="111">
        <v>0.25352112676056338</v>
      </c>
      <c r="D25" s="111">
        <v>0.22937625754527163</v>
      </c>
      <c r="E25" s="113">
        <v>0.52812499999999996</v>
      </c>
      <c r="F25" s="113">
        <v>7.4999999999999997E-2</v>
      </c>
      <c r="G25" s="113">
        <v>0.39531250000000001</v>
      </c>
      <c r="H25" s="113">
        <v>1.5625000000000001E-3</v>
      </c>
      <c r="I25" s="114">
        <v>29.595312499999999</v>
      </c>
    </row>
    <row r="26" spans="1:28" x14ac:dyDescent="0.25">
      <c r="A26" s="111">
        <v>0.80811232449297976</v>
      </c>
      <c r="B26" s="111">
        <v>0.51544401544401541</v>
      </c>
      <c r="C26" s="111">
        <v>0.2857142857142857</v>
      </c>
      <c r="D26" s="111">
        <v>0.19498069498069498</v>
      </c>
      <c r="E26" s="113">
        <v>0.54602184087363492</v>
      </c>
      <c r="F26" s="113">
        <v>4.5241809672386897E-2</v>
      </c>
      <c r="G26" s="113">
        <v>0.40873634945397813</v>
      </c>
      <c r="H26" s="113">
        <v>0</v>
      </c>
      <c r="I26" s="114">
        <v>22.13260530421217</v>
      </c>
    </row>
    <row r="27" spans="1:28" x14ac:dyDescent="0.25">
      <c r="A27" s="111">
        <v>0.58648648648648649</v>
      </c>
      <c r="B27" s="111">
        <v>0.65437788018433185</v>
      </c>
      <c r="C27" s="111">
        <v>0.10138248847926268</v>
      </c>
      <c r="D27" s="111">
        <v>0.2304147465437788</v>
      </c>
      <c r="E27" s="113">
        <v>0.21621621621621623</v>
      </c>
      <c r="F27" s="113">
        <v>0.42702702702702705</v>
      </c>
      <c r="G27" s="113">
        <v>0.34864864864864864</v>
      </c>
      <c r="H27" s="113">
        <v>8.1081081081081086E-3</v>
      </c>
      <c r="I27" s="114">
        <v>58.908108108108109</v>
      </c>
      <c r="S27" s="28">
        <f>-0.0717+0.8022</f>
        <v>0.73050000000000004</v>
      </c>
      <c r="AB27">
        <f>0.4969+0.5089</f>
        <v>1.0058</v>
      </c>
    </row>
    <row r="28" spans="1:28" x14ac:dyDescent="0.25">
      <c r="A28" s="111">
        <v>0.78648648648648645</v>
      </c>
      <c r="B28" s="111">
        <v>0.63917525773195871</v>
      </c>
      <c r="C28" s="111">
        <v>7.903780068728522E-2</v>
      </c>
      <c r="D28" s="111">
        <v>0.27491408934707906</v>
      </c>
      <c r="E28" s="113">
        <v>0.3</v>
      </c>
      <c r="F28" s="113">
        <v>0.42972972972972973</v>
      </c>
      <c r="G28" s="113">
        <v>0.26756756756756755</v>
      </c>
      <c r="H28" s="113">
        <v>2.7027027027027029E-3</v>
      </c>
      <c r="I28" s="114">
        <v>70.921621621621625</v>
      </c>
    </row>
    <row r="29" spans="1:28" x14ac:dyDescent="0.25">
      <c r="A29" s="111">
        <v>0.87297297297297294</v>
      </c>
      <c r="B29" s="111">
        <v>0.5727554179566563</v>
      </c>
      <c r="C29" s="111">
        <v>0.11145510835913312</v>
      </c>
      <c r="D29" s="111">
        <v>0.30650154798761609</v>
      </c>
      <c r="E29" s="113">
        <v>0.42972972972972973</v>
      </c>
      <c r="F29" s="113">
        <v>0.35945945945945945</v>
      </c>
      <c r="G29" s="113">
        <v>0.2</v>
      </c>
      <c r="H29" s="113">
        <v>1.0810810810810811E-2</v>
      </c>
      <c r="I29" s="114">
        <v>65.254054054054052</v>
      </c>
    </row>
    <row r="30" spans="1:28" x14ac:dyDescent="0.25">
      <c r="A30" s="111">
        <v>0.86216216216216213</v>
      </c>
      <c r="B30" s="111">
        <v>0.50156739811912221</v>
      </c>
      <c r="C30" s="111">
        <v>0.109717868338558</v>
      </c>
      <c r="D30" s="111">
        <v>0.36990595611285265</v>
      </c>
      <c r="E30" s="113">
        <v>0.49459459459459459</v>
      </c>
      <c r="F30" s="113">
        <v>0.3</v>
      </c>
      <c r="G30" s="113">
        <v>0.19729729729729731</v>
      </c>
      <c r="H30" s="113">
        <v>8.1081081081081086E-3</v>
      </c>
      <c r="I30" s="114">
        <v>62.02162162162162</v>
      </c>
    </row>
    <row r="31" spans="1:28" x14ac:dyDescent="0.25">
      <c r="A31" s="111">
        <v>0.81891891891891888</v>
      </c>
      <c r="B31" s="111">
        <v>0.5907590759075908</v>
      </c>
      <c r="C31" s="111">
        <v>0.14521452145214522</v>
      </c>
      <c r="D31" s="111">
        <v>0.25742574257425743</v>
      </c>
      <c r="E31" s="113">
        <v>0.41351351351351351</v>
      </c>
      <c r="F31" s="113">
        <v>0.34324324324324323</v>
      </c>
      <c r="G31" s="113">
        <v>0.23783783783783785</v>
      </c>
      <c r="H31" s="113">
        <v>5.4054054054054057E-3</v>
      </c>
      <c r="I31" s="114">
        <v>59.678378378378376</v>
      </c>
    </row>
    <row r="32" spans="1:28" x14ac:dyDescent="0.25">
      <c r="A32" s="111">
        <v>0.83952451708766718</v>
      </c>
      <c r="B32" s="111">
        <v>0.68849557522123894</v>
      </c>
      <c r="C32" s="111">
        <v>9.3805309734513273E-2</v>
      </c>
      <c r="D32" s="111">
        <v>0.21238938053097345</v>
      </c>
      <c r="E32" s="113">
        <v>0.30163447251114411</v>
      </c>
      <c r="F32" s="113">
        <v>0.40267459138187223</v>
      </c>
      <c r="G32" s="113">
        <v>0.28231797919762258</v>
      </c>
      <c r="H32" s="113">
        <v>1.3372956909361069E-2</v>
      </c>
      <c r="I32" s="114">
        <v>56.419019316493312</v>
      </c>
    </row>
    <row r="33" spans="1:28" x14ac:dyDescent="0.25">
      <c r="A33" s="111">
        <v>0.82912332838038638</v>
      </c>
      <c r="B33" s="111">
        <v>0.73476702508960579</v>
      </c>
      <c r="C33" s="111">
        <v>0.1003584229390681</v>
      </c>
      <c r="D33" s="111">
        <v>0.14157706093189965</v>
      </c>
      <c r="E33" s="113">
        <v>0.23922734026745915</v>
      </c>
      <c r="F33" s="113">
        <v>0.42793462109955421</v>
      </c>
      <c r="G33" s="113">
        <v>0.32540861812778604</v>
      </c>
      <c r="H33" s="113">
        <v>7.429420505200594E-3</v>
      </c>
      <c r="I33" s="114">
        <v>52.420505200594356</v>
      </c>
    </row>
    <row r="34" spans="1:28" x14ac:dyDescent="0.25">
      <c r="A34" s="111">
        <v>0.80980683506686479</v>
      </c>
      <c r="B34" s="111">
        <v>0.74311926605504586</v>
      </c>
      <c r="C34" s="111">
        <v>0.10275229357798166</v>
      </c>
      <c r="D34" s="111">
        <v>0.14862385321100918</v>
      </c>
      <c r="E34" s="113">
        <v>0.21693907875185736</v>
      </c>
      <c r="F34" s="113">
        <v>0.41901931649331353</v>
      </c>
      <c r="G34" s="113">
        <v>0.34918276374442792</v>
      </c>
      <c r="H34" s="113">
        <v>1.4858841010401188E-2</v>
      </c>
      <c r="I34" s="114">
        <v>48.846953937592865</v>
      </c>
    </row>
    <row r="35" spans="1:28" x14ac:dyDescent="0.25">
      <c r="A35" s="111">
        <v>0.80386329866270434</v>
      </c>
      <c r="B35" s="111">
        <v>0.77449168207024033</v>
      </c>
      <c r="C35" s="111">
        <v>9.4269870609981515E-2</v>
      </c>
      <c r="D35" s="111">
        <v>0.12199630314232902</v>
      </c>
      <c r="E35" s="113">
        <v>0.21248142644873699</v>
      </c>
      <c r="F35" s="113">
        <v>0.44576523031203569</v>
      </c>
      <c r="G35" s="113">
        <v>0.32243684992570582</v>
      </c>
      <c r="H35" s="113">
        <v>1.9316493313521546E-2</v>
      </c>
      <c r="I35" s="114">
        <v>45.65378900445765</v>
      </c>
    </row>
    <row r="36" spans="1:28" x14ac:dyDescent="0.25">
      <c r="A36" s="111">
        <v>0.74294205052005946</v>
      </c>
      <c r="B36" s="111">
        <v>0.75600000000000001</v>
      </c>
      <c r="C36" s="111">
        <v>9.4E-2</v>
      </c>
      <c r="D36" s="111">
        <v>0.14000000000000001</v>
      </c>
      <c r="E36" s="113">
        <v>0.22288261515601784</v>
      </c>
      <c r="F36" s="113">
        <v>0.44576523031203569</v>
      </c>
      <c r="G36" s="113">
        <v>0.31352154531946508</v>
      </c>
      <c r="H36" s="113">
        <v>1.7830609212481426E-2</v>
      </c>
      <c r="I36" s="114">
        <v>42.496285289747398</v>
      </c>
    </row>
    <row r="37" spans="1:28" x14ac:dyDescent="0.25">
      <c r="A37" s="111">
        <v>0.7265973254086181</v>
      </c>
      <c r="B37" s="111">
        <v>0.73006134969325154</v>
      </c>
      <c r="C37" s="111">
        <v>0.13496932515337423</v>
      </c>
      <c r="D37" s="111">
        <v>0.130879345603272</v>
      </c>
      <c r="E37" s="113">
        <v>0.30460624071322434</v>
      </c>
      <c r="F37" s="113">
        <v>0.3952451708766716</v>
      </c>
      <c r="G37" s="113">
        <v>0.28974739970282321</v>
      </c>
      <c r="H37" s="113">
        <v>1.0401188707280832E-2</v>
      </c>
      <c r="I37" s="114">
        <v>39.453194650817238</v>
      </c>
    </row>
    <row r="38" spans="1:28" x14ac:dyDescent="0.25">
      <c r="A38" s="111">
        <v>0.70876671619613674</v>
      </c>
      <c r="B38" s="111">
        <v>0.64360587002096437</v>
      </c>
      <c r="C38" s="111">
        <v>0.21383647798742139</v>
      </c>
      <c r="D38" s="111">
        <v>0.14046121593291405</v>
      </c>
      <c r="E38" s="113">
        <v>0.41158989598811291</v>
      </c>
      <c r="F38" s="113">
        <v>0.3476968796433878</v>
      </c>
      <c r="G38" s="113">
        <v>0.2288261515601783</v>
      </c>
      <c r="H38" s="113">
        <v>1.188707280832095E-2</v>
      </c>
      <c r="I38" s="114">
        <v>36.794947994056464</v>
      </c>
    </row>
    <row r="39" spans="1:28" x14ac:dyDescent="0.25">
      <c r="A39" s="111">
        <v>0.70728083209509662</v>
      </c>
      <c r="B39" s="111">
        <v>0.64075630252100846</v>
      </c>
      <c r="C39" s="111">
        <v>0.21008403361344538</v>
      </c>
      <c r="D39" s="111">
        <v>0.14705882352941177</v>
      </c>
      <c r="E39" s="113">
        <v>0.43536404160475484</v>
      </c>
      <c r="F39" s="113">
        <v>0.32243684992570582</v>
      </c>
      <c r="G39" s="113">
        <v>0.22734026745913818</v>
      </c>
      <c r="H39" s="113">
        <v>1.4858841010401188E-2</v>
      </c>
      <c r="I39" s="114">
        <v>34.416047548291232</v>
      </c>
    </row>
    <row r="40" spans="1:28" x14ac:dyDescent="0.25">
      <c r="A40" s="111">
        <v>0.72808320950965821</v>
      </c>
      <c r="B40" s="111">
        <v>0.59591836734693882</v>
      </c>
      <c r="C40" s="111">
        <v>0.22857142857142856</v>
      </c>
      <c r="D40" s="111">
        <v>0.17346938775510204</v>
      </c>
      <c r="E40" s="113">
        <v>0.43982169390787518</v>
      </c>
      <c r="F40" s="113">
        <v>0.30609212481426451</v>
      </c>
      <c r="G40" s="113">
        <v>0.24665676077265974</v>
      </c>
      <c r="H40" s="113">
        <v>7.429420505200594E-3</v>
      </c>
      <c r="I40" s="114">
        <v>32.20950965824666</v>
      </c>
    </row>
    <row r="41" spans="1:28" x14ac:dyDescent="0.25">
      <c r="A41" s="111">
        <v>0.70623145400593468</v>
      </c>
      <c r="B41" s="111">
        <v>0.62815126050420167</v>
      </c>
      <c r="C41" s="111">
        <v>0.20588235294117646</v>
      </c>
      <c r="D41" s="111">
        <v>0.15966386554621848</v>
      </c>
      <c r="E41" s="113">
        <v>0.43323442136498519</v>
      </c>
      <c r="F41" s="113">
        <v>0.30267062314540061</v>
      </c>
      <c r="G41" s="113">
        <v>0.25519287833827892</v>
      </c>
      <c r="H41" s="113">
        <v>8.9020771513353119E-3</v>
      </c>
      <c r="I41" s="114">
        <v>30.415430267062316</v>
      </c>
    </row>
    <row r="42" spans="1:28" x14ac:dyDescent="0.25">
      <c r="A42" s="111">
        <v>0.74183976261127593</v>
      </c>
      <c r="B42" s="111">
        <v>0.59599999999999997</v>
      </c>
      <c r="C42" s="111">
        <v>0.216</v>
      </c>
      <c r="D42" s="111">
        <v>0.182</v>
      </c>
      <c r="E42" s="113">
        <v>0.43916913946587538</v>
      </c>
      <c r="F42" s="113">
        <v>0.29821958456973297</v>
      </c>
      <c r="G42" s="113">
        <v>0.25222551928783382</v>
      </c>
      <c r="H42" s="113">
        <v>1.0385756676557863E-2</v>
      </c>
      <c r="I42" s="114">
        <v>28.590504451038576</v>
      </c>
      <c r="K42" t="s">
        <v>367</v>
      </c>
      <c r="T42" t="s">
        <v>352</v>
      </c>
    </row>
    <row r="43" spans="1:28" x14ac:dyDescent="0.25">
      <c r="A43" s="111">
        <v>0.72700296735905046</v>
      </c>
      <c r="B43" s="111">
        <v>0.62040816326530612</v>
      </c>
      <c r="C43" s="111">
        <v>0.22857142857142856</v>
      </c>
      <c r="D43" s="111">
        <v>0.1489795918367347</v>
      </c>
      <c r="E43" s="113">
        <v>0.43768545994065283</v>
      </c>
      <c r="F43" s="113">
        <v>0.30118694362017806</v>
      </c>
      <c r="G43" s="113">
        <v>0.25370919881305637</v>
      </c>
      <c r="H43" s="113">
        <v>7.4183976261127599E-3</v>
      </c>
      <c r="I43" s="114">
        <v>26.781899109792285</v>
      </c>
    </row>
    <row r="44" spans="1:28" x14ac:dyDescent="0.25">
      <c r="A44" s="111">
        <v>0.79525222551928787</v>
      </c>
      <c r="B44" s="111">
        <v>0.6324626865671642</v>
      </c>
      <c r="C44" s="111">
        <v>0.21082089552238806</v>
      </c>
      <c r="D44" s="111">
        <v>0.14365671641791045</v>
      </c>
      <c r="E44" s="113">
        <v>0.41988130563798221</v>
      </c>
      <c r="F44" s="113">
        <v>0.31305637982195844</v>
      </c>
      <c r="G44" s="113">
        <v>0.25964391691394662</v>
      </c>
      <c r="H44" s="113">
        <v>7.4183976261127599E-3</v>
      </c>
      <c r="I44" s="114">
        <v>25.215133531157271</v>
      </c>
    </row>
    <row r="45" spans="1:28" x14ac:dyDescent="0.25">
      <c r="A45" s="111">
        <v>0.8086053412462908</v>
      </c>
      <c r="B45" s="111">
        <v>0.6440366972477064</v>
      </c>
      <c r="C45" s="111">
        <v>0.19266055045871561</v>
      </c>
      <c r="D45" s="111">
        <v>0.15963302752293579</v>
      </c>
      <c r="E45" s="113">
        <v>0.43323442136498519</v>
      </c>
      <c r="F45" s="113">
        <v>0.28635014836795253</v>
      </c>
      <c r="G45" s="113">
        <v>0.27448071216617209</v>
      </c>
      <c r="H45" s="113">
        <v>5.9347181008902079E-3</v>
      </c>
      <c r="I45" s="114">
        <v>23.575667655786351</v>
      </c>
    </row>
    <row r="46" spans="1:28" x14ac:dyDescent="0.25">
      <c r="A46" s="111">
        <v>0.8086053412462908</v>
      </c>
      <c r="B46" s="111">
        <v>0.66238532110091741</v>
      </c>
      <c r="C46" s="111">
        <v>0.1889908256880734</v>
      </c>
      <c r="D46" s="111">
        <v>0.13761467889908258</v>
      </c>
      <c r="E46" s="113">
        <v>0.40504451038575667</v>
      </c>
      <c r="F46" s="113">
        <v>0.28635014836795253</v>
      </c>
      <c r="G46" s="113">
        <v>0.29970326409495551</v>
      </c>
      <c r="H46" s="113">
        <v>8.9020771513353119E-3</v>
      </c>
      <c r="I46" s="114">
        <v>22.090504451038576</v>
      </c>
      <c r="S46" s="28">
        <f>0.1208+0.7352</f>
        <v>0.85599999999999998</v>
      </c>
      <c r="AB46" s="28">
        <f>-0.7175+0.9423</f>
        <v>0.2248</v>
      </c>
    </row>
    <row r="47" spans="1:28" x14ac:dyDescent="0.25">
      <c r="A47" s="111">
        <v>0.8056379821958457</v>
      </c>
      <c r="B47" s="111">
        <v>0.66482504604051562</v>
      </c>
      <c r="C47" s="111">
        <v>0.18784530386740331</v>
      </c>
      <c r="D47" s="111">
        <v>0.13996316758747698</v>
      </c>
      <c r="E47" s="113">
        <v>0.3857566765578635</v>
      </c>
      <c r="F47" s="113">
        <v>0.31899109792284869</v>
      </c>
      <c r="G47" s="113">
        <v>0.28931750741839762</v>
      </c>
      <c r="H47" s="113">
        <v>5.9347181008902079E-3</v>
      </c>
      <c r="I47" s="114">
        <v>20.473293768545993</v>
      </c>
    </row>
    <row r="48" spans="1:28" x14ac:dyDescent="0.25">
      <c r="A48" s="111">
        <v>0.84272997032640951</v>
      </c>
      <c r="B48" s="111">
        <v>0.65845070422535212</v>
      </c>
      <c r="C48" s="111">
        <v>0.20422535211267606</v>
      </c>
      <c r="D48" s="111">
        <v>0.12676056338028169</v>
      </c>
      <c r="E48" s="113">
        <v>0.39169139465875369</v>
      </c>
      <c r="F48" s="113">
        <v>0.31157270029673589</v>
      </c>
      <c r="G48" s="113">
        <v>0.28486646884272998</v>
      </c>
      <c r="H48" s="113">
        <v>1.1869436201780416E-2</v>
      </c>
      <c r="I48" s="114">
        <v>18.744807121661722</v>
      </c>
    </row>
    <row r="49" spans="1:9" x14ac:dyDescent="0.25">
      <c r="A49" s="111">
        <v>0.75</v>
      </c>
      <c r="B49" s="111">
        <v>0.80701754385964908</v>
      </c>
      <c r="C49" s="111">
        <v>3.8596491228070177E-2</v>
      </c>
      <c r="D49" s="111">
        <v>0.14385964912280702</v>
      </c>
      <c r="E49" s="113">
        <v>8.6842105263157901E-2</v>
      </c>
      <c r="F49" s="113">
        <v>0.56052631578947365</v>
      </c>
      <c r="G49" s="113">
        <v>0.34473684210526317</v>
      </c>
      <c r="H49" s="113">
        <v>7.8947368421052634E-3</v>
      </c>
      <c r="I49" s="114">
        <v>64.221052631578942</v>
      </c>
    </row>
    <row r="50" spans="1:9" x14ac:dyDescent="0.25">
      <c r="A50" s="111">
        <v>0.79736842105263162</v>
      </c>
      <c r="B50" s="111">
        <v>0.89438943894389444</v>
      </c>
      <c r="C50" s="111">
        <v>3.6303630363036306E-2</v>
      </c>
      <c r="D50" s="111">
        <v>5.9405940594059403E-2</v>
      </c>
      <c r="E50" s="113">
        <v>5.7894736842105263E-2</v>
      </c>
      <c r="F50" s="113">
        <v>0.65</v>
      </c>
      <c r="G50" s="113">
        <v>0.28421052631578947</v>
      </c>
      <c r="H50" s="113">
        <v>7.8947368421052634E-3</v>
      </c>
      <c r="I50" s="114">
        <v>52.19736842105263</v>
      </c>
    </row>
    <row r="51" spans="1:9" x14ac:dyDescent="0.25">
      <c r="A51" s="111">
        <v>0.76578947368421058</v>
      </c>
      <c r="B51" s="111">
        <v>0.92096219931271472</v>
      </c>
      <c r="C51" s="111">
        <v>3.0927835051546393E-2</v>
      </c>
      <c r="D51" s="111">
        <v>4.8109965635738834E-2</v>
      </c>
      <c r="E51" s="113">
        <v>7.6315789473684212E-2</v>
      </c>
      <c r="F51" s="113">
        <v>0.58157894736842108</v>
      </c>
      <c r="G51" s="113">
        <v>0.33157894736842103</v>
      </c>
      <c r="H51" s="113">
        <v>1.0526315789473684E-2</v>
      </c>
      <c r="I51" s="114">
        <v>43.271052631578947</v>
      </c>
    </row>
    <row r="52" spans="1:9" x14ac:dyDescent="0.25">
      <c r="A52" s="111">
        <v>0.72631578947368425</v>
      </c>
      <c r="B52" s="111">
        <v>0.88043478260869568</v>
      </c>
      <c r="C52" s="111">
        <v>4.710144927536232E-2</v>
      </c>
      <c r="D52" s="111">
        <v>7.2463768115942032E-2</v>
      </c>
      <c r="E52" s="113">
        <v>0.11052631578947368</v>
      </c>
      <c r="F52" s="113">
        <v>0.62105263157894741</v>
      </c>
      <c r="G52" s="113">
        <v>0.26842105263157895</v>
      </c>
      <c r="H52" s="113">
        <v>0</v>
      </c>
      <c r="I52" s="114">
        <v>36.744736842105262</v>
      </c>
    </row>
    <row r="53" spans="1:9" x14ac:dyDescent="0.25">
      <c r="A53" s="111">
        <v>0.75426621160409557</v>
      </c>
      <c r="B53" s="111">
        <v>0.89819004524886881</v>
      </c>
      <c r="C53" s="111">
        <v>4.7511312217194568E-2</v>
      </c>
      <c r="D53" s="111">
        <v>5.2036199095022627E-2</v>
      </c>
      <c r="E53" s="113">
        <v>0.10238907849829351</v>
      </c>
      <c r="F53" s="113">
        <v>0.6774744027303754</v>
      </c>
      <c r="G53" s="113">
        <v>0.21843003412969283</v>
      </c>
      <c r="H53" s="113">
        <v>1.7064846416382253E-3</v>
      </c>
      <c r="I53" s="114">
        <v>29.286689419795223</v>
      </c>
    </row>
    <row r="54" spans="1:9" x14ac:dyDescent="0.25">
      <c r="A54" s="111">
        <v>0.79180887372013653</v>
      </c>
      <c r="B54" s="111">
        <v>0.91163793103448276</v>
      </c>
      <c r="C54" s="111">
        <v>3.4482758620689655E-2</v>
      </c>
      <c r="D54" s="111">
        <v>4.9568965517241381E-2</v>
      </c>
      <c r="E54" s="113">
        <v>0.11433447098976109</v>
      </c>
      <c r="F54" s="113">
        <v>0.65699658703071673</v>
      </c>
      <c r="G54" s="113">
        <v>0.22866894197952217</v>
      </c>
      <c r="H54" s="113">
        <v>0</v>
      </c>
      <c r="I54" s="114">
        <v>21.569965870307168</v>
      </c>
    </row>
    <row r="55" spans="1:9" x14ac:dyDescent="0.25">
      <c r="A55" s="111">
        <v>0.73611111111111116</v>
      </c>
      <c r="B55" s="111">
        <v>0.5962264150943396</v>
      </c>
      <c r="C55" s="111">
        <v>9.4339622641509441E-2</v>
      </c>
      <c r="D55" s="111">
        <v>0.25660377358490566</v>
      </c>
      <c r="E55" s="113">
        <v>0.33055555555555555</v>
      </c>
      <c r="F55" s="113">
        <v>0.17222222222222222</v>
      </c>
      <c r="G55" s="113">
        <v>0.49166666666666664</v>
      </c>
      <c r="H55" s="113">
        <v>5.5555555555555558E-3</v>
      </c>
      <c r="I55" s="114">
        <v>61.591666666666669</v>
      </c>
    </row>
    <row r="56" spans="1:9" x14ac:dyDescent="0.25">
      <c r="A56" s="111">
        <v>0.85833333333333328</v>
      </c>
      <c r="B56" s="111">
        <v>0.71844660194174759</v>
      </c>
      <c r="C56" s="111">
        <v>0.11003236245954692</v>
      </c>
      <c r="D56" s="111">
        <v>0.14563106796116504</v>
      </c>
      <c r="E56" s="113">
        <v>0.25</v>
      </c>
      <c r="F56" s="113">
        <v>0.18611111111111112</v>
      </c>
      <c r="G56" s="113">
        <v>0.55833333333333335</v>
      </c>
      <c r="H56" s="113">
        <v>5.5555555555555558E-3</v>
      </c>
      <c r="I56" s="114">
        <v>54.922222222222224</v>
      </c>
    </row>
    <row r="57" spans="1:9" x14ac:dyDescent="0.25">
      <c r="A57" s="111">
        <v>0.78333333333333333</v>
      </c>
      <c r="B57" s="111">
        <v>0.76950354609929073</v>
      </c>
      <c r="C57" s="111">
        <v>0.11702127659574468</v>
      </c>
      <c r="D57" s="111">
        <v>0.1099290780141844</v>
      </c>
      <c r="E57" s="113">
        <v>0.25555555555555554</v>
      </c>
      <c r="F57" s="113">
        <v>0.2638888888888889</v>
      </c>
      <c r="G57" s="113">
        <v>0.4777777777777778</v>
      </c>
      <c r="H57" s="113">
        <v>2.7777777777777779E-3</v>
      </c>
      <c r="I57" s="114">
        <v>46.952777777777776</v>
      </c>
    </row>
    <row r="58" spans="1:9" x14ac:dyDescent="0.25">
      <c r="A58" s="111">
        <v>0.77101449275362322</v>
      </c>
      <c r="B58" s="111">
        <v>0.74812030075187974</v>
      </c>
      <c r="C58" s="111">
        <v>9.9624060150375934E-2</v>
      </c>
      <c r="D58" s="111">
        <v>0.15037593984962405</v>
      </c>
      <c r="E58" s="113">
        <v>0.24927536231884059</v>
      </c>
      <c r="F58" s="113">
        <v>0.1855072463768116</v>
      </c>
      <c r="G58" s="113">
        <v>0.56521739130434778</v>
      </c>
      <c r="H58" s="113">
        <v>0</v>
      </c>
      <c r="I58" s="114">
        <v>38.918840579710142</v>
      </c>
    </row>
    <row r="59" spans="1:9" x14ac:dyDescent="0.25">
      <c r="A59" s="111">
        <v>0.77971014492753621</v>
      </c>
      <c r="B59" s="111">
        <v>0.67472118959107807</v>
      </c>
      <c r="C59" s="111">
        <v>0.17657992565055763</v>
      </c>
      <c r="D59" s="111">
        <v>0.13940520446096655</v>
      </c>
      <c r="E59" s="113">
        <v>0.38260869565217392</v>
      </c>
      <c r="F59" s="113">
        <v>0.13043478260869565</v>
      </c>
      <c r="G59" s="113">
        <v>0.48550724637681159</v>
      </c>
      <c r="H59" s="113">
        <v>1.4492753623188406E-3</v>
      </c>
      <c r="I59" s="114">
        <v>29.378260869565217</v>
      </c>
    </row>
    <row r="60" spans="1:9" x14ac:dyDescent="0.25">
      <c r="A60" s="111">
        <v>0.7858176555716353</v>
      </c>
      <c r="B60" s="111">
        <v>0.64640883977900554</v>
      </c>
      <c r="C60" s="111">
        <v>0.17495395948434622</v>
      </c>
      <c r="D60" s="111">
        <v>0.16206261510128914</v>
      </c>
      <c r="E60" s="113">
        <v>0.38929088277858176</v>
      </c>
      <c r="F60" s="113">
        <v>0.15629522431259044</v>
      </c>
      <c r="G60" s="113">
        <v>0.45441389290882778</v>
      </c>
      <c r="H60" s="113">
        <v>0</v>
      </c>
      <c r="I60" s="114">
        <v>21.515195369030391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2FD5-ADEE-4862-8CD1-D2CDBC2004C1}">
  <dimension ref="A1:Y335"/>
  <sheetViews>
    <sheetView workbookViewId="0">
      <pane xSplit="4" ySplit="1" topLeftCell="R292" activePane="bottomRight" state="frozen"/>
      <selection pane="topRight" activeCell="E1" sqref="E1"/>
      <selection pane="bottomLeft" activeCell="A2" sqref="A2"/>
      <selection pane="bottomRight" activeCell="P2" sqref="P2:Y308"/>
    </sheetView>
  </sheetViews>
  <sheetFormatPr defaultRowHeight="13.2" x14ac:dyDescent="0.25"/>
  <cols>
    <col min="1" max="1" width="8" bestFit="1" customWidth="1"/>
    <col min="2" max="2" width="29.6640625" bestFit="1" customWidth="1"/>
    <col min="3" max="3" width="89.21875" bestFit="1" customWidth="1"/>
    <col min="4" max="4" width="8.21875" bestFit="1" customWidth="1"/>
    <col min="5" max="5" width="8.5546875" bestFit="1" customWidth="1"/>
    <col min="6" max="6" width="13.77734375" bestFit="1" customWidth="1"/>
    <col min="7" max="7" width="15.5546875" bestFit="1" customWidth="1"/>
    <col min="8" max="9" width="6" bestFit="1" customWidth="1"/>
    <col min="10" max="10" width="7.5546875" bestFit="1" customWidth="1"/>
    <col min="11" max="11" width="6.44140625" bestFit="1" customWidth="1"/>
    <col min="13" max="13" width="7.6640625" bestFit="1" customWidth="1"/>
    <col min="14" max="14" width="7" style="22" bestFit="1" customWidth="1"/>
    <col min="15" max="15" width="14.109375" bestFit="1" customWidth="1"/>
    <col min="16" max="18" width="6" bestFit="1" customWidth="1"/>
    <col min="19" max="19" width="5" bestFit="1" customWidth="1"/>
    <col min="20" max="23" width="7" bestFit="1" customWidth="1"/>
    <col min="24" max="24" width="6" bestFit="1" customWidth="1"/>
    <col min="25" max="25" width="7.33203125" bestFit="1" customWidth="1"/>
  </cols>
  <sheetData>
    <row r="1" spans="1:25" x14ac:dyDescent="0.25">
      <c r="A1" s="20" t="s">
        <v>249</v>
      </c>
      <c r="B1" s="20" t="s">
        <v>250</v>
      </c>
      <c r="C1" s="20" t="s">
        <v>251</v>
      </c>
      <c r="D1" s="20" t="s">
        <v>252</v>
      </c>
      <c r="E1" s="20" t="s">
        <v>253</v>
      </c>
      <c r="F1" s="20" t="s">
        <v>254</v>
      </c>
      <c r="G1" s="20" t="s">
        <v>255</v>
      </c>
      <c r="H1" s="20" t="s">
        <v>256</v>
      </c>
      <c r="I1" s="20" t="s">
        <v>257</v>
      </c>
      <c r="J1" s="20" t="s">
        <v>258</v>
      </c>
      <c r="K1" s="20" t="s">
        <v>259</v>
      </c>
      <c r="L1" s="20" t="s">
        <v>260</v>
      </c>
      <c r="M1" s="20" t="s">
        <v>261</v>
      </c>
      <c r="N1" s="21" t="s">
        <v>262</v>
      </c>
      <c r="O1" s="20" t="s">
        <v>263</v>
      </c>
      <c r="P1" s="20" t="s">
        <v>337</v>
      </c>
      <c r="Q1" s="20" t="s">
        <v>338</v>
      </c>
      <c r="R1" s="20" t="s">
        <v>339</v>
      </c>
      <c r="S1" s="20" t="s">
        <v>340</v>
      </c>
      <c r="T1" s="20" t="s">
        <v>341</v>
      </c>
      <c r="U1" s="20" t="s">
        <v>342</v>
      </c>
      <c r="V1" s="20" t="s">
        <v>343</v>
      </c>
      <c r="W1" s="20" t="s">
        <v>344</v>
      </c>
      <c r="X1" s="20" t="s">
        <v>345</v>
      </c>
      <c r="Y1" s="20" t="s">
        <v>346</v>
      </c>
    </row>
    <row r="2" spans="1:25" x14ac:dyDescent="0.25">
      <c r="A2" s="20" t="s">
        <v>264</v>
      </c>
      <c r="B2" s="20" t="s">
        <v>265</v>
      </c>
      <c r="C2" s="20" t="s">
        <v>150</v>
      </c>
      <c r="D2" s="20">
        <v>1</v>
      </c>
      <c r="E2" s="20"/>
      <c r="F2" s="20"/>
      <c r="G2" s="20">
        <v>1</v>
      </c>
      <c r="H2" s="20">
        <v>1</v>
      </c>
      <c r="I2" s="20">
        <v>3</v>
      </c>
      <c r="J2" s="20">
        <v>2</v>
      </c>
      <c r="K2" s="20">
        <v>343</v>
      </c>
      <c r="L2" s="20"/>
      <c r="M2" s="20">
        <v>350</v>
      </c>
      <c r="N2" s="21">
        <v>59.191428571428574</v>
      </c>
      <c r="O2" s="20" t="s">
        <v>267</v>
      </c>
      <c r="P2" s="20">
        <f t="shared" ref="P2:P11" si="0">K2</f>
        <v>343</v>
      </c>
      <c r="Q2" s="20">
        <f t="shared" ref="Q2:Q11" si="1">H2</f>
        <v>1</v>
      </c>
      <c r="R2" s="20">
        <f t="shared" ref="R2:R11" si="2">I2</f>
        <v>3</v>
      </c>
      <c r="S2" s="20">
        <f t="shared" ref="S2:S11" si="3">M2-SUM(P2:R2)</f>
        <v>3</v>
      </c>
      <c r="T2" s="20">
        <f t="shared" ref="T2:T11" si="4">SUM(P2:S2)</f>
        <v>350</v>
      </c>
      <c r="U2" s="23">
        <f t="shared" ref="U2:U11" si="5">P2/M2</f>
        <v>0.98</v>
      </c>
      <c r="V2" s="23">
        <f t="shared" ref="V2:V11" si="6">Q2/M2</f>
        <v>2.8571428571428571E-3</v>
      </c>
      <c r="W2" s="23">
        <f t="shared" ref="W2:W11" si="7">R2/M2</f>
        <v>8.5714285714285719E-3</v>
      </c>
      <c r="X2" s="23">
        <f t="shared" ref="X2:X11" si="8">S2/M2</f>
        <v>8.5714285714285719E-3</v>
      </c>
      <c r="Y2" s="21">
        <f t="shared" ref="Y2:Y11" si="9">N2</f>
        <v>59.191428571428574</v>
      </c>
    </row>
    <row r="3" spans="1:25" x14ac:dyDescent="0.25">
      <c r="A3" s="20" t="s">
        <v>264</v>
      </c>
      <c r="B3" s="20" t="s">
        <v>265</v>
      </c>
      <c r="C3" s="20" t="s">
        <v>150</v>
      </c>
      <c r="D3" s="20">
        <v>2</v>
      </c>
      <c r="E3" s="20"/>
      <c r="F3" s="20">
        <v>1</v>
      </c>
      <c r="G3" s="20"/>
      <c r="H3" s="20"/>
      <c r="I3" s="20">
        <v>6</v>
      </c>
      <c r="J3" s="20">
        <v>1</v>
      </c>
      <c r="K3" s="20">
        <v>478</v>
      </c>
      <c r="L3" s="20"/>
      <c r="M3" s="20">
        <v>486</v>
      </c>
      <c r="N3" s="21">
        <v>38.794238683127574</v>
      </c>
      <c r="O3" s="20" t="s">
        <v>267</v>
      </c>
      <c r="P3" s="20">
        <f t="shared" si="0"/>
        <v>478</v>
      </c>
      <c r="Q3" s="20">
        <f t="shared" si="1"/>
        <v>0</v>
      </c>
      <c r="R3" s="20">
        <f t="shared" si="2"/>
        <v>6</v>
      </c>
      <c r="S3" s="20">
        <f t="shared" si="3"/>
        <v>2</v>
      </c>
      <c r="T3" s="20">
        <f t="shared" si="4"/>
        <v>486</v>
      </c>
      <c r="U3" s="23">
        <f t="shared" si="5"/>
        <v>0.98353909465020573</v>
      </c>
      <c r="V3" s="23">
        <f t="shared" si="6"/>
        <v>0</v>
      </c>
      <c r="W3" s="23">
        <f t="shared" si="7"/>
        <v>1.2345679012345678E-2</v>
      </c>
      <c r="X3" s="23">
        <f t="shared" si="8"/>
        <v>4.11522633744856E-3</v>
      </c>
      <c r="Y3" s="21">
        <f t="shared" si="9"/>
        <v>38.794238683127574</v>
      </c>
    </row>
    <row r="4" spans="1:25" x14ac:dyDescent="0.25">
      <c r="A4" s="20" t="s">
        <v>264</v>
      </c>
      <c r="B4" s="20" t="s">
        <v>265</v>
      </c>
      <c r="C4" s="20" t="s">
        <v>150</v>
      </c>
      <c r="D4" s="20">
        <v>3</v>
      </c>
      <c r="E4" s="20"/>
      <c r="F4" s="20"/>
      <c r="G4" s="20"/>
      <c r="H4" s="20"/>
      <c r="I4" s="20">
        <v>3</v>
      </c>
      <c r="J4" s="20"/>
      <c r="K4" s="20">
        <v>483</v>
      </c>
      <c r="L4" s="20"/>
      <c r="M4" s="20">
        <v>486</v>
      </c>
      <c r="N4" s="21">
        <v>23.358024691358025</v>
      </c>
      <c r="O4" s="20" t="s">
        <v>267</v>
      </c>
      <c r="P4" s="20">
        <f t="shared" si="0"/>
        <v>483</v>
      </c>
      <c r="Q4" s="20">
        <f t="shared" si="1"/>
        <v>0</v>
      </c>
      <c r="R4" s="20">
        <f t="shared" si="2"/>
        <v>3</v>
      </c>
      <c r="S4" s="20">
        <f t="shared" si="3"/>
        <v>0</v>
      </c>
      <c r="T4" s="20">
        <f t="shared" si="4"/>
        <v>486</v>
      </c>
      <c r="U4" s="23">
        <f t="shared" si="5"/>
        <v>0.99382716049382713</v>
      </c>
      <c r="V4" s="23">
        <f t="shared" si="6"/>
        <v>0</v>
      </c>
      <c r="W4" s="23">
        <f t="shared" si="7"/>
        <v>6.1728395061728392E-3</v>
      </c>
      <c r="X4" s="23">
        <f t="shared" si="8"/>
        <v>0</v>
      </c>
      <c r="Y4" s="21">
        <f t="shared" si="9"/>
        <v>23.358024691358025</v>
      </c>
    </row>
    <row r="5" spans="1:25" x14ac:dyDescent="0.25">
      <c r="A5" s="20" t="s">
        <v>264</v>
      </c>
      <c r="B5" s="20" t="s">
        <v>265</v>
      </c>
      <c r="C5" s="20" t="s">
        <v>156</v>
      </c>
      <c r="D5" s="20">
        <v>1</v>
      </c>
      <c r="E5" s="20"/>
      <c r="F5" s="20">
        <v>1</v>
      </c>
      <c r="G5" s="20">
        <v>2</v>
      </c>
      <c r="H5" s="20">
        <v>55</v>
      </c>
      <c r="I5" s="20">
        <v>167</v>
      </c>
      <c r="J5" s="20">
        <v>3</v>
      </c>
      <c r="K5" s="20">
        <v>142</v>
      </c>
      <c r="L5" s="20"/>
      <c r="M5" s="20">
        <v>370</v>
      </c>
      <c r="N5" s="21">
        <v>59.354054054054053</v>
      </c>
      <c r="O5" s="20" t="s">
        <v>267</v>
      </c>
      <c r="P5" s="20">
        <f t="shared" si="0"/>
        <v>142</v>
      </c>
      <c r="Q5" s="20">
        <f t="shared" si="1"/>
        <v>55</v>
      </c>
      <c r="R5" s="20">
        <f t="shared" si="2"/>
        <v>167</v>
      </c>
      <c r="S5" s="20">
        <f t="shared" si="3"/>
        <v>6</v>
      </c>
      <c r="T5" s="20">
        <f t="shared" si="4"/>
        <v>370</v>
      </c>
      <c r="U5" s="23">
        <f t="shared" si="5"/>
        <v>0.38378378378378381</v>
      </c>
      <c r="V5" s="23">
        <f t="shared" si="6"/>
        <v>0.14864864864864866</v>
      </c>
      <c r="W5" s="23">
        <f t="shared" si="7"/>
        <v>0.45135135135135135</v>
      </c>
      <c r="X5" s="23">
        <f t="shared" si="8"/>
        <v>1.6216216216216217E-2</v>
      </c>
      <c r="Y5" s="21">
        <f t="shared" si="9"/>
        <v>59.354054054054053</v>
      </c>
    </row>
    <row r="6" spans="1:25" x14ac:dyDescent="0.25">
      <c r="A6" s="20" t="s">
        <v>264</v>
      </c>
      <c r="B6" s="20" t="s">
        <v>265</v>
      </c>
      <c r="C6" s="20" t="s">
        <v>156</v>
      </c>
      <c r="D6" s="20">
        <v>2</v>
      </c>
      <c r="E6" s="20">
        <v>2</v>
      </c>
      <c r="F6" s="20"/>
      <c r="G6" s="20">
        <v>2</v>
      </c>
      <c r="H6" s="20">
        <v>37</v>
      </c>
      <c r="I6" s="20">
        <v>115</v>
      </c>
      <c r="J6" s="20">
        <v>1</v>
      </c>
      <c r="K6" s="20">
        <v>211</v>
      </c>
      <c r="L6" s="20">
        <v>2</v>
      </c>
      <c r="M6" s="20">
        <v>370</v>
      </c>
      <c r="N6" s="21">
        <v>53.243243243243242</v>
      </c>
      <c r="O6" s="20" t="s">
        <v>267</v>
      </c>
      <c r="P6" s="20">
        <f t="shared" si="0"/>
        <v>211</v>
      </c>
      <c r="Q6" s="20">
        <f t="shared" si="1"/>
        <v>37</v>
      </c>
      <c r="R6" s="20">
        <f t="shared" si="2"/>
        <v>115</v>
      </c>
      <c r="S6" s="20">
        <f t="shared" si="3"/>
        <v>7</v>
      </c>
      <c r="T6" s="20">
        <f t="shared" si="4"/>
        <v>370</v>
      </c>
      <c r="U6" s="23">
        <f t="shared" si="5"/>
        <v>0.57027027027027022</v>
      </c>
      <c r="V6" s="23">
        <f t="shared" si="6"/>
        <v>0.1</v>
      </c>
      <c r="W6" s="23">
        <f t="shared" si="7"/>
        <v>0.3108108108108108</v>
      </c>
      <c r="X6" s="23">
        <f t="shared" si="8"/>
        <v>1.891891891891892E-2</v>
      </c>
      <c r="Y6" s="21">
        <f t="shared" si="9"/>
        <v>53.243243243243242</v>
      </c>
    </row>
    <row r="7" spans="1:25" x14ac:dyDescent="0.25">
      <c r="A7" s="20" t="s">
        <v>264</v>
      </c>
      <c r="B7" s="20" t="s">
        <v>265</v>
      </c>
      <c r="C7" s="20" t="s">
        <v>156</v>
      </c>
      <c r="D7" s="20">
        <v>3</v>
      </c>
      <c r="E7" s="20"/>
      <c r="F7" s="20">
        <v>2</v>
      </c>
      <c r="G7" s="20">
        <v>1</v>
      </c>
      <c r="H7" s="20">
        <v>29</v>
      </c>
      <c r="I7" s="20">
        <v>129</v>
      </c>
      <c r="J7" s="20">
        <v>1</v>
      </c>
      <c r="K7" s="20">
        <v>208</v>
      </c>
      <c r="L7" s="20"/>
      <c r="M7" s="20">
        <v>370</v>
      </c>
      <c r="N7" s="21">
        <v>46.729729729729726</v>
      </c>
      <c r="O7" s="20" t="s">
        <v>267</v>
      </c>
      <c r="P7" s="20">
        <f t="shared" si="0"/>
        <v>208</v>
      </c>
      <c r="Q7" s="20">
        <f t="shared" si="1"/>
        <v>29</v>
      </c>
      <c r="R7" s="20">
        <f t="shared" si="2"/>
        <v>129</v>
      </c>
      <c r="S7" s="20">
        <f t="shared" si="3"/>
        <v>4</v>
      </c>
      <c r="T7" s="20">
        <f t="shared" si="4"/>
        <v>370</v>
      </c>
      <c r="U7" s="23">
        <f t="shared" si="5"/>
        <v>0.56216216216216219</v>
      </c>
      <c r="V7" s="23">
        <f t="shared" si="6"/>
        <v>7.8378378378378383E-2</v>
      </c>
      <c r="W7" s="23">
        <f t="shared" si="7"/>
        <v>0.34864864864864864</v>
      </c>
      <c r="X7" s="23">
        <f t="shared" si="8"/>
        <v>1.0810810810810811E-2</v>
      </c>
      <c r="Y7" s="21">
        <f t="shared" si="9"/>
        <v>46.729729729729726</v>
      </c>
    </row>
    <row r="8" spans="1:25" x14ac:dyDescent="0.25">
      <c r="A8" s="20" t="s">
        <v>264</v>
      </c>
      <c r="B8" s="20" t="s">
        <v>265</v>
      </c>
      <c r="C8" s="20" t="s">
        <v>156</v>
      </c>
      <c r="D8" s="20">
        <v>4</v>
      </c>
      <c r="E8" s="20"/>
      <c r="F8" s="20">
        <v>2</v>
      </c>
      <c r="G8" s="20">
        <v>2</v>
      </c>
      <c r="H8" s="20">
        <v>45</v>
      </c>
      <c r="I8" s="20">
        <v>347</v>
      </c>
      <c r="J8" s="20">
        <v>2</v>
      </c>
      <c r="K8" s="20">
        <v>332</v>
      </c>
      <c r="L8" s="20"/>
      <c r="M8" s="20">
        <v>730</v>
      </c>
      <c r="N8" s="21">
        <v>39.232876712328768</v>
      </c>
      <c r="O8" s="20" t="s">
        <v>267</v>
      </c>
      <c r="P8" s="20">
        <f t="shared" si="0"/>
        <v>332</v>
      </c>
      <c r="Q8" s="20">
        <f t="shared" si="1"/>
        <v>45</v>
      </c>
      <c r="R8" s="20">
        <f t="shared" si="2"/>
        <v>347</v>
      </c>
      <c r="S8" s="20">
        <f t="shared" si="3"/>
        <v>6</v>
      </c>
      <c r="T8" s="20">
        <f t="shared" si="4"/>
        <v>730</v>
      </c>
      <c r="U8" s="23">
        <f t="shared" si="5"/>
        <v>0.45479452054794522</v>
      </c>
      <c r="V8" s="23">
        <f t="shared" si="6"/>
        <v>6.1643835616438353E-2</v>
      </c>
      <c r="W8" s="23">
        <f t="shared" si="7"/>
        <v>0.47534246575342465</v>
      </c>
      <c r="X8" s="23">
        <f t="shared" si="8"/>
        <v>8.21917808219178E-3</v>
      </c>
      <c r="Y8" s="21">
        <f t="shared" si="9"/>
        <v>39.232876712328768</v>
      </c>
    </row>
    <row r="9" spans="1:25" x14ac:dyDescent="0.25">
      <c r="A9" s="20" t="s">
        <v>264</v>
      </c>
      <c r="B9" s="20" t="s">
        <v>265</v>
      </c>
      <c r="C9" s="20" t="s">
        <v>156</v>
      </c>
      <c r="D9" s="20">
        <v>5</v>
      </c>
      <c r="E9" s="20">
        <v>1</v>
      </c>
      <c r="F9" s="20"/>
      <c r="G9" s="20">
        <v>8</v>
      </c>
      <c r="H9" s="20">
        <v>53</v>
      </c>
      <c r="I9" s="20">
        <v>257</v>
      </c>
      <c r="J9" s="20">
        <v>4</v>
      </c>
      <c r="K9" s="20">
        <v>408</v>
      </c>
      <c r="L9" s="20"/>
      <c r="M9" s="20">
        <v>731</v>
      </c>
      <c r="N9" s="21">
        <v>30.172366621067031</v>
      </c>
      <c r="O9" s="20" t="s">
        <v>267</v>
      </c>
      <c r="P9" s="20">
        <f t="shared" si="0"/>
        <v>408</v>
      </c>
      <c r="Q9" s="20">
        <f t="shared" si="1"/>
        <v>53</v>
      </c>
      <c r="R9" s="20">
        <f t="shared" si="2"/>
        <v>257</v>
      </c>
      <c r="S9" s="20">
        <f t="shared" si="3"/>
        <v>13</v>
      </c>
      <c r="T9" s="20">
        <f t="shared" si="4"/>
        <v>731</v>
      </c>
      <c r="U9" s="23">
        <f t="shared" si="5"/>
        <v>0.55813953488372092</v>
      </c>
      <c r="V9" s="23">
        <f t="shared" si="6"/>
        <v>7.2503419972640218E-2</v>
      </c>
      <c r="W9" s="23">
        <f t="shared" si="7"/>
        <v>0.35157318741450067</v>
      </c>
      <c r="X9" s="23">
        <f t="shared" si="8"/>
        <v>1.7783857729138167E-2</v>
      </c>
      <c r="Y9" s="21">
        <f t="shared" si="9"/>
        <v>30.172366621067031</v>
      </c>
    </row>
    <row r="10" spans="1:25" x14ac:dyDescent="0.25">
      <c r="A10" s="20" t="s">
        <v>264</v>
      </c>
      <c r="B10" s="20" t="s">
        <v>265</v>
      </c>
      <c r="C10" s="20" t="s">
        <v>156</v>
      </c>
      <c r="D10" s="20">
        <v>6</v>
      </c>
      <c r="E10" s="20"/>
      <c r="F10" s="20"/>
      <c r="G10" s="20">
        <v>4</v>
      </c>
      <c r="H10" s="20">
        <v>50</v>
      </c>
      <c r="I10" s="20">
        <v>185</v>
      </c>
      <c r="J10" s="20"/>
      <c r="K10" s="20">
        <v>492</v>
      </c>
      <c r="L10" s="20"/>
      <c r="M10" s="20">
        <v>731</v>
      </c>
      <c r="N10" s="21">
        <v>24.101231190150479</v>
      </c>
      <c r="O10" s="20" t="s">
        <v>267</v>
      </c>
      <c r="P10" s="20">
        <f t="shared" si="0"/>
        <v>492</v>
      </c>
      <c r="Q10" s="20">
        <f t="shared" si="1"/>
        <v>50</v>
      </c>
      <c r="R10" s="20">
        <f t="shared" si="2"/>
        <v>185</v>
      </c>
      <c r="S10" s="20">
        <f t="shared" si="3"/>
        <v>4</v>
      </c>
      <c r="T10" s="20">
        <f t="shared" si="4"/>
        <v>731</v>
      </c>
      <c r="U10" s="23">
        <f t="shared" si="5"/>
        <v>0.67305061559507529</v>
      </c>
      <c r="V10" s="23">
        <f t="shared" si="6"/>
        <v>6.8399452804377564E-2</v>
      </c>
      <c r="W10" s="23">
        <f t="shared" si="7"/>
        <v>0.25307797537619697</v>
      </c>
      <c r="X10" s="23">
        <f t="shared" si="8"/>
        <v>5.4719562243502051E-3</v>
      </c>
      <c r="Y10" s="21">
        <f t="shared" si="9"/>
        <v>24.101231190150479</v>
      </c>
    </row>
    <row r="11" spans="1:25" x14ac:dyDescent="0.25">
      <c r="A11" s="20" t="s">
        <v>264</v>
      </c>
      <c r="B11" s="20" t="s">
        <v>265</v>
      </c>
      <c r="C11" s="20" t="s">
        <v>156</v>
      </c>
      <c r="D11" s="20">
        <v>7</v>
      </c>
      <c r="E11" s="20"/>
      <c r="F11" s="20"/>
      <c r="G11" s="20">
        <v>1</v>
      </c>
      <c r="H11" s="20">
        <v>42</v>
      </c>
      <c r="I11" s="20">
        <v>182</v>
      </c>
      <c r="J11" s="20"/>
      <c r="K11" s="20">
        <v>506</v>
      </c>
      <c r="L11" s="20"/>
      <c r="M11" s="20">
        <v>731</v>
      </c>
      <c r="N11" s="21">
        <v>19.783857729138166</v>
      </c>
      <c r="O11" s="20" t="s">
        <v>267</v>
      </c>
      <c r="P11" s="20">
        <f t="shared" si="0"/>
        <v>506</v>
      </c>
      <c r="Q11" s="20">
        <f t="shared" si="1"/>
        <v>42</v>
      </c>
      <c r="R11" s="20">
        <f t="shared" si="2"/>
        <v>182</v>
      </c>
      <c r="S11" s="20">
        <f t="shared" si="3"/>
        <v>1</v>
      </c>
      <c r="T11" s="20">
        <f t="shared" si="4"/>
        <v>731</v>
      </c>
      <c r="U11" s="23">
        <f t="shared" si="5"/>
        <v>0.69220246238030092</v>
      </c>
      <c r="V11" s="23">
        <f t="shared" si="6"/>
        <v>5.7455540355677154E-2</v>
      </c>
      <c r="W11" s="23">
        <f t="shared" si="7"/>
        <v>0.24897400820793433</v>
      </c>
      <c r="X11" s="23">
        <f t="shared" si="8"/>
        <v>1.3679890560875513E-3</v>
      </c>
      <c r="Y11" s="21">
        <f t="shared" si="9"/>
        <v>19.783857729138166</v>
      </c>
    </row>
    <row r="12" spans="1:25" x14ac:dyDescent="0.25">
      <c r="A12" s="20" t="s">
        <v>264</v>
      </c>
      <c r="B12" s="20" t="s">
        <v>265</v>
      </c>
      <c r="C12" s="20" t="s">
        <v>157</v>
      </c>
      <c r="D12" s="20">
        <v>1</v>
      </c>
      <c r="E12" s="20"/>
      <c r="F12" s="20"/>
      <c r="G12" s="20">
        <v>1</v>
      </c>
      <c r="H12" s="20">
        <v>1</v>
      </c>
      <c r="I12" s="20">
        <v>12</v>
      </c>
      <c r="J12" s="20"/>
      <c r="K12" s="20">
        <v>336</v>
      </c>
      <c r="L12" s="20"/>
      <c r="M12" s="20">
        <v>350</v>
      </c>
      <c r="N12" s="21">
        <v>61.782857142857139</v>
      </c>
      <c r="O12" s="20" t="s">
        <v>267</v>
      </c>
      <c r="P12" s="20">
        <f t="shared" ref="P12:P61" si="10">K12</f>
        <v>336</v>
      </c>
      <c r="Q12" s="20">
        <f t="shared" ref="Q12:Q61" si="11">H12</f>
        <v>1</v>
      </c>
      <c r="R12" s="20">
        <f t="shared" ref="R12:R61" si="12">I12</f>
        <v>12</v>
      </c>
      <c r="S12" s="20">
        <f t="shared" ref="S12:S61" si="13">M12-SUM(P12:R12)</f>
        <v>1</v>
      </c>
      <c r="T12" s="20">
        <f t="shared" ref="T12:T61" si="14">SUM(P12:S12)</f>
        <v>350</v>
      </c>
      <c r="U12" s="23">
        <f t="shared" ref="U12:U61" si="15">P12/M12</f>
        <v>0.96</v>
      </c>
      <c r="V12" s="23">
        <f t="shared" ref="V12:V61" si="16">Q12/M12</f>
        <v>2.8571428571428571E-3</v>
      </c>
      <c r="W12" s="23">
        <f t="shared" ref="W12:W61" si="17">R12/M12</f>
        <v>3.4285714285714287E-2</v>
      </c>
      <c r="X12" s="23">
        <f t="shared" ref="X12:X61" si="18">S12/M12</f>
        <v>2.8571428571428571E-3</v>
      </c>
      <c r="Y12" s="21">
        <f t="shared" ref="Y12:Y61" si="19">N12</f>
        <v>61.782857142857139</v>
      </c>
    </row>
    <row r="13" spans="1:25" x14ac:dyDescent="0.25">
      <c r="A13" s="20" t="s">
        <v>264</v>
      </c>
      <c r="B13" s="20" t="s">
        <v>265</v>
      </c>
      <c r="C13" s="20" t="s">
        <v>157</v>
      </c>
      <c r="D13" s="20">
        <v>2</v>
      </c>
      <c r="E13" s="20">
        <v>1</v>
      </c>
      <c r="F13" s="20"/>
      <c r="G13" s="20"/>
      <c r="H13" s="20">
        <v>2</v>
      </c>
      <c r="I13" s="20">
        <v>28</v>
      </c>
      <c r="J13" s="20"/>
      <c r="K13" s="20">
        <v>332</v>
      </c>
      <c r="L13" s="20"/>
      <c r="M13" s="20">
        <v>363</v>
      </c>
      <c r="N13" s="21">
        <v>41.319559228650135</v>
      </c>
      <c r="O13" s="20" t="s">
        <v>267</v>
      </c>
      <c r="P13" s="20">
        <f t="shared" si="10"/>
        <v>332</v>
      </c>
      <c r="Q13" s="20">
        <f t="shared" si="11"/>
        <v>2</v>
      </c>
      <c r="R13" s="20">
        <f t="shared" si="12"/>
        <v>28</v>
      </c>
      <c r="S13" s="20">
        <f t="shared" si="13"/>
        <v>1</v>
      </c>
      <c r="T13" s="20">
        <f t="shared" si="14"/>
        <v>363</v>
      </c>
      <c r="U13" s="23">
        <f t="shared" si="15"/>
        <v>0.91460055096418735</v>
      </c>
      <c r="V13" s="23">
        <f t="shared" si="16"/>
        <v>5.5096418732782371E-3</v>
      </c>
      <c r="W13" s="23">
        <f t="shared" si="17"/>
        <v>7.7134986225895319E-2</v>
      </c>
      <c r="X13" s="23">
        <f t="shared" si="18"/>
        <v>2.7548209366391185E-3</v>
      </c>
      <c r="Y13" s="21">
        <f t="shared" si="19"/>
        <v>41.319559228650135</v>
      </c>
    </row>
    <row r="14" spans="1:25" x14ac:dyDescent="0.25">
      <c r="A14" s="20" t="s">
        <v>264</v>
      </c>
      <c r="B14" s="20" t="s">
        <v>265</v>
      </c>
      <c r="C14" s="20" t="s">
        <v>157</v>
      </c>
      <c r="D14" s="20">
        <v>3</v>
      </c>
      <c r="E14" s="20"/>
      <c r="F14" s="20"/>
      <c r="G14" s="20"/>
      <c r="H14" s="20"/>
      <c r="I14" s="20">
        <v>8</v>
      </c>
      <c r="J14" s="20"/>
      <c r="K14" s="20">
        <v>355</v>
      </c>
      <c r="L14" s="20"/>
      <c r="M14" s="20">
        <v>363</v>
      </c>
      <c r="N14" s="21">
        <v>24.674931129476583</v>
      </c>
      <c r="O14" s="20" t="s">
        <v>267</v>
      </c>
      <c r="P14" s="20">
        <f t="shared" si="10"/>
        <v>355</v>
      </c>
      <c r="Q14" s="20">
        <f t="shared" si="11"/>
        <v>0</v>
      </c>
      <c r="R14" s="20">
        <f t="shared" si="12"/>
        <v>8</v>
      </c>
      <c r="S14" s="20">
        <f t="shared" si="13"/>
        <v>0</v>
      </c>
      <c r="T14" s="20">
        <f t="shared" si="14"/>
        <v>363</v>
      </c>
      <c r="U14" s="23">
        <f t="shared" si="15"/>
        <v>0.97796143250688705</v>
      </c>
      <c r="V14" s="23">
        <f t="shared" si="16"/>
        <v>0</v>
      </c>
      <c r="W14" s="23">
        <f t="shared" si="17"/>
        <v>2.2038567493112948E-2</v>
      </c>
      <c r="X14" s="23">
        <f t="shared" si="18"/>
        <v>0</v>
      </c>
      <c r="Y14" s="21">
        <f t="shared" si="19"/>
        <v>24.674931129476583</v>
      </c>
    </row>
    <row r="15" spans="1:25" x14ac:dyDescent="0.25">
      <c r="A15" s="20" t="s">
        <v>264</v>
      </c>
      <c r="B15" s="20" t="s">
        <v>265</v>
      </c>
      <c r="C15" s="20" t="s">
        <v>158</v>
      </c>
      <c r="D15" s="20">
        <v>1</v>
      </c>
      <c r="E15" s="20"/>
      <c r="F15" s="20"/>
      <c r="G15" s="20"/>
      <c r="H15" s="20">
        <v>15</v>
      </c>
      <c r="I15" s="20">
        <v>59</v>
      </c>
      <c r="J15" s="20"/>
      <c r="K15" s="20">
        <v>296</v>
      </c>
      <c r="L15" s="20"/>
      <c r="M15" s="20">
        <v>370</v>
      </c>
      <c r="N15" s="21">
        <v>63.689189189189186</v>
      </c>
      <c r="O15" s="20" t="s">
        <v>267</v>
      </c>
      <c r="P15" s="20">
        <f t="shared" si="10"/>
        <v>296</v>
      </c>
      <c r="Q15" s="20">
        <f t="shared" si="11"/>
        <v>15</v>
      </c>
      <c r="R15" s="20">
        <f t="shared" si="12"/>
        <v>59</v>
      </c>
      <c r="S15" s="20">
        <f t="shared" si="13"/>
        <v>0</v>
      </c>
      <c r="T15" s="20">
        <f t="shared" si="14"/>
        <v>370</v>
      </c>
      <c r="U15" s="23">
        <f t="shared" si="15"/>
        <v>0.8</v>
      </c>
      <c r="V15" s="23">
        <f t="shared" si="16"/>
        <v>4.0540540540540543E-2</v>
      </c>
      <c r="W15" s="23">
        <f t="shared" si="17"/>
        <v>0.15945945945945947</v>
      </c>
      <c r="X15" s="23">
        <f t="shared" si="18"/>
        <v>0</v>
      </c>
      <c r="Y15" s="21">
        <f t="shared" si="19"/>
        <v>63.689189189189186</v>
      </c>
    </row>
    <row r="16" spans="1:25" x14ac:dyDescent="0.25">
      <c r="A16" s="20" t="s">
        <v>264</v>
      </c>
      <c r="B16" s="20" t="s">
        <v>265</v>
      </c>
      <c r="C16" s="20" t="s">
        <v>158</v>
      </c>
      <c r="D16" s="20">
        <v>2</v>
      </c>
      <c r="E16" s="20"/>
      <c r="F16" s="20">
        <v>2</v>
      </c>
      <c r="G16" s="20"/>
      <c r="H16" s="20">
        <v>11</v>
      </c>
      <c r="I16" s="20">
        <v>43</v>
      </c>
      <c r="J16" s="20">
        <v>3</v>
      </c>
      <c r="K16" s="20">
        <v>311</v>
      </c>
      <c r="L16" s="20"/>
      <c r="M16" s="20">
        <v>370</v>
      </c>
      <c r="N16" s="21">
        <v>56.205405405405408</v>
      </c>
      <c r="O16" s="20" t="s">
        <v>267</v>
      </c>
      <c r="P16" s="20">
        <f t="shared" si="10"/>
        <v>311</v>
      </c>
      <c r="Q16" s="20">
        <f t="shared" si="11"/>
        <v>11</v>
      </c>
      <c r="R16" s="20">
        <f t="shared" si="12"/>
        <v>43</v>
      </c>
      <c r="S16" s="20">
        <f t="shared" si="13"/>
        <v>5</v>
      </c>
      <c r="T16" s="20">
        <f t="shared" si="14"/>
        <v>370</v>
      </c>
      <c r="U16" s="23">
        <f t="shared" si="15"/>
        <v>0.8405405405405405</v>
      </c>
      <c r="V16" s="23">
        <f t="shared" si="16"/>
        <v>2.9729729729729731E-2</v>
      </c>
      <c r="W16" s="23">
        <f t="shared" si="17"/>
        <v>0.11621621621621622</v>
      </c>
      <c r="X16" s="23">
        <f t="shared" si="18"/>
        <v>1.3513513513513514E-2</v>
      </c>
      <c r="Y16" s="21">
        <f t="shared" si="19"/>
        <v>56.205405405405408</v>
      </c>
    </row>
    <row r="17" spans="1:25" x14ac:dyDescent="0.25">
      <c r="A17" s="20" t="s">
        <v>264</v>
      </c>
      <c r="B17" s="20" t="s">
        <v>265</v>
      </c>
      <c r="C17" s="20" t="s">
        <v>158</v>
      </c>
      <c r="D17" s="20">
        <v>3</v>
      </c>
      <c r="E17" s="20"/>
      <c r="F17" s="20">
        <v>2</v>
      </c>
      <c r="G17" s="20">
        <v>4</v>
      </c>
      <c r="H17" s="20">
        <v>8</v>
      </c>
      <c r="I17" s="20">
        <v>34</v>
      </c>
      <c r="J17" s="20"/>
      <c r="K17" s="20">
        <v>637</v>
      </c>
      <c r="L17" s="20"/>
      <c r="M17" s="20">
        <v>685</v>
      </c>
      <c r="N17" s="21">
        <v>44.319708029197081</v>
      </c>
      <c r="O17" s="20" t="s">
        <v>267</v>
      </c>
      <c r="P17" s="20">
        <f t="shared" si="10"/>
        <v>637</v>
      </c>
      <c r="Q17" s="20">
        <f t="shared" si="11"/>
        <v>8</v>
      </c>
      <c r="R17" s="20">
        <f t="shared" si="12"/>
        <v>34</v>
      </c>
      <c r="S17" s="20">
        <f t="shared" si="13"/>
        <v>6</v>
      </c>
      <c r="T17" s="20">
        <f t="shared" si="14"/>
        <v>685</v>
      </c>
      <c r="U17" s="23">
        <f t="shared" si="15"/>
        <v>0.92992700729927003</v>
      </c>
      <c r="V17" s="23">
        <f t="shared" si="16"/>
        <v>1.167883211678832E-2</v>
      </c>
      <c r="W17" s="23">
        <f t="shared" si="17"/>
        <v>4.9635036496350364E-2</v>
      </c>
      <c r="X17" s="23">
        <f t="shared" si="18"/>
        <v>8.7591240875912416E-3</v>
      </c>
      <c r="Y17" s="21">
        <f t="shared" si="19"/>
        <v>44.319708029197081</v>
      </c>
    </row>
    <row r="18" spans="1:25" x14ac:dyDescent="0.25">
      <c r="A18" s="20" t="s">
        <v>264</v>
      </c>
      <c r="B18" s="20" t="s">
        <v>265</v>
      </c>
      <c r="C18" s="20" t="s">
        <v>158</v>
      </c>
      <c r="D18" s="20">
        <v>4</v>
      </c>
      <c r="E18" s="20"/>
      <c r="F18" s="20"/>
      <c r="G18" s="20">
        <v>1</v>
      </c>
      <c r="H18" s="20">
        <v>14</v>
      </c>
      <c r="I18" s="20">
        <v>25</v>
      </c>
      <c r="J18" s="20">
        <v>3</v>
      </c>
      <c r="K18" s="20">
        <v>643</v>
      </c>
      <c r="L18" s="20"/>
      <c r="M18" s="20">
        <v>686</v>
      </c>
      <c r="N18" s="21">
        <v>32.599125364431487</v>
      </c>
      <c r="O18" s="20" t="s">
        <v>267</v>
      </c>
      <c r="P18" s="20">
        <f t="shared" si="10"/>
        <v>643</v>
      </c>
      <c r="Q18" s="20">
        <f t="shared" si="11"/>
        <v>14</v>
      </c>
      <c r="R18" s="20">
        <f t="shared" si="12"/>
        <v>25</v>
      </c>
      <c r="S18" s="20">
        <f t="shared" si="13"/>
        <v>4</v>
      </c>
      <c r="T18" s="20">
        <f t="shared" si="14"/>
        <v>686</v>
      </c>
      <c r="U18" s="23">
        <f t="shared" si="15"/>
        <v>0.93731778425655976</v>
      </c>
      <c r="V18" s="23">
        <f t="shared" si="16"/>
        <v>2.0408163265306121E-2</v>
      </c>
      <c r="W18" s="23">
        <f t="shared" si="17"/>
        <v>3.6443148688046649E-2</v>
      </c>
      <c r="X18" s="23">
        <f t="shared" si="18"/>
        <v>5.8309037900874635E-3</v>
      </c>
      <c r="Y18" s="21">
        <f t="shared" si="19"/>
        <v>32.599125364431487</v>
      </c>
    </row>
    <row r="19" spans="1:25" x14ac:dyDescent="0.25">
      <c r="A19" s="20" t="s">
        <v>264</v>
      </c>
      <c r="B19" s="20" t="s">
        <v>265</v>
      </c>
      <c r="C19" s="20" t="s">
        <v>158</v>
      </c>
      <c r="D19" s="20">
        <v>5</v>
      </c>
      <c r="E19" s="20"/>
      <c r="F19" s="20"/>
      <c r="G19" s="20">
        <v>1</v>
      </c>
      <c r="H19" s="20">
        <v>7</v>
      </c>
      <c r="I19" s="20">
        <v>12</v>
      </c>
      <c r="J19" s="20"/>
      <c r="K19" s="20">
        <v>666</v>
      </c>
      <c r="L19" s="20"/>
      <c r="M19" s="20">
        <v>686</v>
      </c>
      <c r="N19" s="21">
        <v>25.450437317784257</v>
      </c>
      <c r="O19" s="20" t="s">
        <v>267</v>
      </c>
      <c r="P19" s="20">
        <f t="shared" si="10"/>
        <v>666</v>
      </c>
      <c r="Q19" s="20">
        <f t="shared" si="11"/>
        <v>7</v>
      </c>
      <c r="R19" s="20">
        <f t="shared" si="12"/>
        <v>12</v>
      </c>
      <c r="S19" s="20">
        <f t="shared" si="13"/>
        <v>1</v>
      </c>
      <c r="T19" s="20">
        <f t="shared" si="14"/>
        <v>686</v>
      </c>
      <c r="U19" s="23">
        <f t="shared" si="15"/>
        <v>0.9708454810495627</v>
      </c>
      <c r="V19" s="23">
        <f t="shared" si="16"/>
        <v>1.020408163265306E-2</v>
      </c>
      <c r="W19" s="23">
        <f t="shared" si="17"/>
        <v>1.7492711370262391E-2</v>
      </c>
      <c r="X19" s="23">
        <f t="shared" si="18"/>
        <v>1.4577259475218659E-3</v>
      </c>
      <c r="Y19" s="21">
        <f t="shared" si="19"/>
        <v>25.450437317784257</v>
      </c>
    </row>
    <row r="20" spans="1:25" x14ac:dyDescent="0.25">
      <c r="A20" s="20" t="s">
        <v>264</v>
      </c>
      <c r="B20" s="20" t="s">
        <v>265</v>
      </c>
      <c r="C20" s="20" t="s">
        <v>158</v>
      </c>
      <c r="D20" s="20">
        <v>6</v>
      </c>
      <c r="E20" s="20"/>
      <c r="F20" s="20"/>
      <c r="G20" s="20"/>
      <c r="H20" s="20">
        <v>1</v>
      </c>
      <c r="I20" s="20">
        <v>8</v>
      </c>
      <c r="J20" s="20">
        <v>1</v>
      </c>
      <c r="K20" s="20">
        <v>676</v>
      </c>
      <c r="L20" s="20"/>
      <c r="M20" s="20">
        <v>686</v>
      </c>
      <c r="N20" s="21">
        <v>20.309037900874635</v>
      </c>
      <c r="O20" s="20" t="s">
        <v>267</v>
      </c>
      <c r="P20" s="20">
        <f t="shared" si="10"/>
        <v>676</v>
      </c>
      <c r="Q20" s="20">
        <f t="shared" si="11"/>
        <v>1</v>
      </c>
      <c r="R20" s="20">
        <f t="shared" si="12"/>
        <v>8</v>
      </c>
      <c r="S20" s="20">
        <f t="shared" si="13"/>
        <v>1</v>
      </c>
      <c r="T20" s="20">
        <f t="shared" si="14"/>
        <v>686</v>
      </c>
      <c r="U20" s="23">
        <f t="shared" si="15"/>
        <v>0.98542274052478129</v>
      </c>
      <c r="V20" s="23">
        <f t="shared" si="16"/>
        <v>1.4577259475218659E-3</v>
      </c>
      <c r="W20" s="23">
        <f t="shared" si="17"/>
        <v>1.1661807580174927E-2</v>
      </c>
      <c r="X20" s="23">
        <f t="shared" si="18"/>
        <v>1.4577259475218659E-3</v>
      </c>
      <c r="Y20" s="21">
        <f t="shared" si="19"/>
        <v>20.309037900874635</v>
      </c>
    </row>
    <row r="21" spans="1:25" x14ac:dyDescent="0.25">
      <c r="A21" s="20" t="s">
        <v>264</v>
      </c>
      <c r="B21" s="20" t="s">
        <v>265</v>
      </c>
      <c r="C21" s="20" t="s">
        <v>159</v>
      </c>
      <c r="D21" s="20">
        <v>1</v>
      </c>
      <c r="E21" s="20"/>
      <c r="F21" s="20"/>
      <c r="G21" s="20"/>
      <c r="H21" s="20">
        <v>4</v>
      </c>
      <c r="I21" s="20">
        <v>14</v>
      </c>
      <c r="J21" s="20"/>
      <c r="K21" s="20">
        <v>352</v>
      </c>
      <c r="L21" s="20"/>
      <c r="M21" s="20">
        <v>370</v>
      </c>
      <c r="N21" s="21">
        <v>56.956756756756754</v>
      </c>
      <c r="O21" s="20" t="s">
        <v>267</v>
      </c>
      <c r="P21" s="20">
        <f t="shared" si="10"/>
        <v>352</v>
      </c>
      <c r="Q21" s="20">
        <f t="shared" si="11"/>
        <v>4</v>
      </c>
      <c r="R21" s="20">
        <f t="shared" si="12"/>
        <v>14</v>
      </c>
      <c r="S21" s="20">
        <f t="shared" si="13"/>
        <v>0</v>
      </c>
      <c r="T21" s="20">
        <f t="shared" si="14"/>
        <v>370</v>
      </c>
      <c r="U21" s="23">
        <f t="shared" si="15"/>
        <v>0.9513513513513514</v>
      </c>
      <c r="V21" s="23">
        <f t="shared" si="16"/>
        <v>1.0810810810810811E-2</v>
      </c>
      <c r="W21" s="23">
        <f t="shared" si="17"/>
        <v>3.783783783783784E-2</v>
      </c>
      <c r="X21" s="23">
        <f t="shared" si="18"/>
        <v>0</v>
      </c>
      <c r="Y21" s="21">
        <f t="shared" si="19"/>
        <v>56.956756756756754</v>
      </c>
    </row>
    <row r="22" spans="1:25" x14ac:dyDescent="0.25">
      <c r="A22" s="20" t="s">
        <v>264</v>
      </c>
      <c r="B22" s="20" t="s">
        <v>265</v>
      </c>
      <c r="C22" s="20" t="s">
        <v>159</v>
      </c>
      <c r="D22" s="20">
        <v>2</v>
      </c>
      <c r="E22" s="20"/>
      <c r="F22" s="20">
        <v>1</v>
      </c>
      <c r="G22" s="20">
        <v>2</v>
      </c>
      <c r="H22" s="20">
        <v>5</v>
      </c>
      <c r="I22" s="20">
        <v>9</v>
      </c>
      <c r="J22" s="20">
        <v>1</v>
      </c>
      <c r="K22" s="20">
        <v>352</v>
      </c>
      <c r="L22" s="20"/>
      <c r="M22" s="20">
        <v>370</v>
      </c>
      <c r="N22" s="21">
        <v>47.840540540540538</v>
      </c>
      <c r="O22" s="20" t="s">
        <v>267</v>
      </c>
      <c r="P22" s="20">
        <f t="shared" si="10"/>
        <v>352</v>
      </c>
      <c r="Q22" s="20">
        <f t="shared" si="11"/>
        <v>5</v>
      </c>
      <c r="R22" s="20">
        <f t="shared" si="12"/>
        <v>9</v>
      </c>
      <c r="S22" s="20">
        <f t="shared" si="13"/>
        <v>4</v>
      </c>
      <c r="T22" s="20">
        <f t="shared" si="14"/>
        <v>370</v>
      </c>
      <c r="U22" s="23">
        <f t="shared" si="15"/>
        <v>0.9513513513513514</v>
      </c>
      <c r="V22" s="23">
        <f t="shared" si="16"/>
        <v>1.3513513513513514E-2</v>
      </c>
      <c r="W22" s="23">
        <f t="shared" si="17"/>
        <v>2.4324324324324326E-2</v>
      </c>
      <c r="X22" s="23">
        <f t="shared" si="18"/>
        <v>1.0810810810810811E-2</v>
      </c>
      <c r="Y22" s="21">
        <f t="shared" si="19"/>
        <v>47.840540540540538</v>
      </c>
    </row>
    <row r="23" spans="1:25" x14ac:dyDescent="0.25">
      <c r="A23" s="20" t="s">
        <v>264</v>
      </c>
      <c r="B23" s="20" t="s">
        <v>265</v>
      </c>
      <c r="C23" s="20" t="s">
        <v>159</v>
      </c>
      <c r="D23" s="20">
        <v>3</v>
      </c>
      <c r="E23" s="20">
        <v>1</v>
      </c>
      <c r="F23" s="20">
        <v>2</v>
      </c>
      <c r="G23" s="20">
        <v>1</v>
      </c>
      <c r="H23" s="20">
        <v>6</v>
      </c>
      <c r="I23" s="20">
        <v>17</v>
      </c>
      <c r="J23" s="20"/>
      <c r="K23" s="20">
        <v>596</v>
      </c>
      <c r="L23" s="20"/>
      <c r="M23" s="20">
        <v>623</v>
      </c>
      <c r="N23" s="21">
        <v>33.361155698234349</v>
      </c>
      <c r="O23" s="20" t="s">
        <v>267</v>
      </c>
      <c r="P23" s="20">
        <f t="shared" si="10"/>
        <v>596</v>
      </c>
      <c r="Q23" s="20">
        <f t="shared" si="11"/>
        <v>6</v>
      </c>
      <c r="R23" s="20">
        <f t="shared" si="12"/>
        <v>17</v>
      </c>
      <c r="S23" s="20">
        <f t="shared" si="13"/>
        <v>4</v>
      </c>
      <c r="T23" s="20">
        <f t="shared" si="14"/>
        <v>623</v>
      </c>
      <c r="U23" s="23">
        <f t="shared" si="15"/>
        <v>0.956661316211878</v>
      </c>
      <c r="V23" s="23">
        <f t="shared" si="16"/>
        <v>9.630818619582664E-3</v>
      </c>
      <c r="W23" s="23">
        <f t="shared" si="17"/>
        <v>2.7287319422150885E-2</v>
      </c>
      <c r="X23" s="23">
        <f t="shared" si="18"/>
        <v>6.420545746388443E-3</v>
      </c>
      <c r="Y23" s="21">
        <f t="shared" si="19"/>
        <v>33.361155698234349</v>
      </c>
    </row>
    <row r="24" spans="1:25" x14ac:dyDescent="0.25">
      <c r="A24" s="20" t="s">
        <v>264</v>
      </c>
      <c r="B24" s="20" t="s">
        <v>265</v>
      </c>
      <c r="C24" s="20" t="s">
        <v>159</v>
      </c>
      <c r="D24" s="20">
        <v>4</v>
      </c>
      <c r="E24" s="20"/>
      <c r="F24" s="20"/>
      <c r="G24" s="20"/>
      <c r="H24" s="20">
        <v>1</v>
      </c>
      <c r="I24" s="20">
        <v>9</v>
      </c>
      <c r="J24" s="20"/>
      <c r="K24" s="20">
        <v>613</v>
      </c>
      <c r="L24" s="20"/>
      <c r="M24" s="20">
        <v>623</v>
      </c>
      <c r="N24" s="21">
        <v>25.086677367576243</v>
      </c>
      <c r="O24" s="20" t="s">
        <v>267</v>
      </c>
      <c r="P24" s="20">
        <f t="shared" si="10"/>
        <v>613</v>
      </c>
      <c r="Q24" s="20">
        <f t="shared" si="11"/>
        <v>1</v>
      </c>
      <c r="R24" s="20">
        <f t="shared" si="12"/>
        <v>9</v>
      </c>
      <c r="S24" s="20">
        <f t="shared" si="13"/>
        <v>0</v>
      </c>
      <c r="T24" s="20">
        <f t="shared" si="14"/>
        <v>623</v>
      </c>
      <c r="U24" s="23">
        <f t="shared" si="15"/>
        <v>0.9839486356340289</v>
      </c>
      <c r="V24" s="23">
        <f t="shared" si="16"/>
        <v>1.6051364365971107E-3</v>
      </c>
      <c r="W24" s="23">
        <f t="shared" si="17"/>
        <v>1.4446227929373997E-2</v>
      </c>
      <c r="X24" s="23">
        <f t="shared" si="18"/>
        <v>0</v>
      </c>
      <c r="Y24" s="21">
        <f t="shared" si="19"/>
        <v>25.086677367576243</v>
      </c>
    </row>
    <row r="25" spans="1:25" x14ac:dyDescent="0.25">
      <c r="A25" s="20" t="s">
        <v>264</v>
      </c>
      <c r="B25" s="20" t="s">
        <v>265</v>
      </c>
      <c r="C25" s="20" t="s">
        <v>159</v>
      </c>
      <c r="D25" s="20">
        <v>5</v>
      </c>
      <c r="E25" s="20"/>
      <c r="F25" s="20"/>
      <c r="G25" s="20"/>
      <c r="H25" s="20">
        <v>2</v>
      </c>
      <c r="I25" s="20">
        <v>11</v>
      </c>
      <c r="J25" s="20"/>
      <c r="K25" s="20">
        <v>610</v>
      </c>
      <c r="L25" s="20"/>
      <c r="M25" s="20">
        <v>623</v>
      </c>
      <c r="N25" s="21">
        <v>20.142857142857142</v>
      </c>
      <c r="O25" s="20" t="s">
        <v>267</v>
      </c>
      <c r="P25" s="20">
        <f t="shared" si="10"/>
        <v>610</v>
      </c>
      <c r="Q25" s="20">
        <f t="shared" si="11"/>
        <v>2</v>
      </c>
      <c r="R25" s="20">
        <f t="shared" si="12"/>
        <v>11</v>
      </c>
      <c r="S25" s="20">
        <f t="shared" si="13"/>
        <v>0</v>
      </c>
      <c r="T25" s="20">
        <f t="shared" si="14"/>
        <v>623</v>
      </c>
      <c r="U25" s="23">
        <f t="shared" si="15"/>
        <v>0.9791332263242376</v>
      </c>
      <c r="V25" s="23">
        <f t="shared" si="16"/>
        <v>3.2102728731942215E-3</v>
      </c>
      <c r="W25" s="23">
        <f t="shared" si="17"/>
        <v>1.7656500802568219E-2</v>
      </c>
      <c r="X25" s="23">
        <f t="shared" si="18"/>
        <v>0</v>
      </c>
      <c r="Y25" s="21">
        <f t="shared" si="19"/>
        <v>20.142857142857142</v>
      </c>
    </row>
    <row r="26" spans="1:25" x14ac:dyDescent="0.25">
      <c r="A26" s="20" t="s">
        <v>268</v>
      </c>
      <c r="B26" s="20" t="s">
        <v>269</v>
      </c>
      <c r="C26" s="20" t="s">
        <v>270</v>
      </c>
      <c r="D26" s="20">
        <v>1</v>
      </c>
      <c r="E26" s="20"/>
      <c r="F26" s="20">
        <v>1</v>
      </c>
      <c r="G26" s="20"/>
      <c r="H26" s="20">
        <v>29</v>
      </c>
      <c r="I26" s="20">
        <v>43</v>
      </c>
      <c r="J26" s="20">
        <v>1</v>
      </c>
      <c r="K26" s="20">
        <v>286</v>
      </c>
      <c r="L26" s="20"/>
      <c r="M26" s="20">
        <v>360</v>
      </c>
      <c r="N26" s="21">
        <v>68.625</v>
      </c>
      <c r="O26" s="20" t="s">
        <v>267</v>
      </c>
      <c r="P26" s="20">
        <f t="shared" si="10"/>
        <v>286</v>
      </c>
      <c r="Q26" s="20">
        <f t="shared" si="11"/>
        <v>29</v>
      </c>
      <c r="R26" s="20">
        <f t="shared" si="12"/>
        <v>43</v>
      </c>
      <c r="S26" s="20">
        <f t="shared" si="13"/>
        <v>2</v>
      </c>
      <c r="T26" s="20">
        <f t="shared" si="14"/>
        <v>360</v>
      </c>
      <c r="U26" s="23">
        <f t="shared" si="15"/>
        <v>0.7944444444444444</v>
      </c>
      <c r="V26" s="23">
        <f t="shared" si="16"/>
        <v>8.0555555555555561E-2</v>
      </c>
      <c r="W26" s="23">
        <f t="shared" si="17"/>
        <v>0.11944444444444445</v>
      </c>
      <c r="X26" s="23">
        <f t="shared" si="18"/>
        <v>5.5555555555555558E-3</v>
      </c>
      <c r="Y26" s="21">
        <f t="shared" si="19"/>
        <v>68.625</v>
      </c>
    </row>
    <row r="27" spans="1:25" x14ac:dyDescent="0.25">
      <c r="A27" s="20" t="s">
        <v>268</v>
      </c>
      <c r="B27" s="20" t="s">
        <v>269</v>
      </c>
      <c r="C27" s="20" t="s">
        <v>270</v>
      </c>
      <c r="D27" s="20">
        <v>2</v>
      </c>
      <c r="E27" s="20"/>
      <c r="F27" s="20">
        <v>3</v>
      </c>
      <c r="G27" s="20"/>
      <c r="H27" s="20">
        <v>12</v>
      </c>
      <c r="I27" s="20">
        <v>47</v>
      </c>
      <c r="J27" s="20">
        <v>2</v>
      </c>
      <c r="K27" s="20">
        <v>296</v>
      </c>
      <c r="L27" s="20"/>
      <c r="M27" s="20">
        <v>360</v>
      </c>
      <c r="N27" s="21">
        <v>58.177777777777777</v>
      </c>
      <c r="O27" s="20" t="s">
        <v>267</v>
      </c>
      <c r="P27" s="20">
        <f t="shared" si="10"/>
        <v>296</v>
      </c>
      <c r="Q27" s="20">
        <f t="shared" si="11"/>
        <v>12</v>
      </c>
      <c r="R27" s="20">
        <f t="shared" si="12"/>
        <v>47</v>
      </c>
      <c r="S27" s="20">
        <f t="shared" si="13"/>
        <v>5</v>
      </c>
      <c r="T27" s="20">
        <f t="shared" si="14"/>
        <v>360</v>
      </c>
      <c r="U27" s="23">
        <f t="shared" si="15"/>
        <v>0.82222222222222219</v>
      </c>
      <c r="V27" s="23">
        <f t="shared" si="16"/>
        <v>3.3333333333333333E-2</v>
      </c>
      <c r="W27" s="23">
        <f t="shared" si="17"/>
        <v>0.13055555555555556</v>
      </c>
      <c r="X27" s="23">
        <f t="shared" si="18"/>
        <v>1.3888888888888888E-2</v>
      </c>
      <c r="Y27" s="21">
        <f t="shared" si="19"/>
        <v>58.177777777777777</v>
      </c>
    </row>
    <row r="28" spans="1:25" x14ac:dyDescent="0.25">
      <c r="A28" s="20" t="s">
        <v>268</v>
      </c>
      <c r="B28" s="20" t="s">
        <v>269</v>
      </c>
      <c r="C28" s="20" t="s">
        <v>270</v>
      </c>
      <c r="D28" s="20">
        <v>3</v>
      </c>
      <c r="E28" s="20"/>
      <c r="F28" s="20">
        <v>3</v>
      </c>
      <c r="G28" s="20">
        <v>1</v>
      </c>
      <c r="H28" s="20">
        <v>14</v>
      </c>
      <c r="I28" s="20">
        <v>39</v>
      </c>
      <c r="J28" s="20">
        <v>1</v>
      </c>
      <c r="K28" s="20">
        <v>443</v>
      </c>
      <c r="L28" s="20"/>
      <c r="M28" s="20">
        <v>501</v>
      </c>
      <c r="N28" s="21">
        <v>46.0439121756487</v>
      </c>
      <c r="O28" s="20" t="s">
        <v>267</v>
      </c>
      <c r="P28" s="20">
        <f t="shared" si="10"/>
        <v>443</v>
      </c>
      <c r="Q28" s="20">
        <f t="shared" si="11"/>
        <v>14</v>
      </c>
      <c r="R28" s="20">
        <f t="shared" si="12"/>
        <v>39</v>
      </c>
      <c r="S28" s="20">
        <f t="shared" si="13"/>
        <v>5</v>
      </c>
      <c r="T28" s="20">
        <f t="shared" si="14"/>
        <v>501</v>
      </c>
      <c r="U28" s="23">
        <f t="shared" si="15"/>
        <v>0.88423153692614775</v>
      </c>
      <c r="V28" s="23">
        <f t="shared" si="16"/>
        <v>2.7944111776447105E-2</v>
      </c>
      <c r="W28" s="23">
        <f t="shared" si="17"/>
        <v>7.7844311377245512E-2</v>
      </c>
      <c r="X28" s="23">
        <f t="shared" si="18"/>
        <v>9.9800399201596807E-3</v>
      </c>
      <c r="Y28" s="21">
        <f t="shared" si="19"/>
        <v>46.0439121756487</v>
      </c>
    </row>
    <row r="29" spans="1:25" x14ac:dyDescent="0.25">
      <c r="A29" s="20" t="s">
        <v>268</v>
      </c>
      <c r="B29" s="20" t="s">
        <v>269</v>
      </c>
      <c r="C29" s="20" t="s">
        <v>270</v>
      </c>
      <c r="D29" s="20">
        <v>4</v>
      </c>
      <c r="E29" s="20"/>
      <c r="F29" s="20">
        <v>5</v>
      </c>
      <c r="G29" s="20"/>
      <c r="H29" s="20">
        <v>18</v>
      </c>
      <c r="I29" s="20">
        <v>25</v>
      </c>
      <c r="J29" s="20">
        <v>1</v>
      </c>
      <c r="K29" s="20">
        <v>452</v>
      </c>
      <c r="L29" s="20"/>
      <c r="M29" s="20">
        <v>501</v>
      </c>
      <c r="N29" s="21">
        <v>33.674650698602797</v>
      </c>
      <c r="O29" s="20" t="s">
        <v>267</v>
      </c>
      <c r="P29" s="20">
        <f t="shared" si="10"/>
        <v>452</v>
      </c>
      <c r="Q29" s="20">
        <f t="shared" si="11"/>
        <v>18</v>
      </c>
      <c r="R29" s="20">
        <f t="shared" si="12"/>
        <v>25</v>
      </c>
      <c r="S29" s="20">
        <f t="shared" si="13"/>
        <v>6</v>
      </c>
      <c r="T29" s="20">
        <f t="shared" si="14"/>
        <v>501</v>
      </c>
      <c r="U29" s="23">
        <f t="shared" si="15"/>
        <v>0.9021956087824351</v>
      </c>
      <c r="V29" s="23">
        <f t="shared" si="16"/>
        <v>3.5928143712574849E-2</v>
      </c>
      <c r="W29" s="23">
        <f t="shared" si="17"/>
        <v>4.9900199600798403E-2</v>
      </c>
      <c r="X29" s="23">
        <f t="shared" si="18"/>
        <v>1.1976047904191617E-2</v>
      </c>
      <c r="Y29" s="21">
        <f t="shared" si="19"/>
        <v>33.674650698602797</v>
      </c>
    </row>
    <row r="30" spans="1:25" x14ac:dyDescent="0.25">
      <c r="A30" s="20" t="s">
        <v>268</v>
      </c>
      <c r="B30" s="20" t="s">
        <v>269</v>
      </c>
      <c r="C30" s="20" t="s">
        <v>270</v>
      </c>
      <c r="D30" s="20">
        <v>5</v>
      </c>
      <c r="E30" s="20"/>
      <c r="F30" s="20"/>
      <c r="G30" s="20"/>
      <c r="H30" s="20">
        <v>9</v>
      </c>
      <c r="I30" s="20">
        <v>15</v>
      </c>
      <c r="J30" s="20"/>
      <c r="K30" s="20">
        <v>477</v>
      </c>
      <c r="L30" s="20"/>
      <c r="M30" s="20">
        <v>501</v>
      </c>
      <c r="N30" s="21">
        <v>23.113772455089819</v>
      </c>
      <c r="O30" s="20" t="s">
        <v>267</v>
      </c>
      <c r="P30" s="20">
        <f t="shared" si="10"/>
        <v>477</v>
      </c>
      <c r="Q30" s="20">
        <f t="shared" si="11"/>
        <v>9</v>
      </c>
      <c r="R30" s="20">
        <f t="shared" si="12"/>
        <v>15</v>
      </c>
      <c r="S30" s="20">
        <f t="shared" si="13"/>
        <v>0</v>
      </c>
      <c r="T30" s="20">
        <f t="shared" si="14"/>
        <v>501</v>
      </c>
      <c r="U30" s="23">
        <f t="shared" si="15"/>
        <v>0.95209580838323349</v>
      </c>
      <c r="V30" s="23">
        <f t="shared" si="16"/>
        <v>1.7964071856287425E-2</v>
      </c>
      <c r="W30" s="23">
        <f t="shared" si="17"/>
        <v>2.9940119760479042E-2</v>
      </c>
      <c r="X30" s="23">
        <f t="shared" si="18"/>
        <v>0</v>
      </c>
      <c r="Y30" s="21">
        <f t="shared" si="19"/>
        <v>23.113772455089819</v>
      </c>
    </row>
    <row r="31" spans="1:25" x14ac:dyDescent="0.25">
      <c r="A31" s="20" t="s">
        <v>271</v>
      </c>
      <c r="B31" s="20" t="s">
        <v>272</v>
      </c>
      <c r="C31" s="20" t="s">
        <v>163</v>
      </c>
      <c r="D31" s="20">
        <v>1</v>
      </c>
      <c r="E31" s="20"/>
      <c r="F31" s="20"/>
      <c r="G31" s="20">
        <v>1</v>
      </c>
      <c r="H31" s="20">
        <v>132</v>
      </c>
      <c r="I31" s="20">
        <v>61</v>
      </c>
      <c r="J31" s="20">
        <v>1</v>
      </c>
      <c r="K31" s="20">
        <v>165</v>
      </c>
      <c r="L31" s="20"/>
      <c r="M31" s="20">
        <v>360</v>
      </c>
      <c r="N31" s="21">
        <v>75.411111111111111</v>
      </c>
      <c r="O31" s="20" t="s">
        <v>267</v>
      </c>
      <c r="P31" s="20">
        <f t="shared" ref="P31:P37" si="20">K31</f>
        <v>165</v>
      </c>
      <c r="Q31" s="20">
        <f t="shared" ref="Q31:R37" si="21">H31</f>
        <v>132</v>
      </c>
      <c r="R31" s="20">
        <f t="shared" si="21"/>
        <v>61</v>
      </c>
      <c r="S31" s="20">
        <f t="shared" ref="S31:S37" si="22">M31-SUM(P31:R31)</f>
        <v>2</v>
      </c>
      <c r="T31" s="20">
        <f t="shared" ref="T31:T37" si="23">SUM(P31:S31)</f>
        <v>360</v>
      </c>
      <c r="U31" s="23">
        <f t="shared" ref="U31:U37" si="24">P31/M31</f>
        <v>0.45833333333333331</v>
      </c>
      <c r="V31" s="23">
        <f t="shared" ref="V31:V37" si="25">Q31/M31</f>
        <v>0.36666666666666664</v>
      </c>
      <c r="W31" s="23">
        <f t="shared" ref="W31:W37" si="26">R31/M31</f>
        <v>0.16944444444444445</v>
      </c>
      <c r="X31" s="23">
        <f t="shared" ref="X31:X37" si="27">S31/M31</f>
        <v>5.5555555555555558E-3</v>
      </c>
      <c r="Y31" s="21">
        <f t="shared" ref="Y31:Y37" si="28">N31</f>
        <v>75.411111111111111</v>
      </c>
    </row>
    <row r="32" spans="1:25" x14ac:dyDescent="0.25">
      <c r="A32" s="20" t="s">
        <v>271</v>
      </c>
      <c r="B32" s="20" t="s">
        <v>272</v>
      </c>
      <c r="C32" s="20" t="s">
        <v>163</v>
      </c>
      <c r="D32" s="20">
        <v>2</v>
      </c>
      <c r="E32" s="20"/>
      <c r="F32" s="20"/>
      <c r="G32" s="20"/>
      <c r="H32" s="20">
        <v>99</v>
      </c>
      <c r="I32" s="20">
        <v>68</v>
      </c>
      <c r="J32" s="20"/>
      <c r="K32" s="20">
        <v>192</v>
      </c>
      <c r="L32" s="20">
        <v>1</v>
      </c>
      <c r="M32" s="20">
        <v>360</v>
      </c>
      <c r="N32" s="21">
        <v>68.841666666666669</v>
      </c>
      <c r="O32" s="20" t="s">
        <v>267</v>
      </c>
      <c r="P32" s="20">
        <f t="shared" si="20"/>
        <v>192</v>
      </c>
      <c r="Q32" s="20">
        <f t="shared" si="21"/>
        <v>99</v>
      </c>
      <c r="R32" s="20">
        <f t="shared" si="21"/>
        <v>68</v>
      </c>
      <c r="S32" s="20">
        <f t="shared" si="22"/>
        <v>1</v>
      </c>
      <c r="T32" s="20">
        <f t="shared" si="23"/>
        <v>360</v>
      </c>
      <c r="U32" s="23">
        <f t="shared" si="24"/>
        <v>0.53333333333333333</v>
      </c>
      <c r="V32" s="23">
        <f t="shared" si="25"/>
        <v>0.27500000000000002</v>
      </c>
      <c r="W32" s="23">
        <f t="shared" si="26"/>
        <v>0.18888888888888888</v>
      </c>
      <c r="X32" s="23">
        <f t="shared" si="27"/>
        <v>2.7777777777777779E-3</v>
      </c>
      <c r="Y32" s="21">
        <f t="shared" si="28"/>
        <v>68.841666666666669</v>
      </c>
    </row>
    <row r="33" spans="1:25" x14ac:dyDescent="0.25">
      <c r="A33" s="20" t="s">
        <v>271</v>
      </c>
      <c r="B33" s="20" t="s">
        <v>272</v>
      </c>
      <c r="C33" s="20" t="s">
        <v>163</v>
      </c>
      <c r="D33" s="20">
        <v>3</v>
      </c>
      <c r="E33" s="20"/>
      <c r="F33" s="20"/>
      <c r="G33" s="20">
        <v>1</v>
      </c>
      <c r="H33" s="20">
        <v>106</v>
      </c>
      <c r="I33" s="20">
        <v>63</v>
      </c>
      <c r="J33" s="20"/>
      <c r="K33" s="20">
        <v>186</v>
      </c>
      <c r="L33" s="20">
        <v>4</v>
      </c>
      <c r="M33" s="20">
        <v>360</v>
      </c>
      <c r="N33" s="21">
        <v>61.280555555555559</v>
      </c>
      <c r="O33" s="20" t="s">
        <v>267</v>
      </c>
      <c r="P33" s="20">
        <f t="shared" si="20"/>
        <v>186</v>
      </c>
      <c r="Q33" s="20">
        <f t="shared" si="21"/>
        <v>106</v>
      </c>
      <c r="R33" s="20">
        <f t="shared" si="21"/>
        <v>63</v>
      </c>
      <c r="S33" s="20">
        <f t="shared" si="22"/>
        <v>5</v>
      </c>
      <c r="T33" s="20">
        <f t="shared" si="23"/>
        <v>360</v>
      </c>
      <c r="U33" s="23">
        <f t="shared" si="24"/>
        <v>0.51666666666666672</v>
      </c>
      <c r="V33" s="23">
        <f t="shared" si="25"/>
        <v>0.29444444444444445</v>
      </c>
      <c r="W33" s="23">
        <f t="shared" si="26"/>
        <v>0.17499999999999999</v>
      </c>
      <c r="X33" s="23">
        <f t="shared" si="27"/>
        <v>1.3888888888888888E-2</v>
      </c>
      <c r="Y33" s="21">
        <f t="shared" si="28"/>
        <v>61.280555555555559</v>
      </c>
    </row>
    <row r="34" spans="1:25" x14ac:dyDescent="0.25">
      <c r="A34" s="20" t="s">
        <v>271</v>
      </c>
      <c r="B34" s="20" t="s">
        <v>272</v>
      </c>
      <c r="C34" s="20" t="s">
        <v>163</v>
      </c>
      <c r="D34" s="20">
        <v>4</v>
      </c>
      <c r="E34" s="20"/>
      <c r="F34" s="20"/>
      <c r="G34" s="20"/>
      <c r="H34" s="20">
        <v>192</v>
      </c>
      <c r="I34" s="20">
        <v>84</v>
      </c>
      <c r="J34" s="20">
        <v>2</v>
      </c>
      <c r="K34" s="20">
        <v>302</v>
      </c>
      <c r="L34" s="20">
        <v>13</v>
      </c>
      <c r="M34" s="20">
        <v>593</v>
      </c>
      <c r="N34" s="21">
        <v>53.588532883642493</v>
      </c>
      <c r="O34" s="20" t="s">
        <v>267</v>
      </c>
      <c r="P34" s="20">
        <f t="shared" si="20"/>
        <v>302</v>
      </c>
      <c r="Q34" s="20">
        <f t="shared" si="21"/>
        <v>192</v>
      </c>
      <c r="R34" s="20">
        <f t="shared" si="21"/>
        <v>84</v>
      </c>
      <c r="S34" s="20">
        <f t="shared" si="22"/>
        <v>15</v>
      </c>
      <c r="T34" s="20">
        <f t="shared" si="23"/>
        <v>593</v>
      </c>
      <c r="U34" s="23">
        <f t="shared" si="24"/>
        <v>0.50927487352445189</v>
      </c>
      <c r="V34" s="23">
        <f t="shared" si="25"/>
        <v>0.32377740303541314</v>
      </c>
      <c r="W34" s="23">
        <f t="shared" si="26"/>
        <v>0.14165261382799327</v>
      </c>
      <c r="X34" s="23">
        <f t="shared" si="27"/>
        <v>2.5295109612141653E-2</v>
      </c>
      <c r="Y34" s="21">
        <f t="shared" si="28"/>
        <v>53.588532883642493</v>
      </c>
    </row>
    <row r="35" spans="1:25" x14ac:dyDescent="0.25">
      <c r="A35" s="20" t="s">
        <v>271</v>
      </c>
      <c r="B35" s="20" t="s">
        <v>272</v>
      </c>
      <c r="C35" s="20" t="s">
        <v>163</v>
      </c>
      <c r="D35" s="20">
        <v>5</v>
      </c>
      <c r="E35" s="20"/>
      <c r="F35" s="20"/>
      <c r="G35" s="20">
        <v>1</v>
      </c>
      <c r="H35" s="20">
        <v>183</v>
      </c>
      <c r="I35" s="20">
        <v>74</v>
      </c>
      <c r="J35" s="20"/>
      <c r="K35" s="20">
        <v>331</v>
      </c>
      <c r="L35" s="20">
        <v>4</v>
      </c>
      <c r="M35" s="20">
        <v>593</v>
      </c>
      <c r="N35" s="21">
        <v>44.930860033726816</v>
      </c>
      <c r="O35" s="20" t="s">
        <v>267</v>
      </c>
      <c r="P35" s="20">
        <f t="shared" si="20"/>
        <v>331</v>
      </c>
      <c r="Q35" s="20">
        <f t="shared" si="21"/>
        <v>183</v>
      </c>
      <c r="R35" s="20">
        <f t="shared" si="21"/>
        <v>74</v>
      </c>
      <c r="S35" s="20">
        <f t="shared" si="22"/>
        <v>5</v>
      </c>
      <c r="T35" s="20">
        <f t="shared" si="23"/>
        <v>593</v>
      </c>
      <c r="U35" s="23">
        <f t="shared" si="24"/>
        <v>0.55817875210792578</v>
      </c>
      <c r="V35" s="23">
        <f t="shared" si="25"/>
        <v>0.30860033726812819</v>
      </c>
      <c r="W35" s="23">
        <f t="shared" si="26"/>
        <v>0.12478920741989882</v>
      </c>
      <c r="X35" s="23">
        <f t="shared" si="27"/>
        <v>8.4317032040472171E-3</v>
      </c>
      <c r="Y35" s="21">
        <f t="shared" si="28"/>
        <v>44.930860033726816</v>
      </c>
    </row>
    <row r="36" spans="1:25" x14ac:dyDescent="0.25">
      <c r="A36" s="20" t="s">
        <v>271</v>
      </c>
      <c r="B36" s="20" t="s">
        <v>272</v>
      </c>
      <c r="C36" s="20" t="s">
        <v>163</v>
      </c>
      <c r="D36" s="20">
        <v>6</v>
      </c>
      <c r="E36" s="20"/>
      <c r="F36" s="20"/>
      <c r="G36" s="20"/>
      <c r="H36" s="20">
        <v>173</v>
      </c>
      <c r="I36" s="20">
        <v>79</v>
      </c>
      <c r="J36" s="20"/>
      <c r="K36" s="20">
        <v>330</v>
      </c>
      <c r="L36" s="20">
        <v>11</v>
      </c>
      <c r="M36" s="20">
        <v>593</v>
      </c>
      <c r="N36" s="21">
        <v>36.36930860033727</v>
      </c>
      <c r="O36" s="20" t="s">
        <v>267</v>
      </c>
      <c r="P36" s="20">
        <f t="shared" si="20"/>
        <v>330</v>
      </c>
      <c r="Q36" s="20">
        <f t="shared" si="21"/>
        <v>173</v>
      </c>
      <c r="R36" s="20">
        <f t="shared" si="21"/>
        <v>79</v>
      </c>
      <c r="S36" s="20">
        <f t="shared" si="22"/>
        <v>11</v>
      </c>
      <c r="T36" s="20">
        <f t="shared" si="23"/>
        <v>593</v>
      </c>
      <c r="U36" s="23">
        <f t="shared" si="24"/>
        <v>0.55649241146711637</v>
      </c>
      <c r="V36" s="23">
        <f t="shared" si="25"/>
        <v>0.29173693086003372</v>
      </c>
      <c r="W36" s="23">
        <f t="shared" si="26"/>
        <v>0.13322091062394603</v>
      </c>
      <c r="X36" s="23">
        <f t="shared" si="27"/>
        <v>1.8549747048903879E-2</v>
      </c>
      <c r="Y36" s="21">
        <f t="shared" si="28"/>
        <v>36.36930860033727</v>
      </c>
    </row>
    <row r="37" spans="1:25" x14ac:dyDescent="0.25">
      <c r="A37" s="20" t="s">
        <v>271</v>
      </c>
      <c r="B37" s="20" t="s">
        <v>272</v>
      </c>
      <c r="C37" s="20" t="s">
        <v>163</v>
      </c>
      <c r="D37" s="20">
        <v>7</v>
      </c>
      <c r="E37" s="20">
        <v>7</v>
      </c>
      <c r="F37" s="20"/>
      <c r="G37" s="20"/>
      <c r="H37" s="20">
        <v>218</v>
      </c>
      <c r="I37" s="20">
        <v>23</v>
      </c>
      <c r="J37" s="20"/>
      <c r="K37" s="20">
        <v>345</v>
      </c>
      <c r="L37" s="20"/>
      <c r="M37" s="20">
        <v>593</v>
      </c>
      <c r="N37" s="21">
        <v>26.470489038785836</v>
      </c>
      <c r="O37" s="20" t="s">
        <v>267</v>
      </c>
      <c r="P37" s="20">
        <f t="shared" si="20"/>
        <v>345</v>
      </c>
      <c r="Q37" s="20">
        <f t="shared" si="21"/>
        <v>218</v>
      </c>
      <c r="R37" s="20">
        <f t="shared" si="21"/>
        <v>23</v>
      </c>
      <c r="S37" s="20">
        <f t="shared" si="22"/>
        <v>7</v>
      </c>
      <c r="T37" s="20">
        <f t="shared" si="23"/>
        <v>593</v>
      </c>
      <c r="U37" s="23">
        <f t="shared" si="24"/>
        <v>0.58178752107925802</v>
      </c>
      <c r="V37" s="23">
        <f t="shared" si="25"/>
        <v>0.36762225969645868</v>
      </c>
      <c r="W37" s="23">
        <f t="shared" si="26"/>
        <v>3.87858347386172E-2</v>
      </c>
      <c r="X37" s="23">
        <f t="shared" si="27"/>
        <v>1.1804384485666104E-2</v>
      </c>
      <c r="Y37" s="21">
        <f t="shared" si="28"/>
        <v>26.470489038785836</v>
      </c>
    </row>
    <row r="38" spans="1:25" x14ac:dyDescent="0.25">
      <c r="A38" s="20" t="s">
        <v>271</v>
      </c>
      <c r="B38" s="20" t="s">
        <v>272</v>
      </c>
      <c r="C38" s="20" t="s">
        <v>164</v>
      </c>
      <c r="D38" s="20">
        <v>1</v>
      </c>
      <c r="E38" s="20"/>
      <c r="F38" s="20"/>
      <c r="G38" s="20">
        <v>1</v>
      </c>
      <c r="H38" s="20">
        <v>11</v>
      </c>
      <c r="I38" s="20">
        <v>91</v>
      </c>
      <c r="J38" s="20">
        <v>2</v>
      </c>
      <c r="K38" s="20">
        <v>240</v>
      </c>
      <c r="L38" s="20">
        <v>5</v>
      </c>
      <c r="M38" s="20">
        <v>350</v>
      </c>
      <c r="N38" s="21">
        <v>37.437142857142859</v>
      </c>
      <c r="O38" s="20" t="s">
        <v>267</v>
      </c>
      <c r="P38" s="20">
        <f t="shared" si="10"/>
        <v>240</v>
      </c>
      <c r="Q38" s="20">
        <f t="shared" si="11"/>
        <v>11</v>
      </c>
      <c r="R38" s="20">
        <f t="shared" si="12"/>
        <v>91</v>
      </c>
      <c r="S38" s="20">
        <f t="shared" si="13"/>
        <v>8</v>
      </c>
      <c r="T38" s="20">
        <f t="shared" si="14"/>
        <v>350</v>
      </c>
      <c r="U38" s="23">
        <f t="shared" si="15"/>
        <v>0.68571428571428572</v>
      </c>
      <c r="V38" s="23">
        <f t="shared" si="16"/>
        <v>3.1428571428571431E-2</v>
      </c>
      <c r="W38" s="23">
        <f t="shared" si="17"/>
        <v>0.26</v>
      </c>
      <c r="X38" s="23">
        <f t="shared" si="18"/>
        <v>2.2857142857142857E-2</v>
      </c>
      <c r="Y38" s="21">
        <f t="shared" si="19"/>
        <v>37.437142857142859</v>
      </c>
    </row>
    <row r="39" spans="1:25" x14ac:dyDescent="0.25">
      <c r="A39" s="20" t="s">
        <v>271</v>
      </c>
      <c r="B39" s="20" t="s">
        <v>272</v>
      </c>
      <c r="C39" s="20" t="s">
        <v>164</v>
      </c>
      <c r="D39" s="20">
        <v>2</v>
      </c>
      <c r="E39" s="20"/>
      <c r="F39" s="20"/>
      <c r="G39" s="20"/>
      <c r="H39" s="20">
        <v>7</v>
      </c>
      <c r="I39" s="20">
        <v>46</v>
      </c>
      <c r="J39" s="20"/>
      <c r="K39" s="20">
        <v>338</v>
      </c>
      <c r="L39" s="20"/>
      <c r="M39" s="20">
        <v>391</v>
      </c>
      <c r="N39" s="21">
        <v>22.345268542199488</v>
      </c>
      <c r="O39" s="20" t="s">
        <v>267</v>
      </c>
      <c r="P39" s="20">
        <f t="shared" si="10"/>
        <v>338</v>
      </c>
      <c r="Q39" s="20">
        <f t="shared" si="11"/>
        <v>7</v>
      </c>
      <c r="R39" s="20">
        <f t="shared" si="12"/>
        <v>46</v>
      </c>
      <c r="S39" s="20">
        <f t="shared" si="13"/>
        <v>0</v>
      </c>
      <c r="T39" s="20">
        <f t="shared" si="14"/>
        <v>391</v>
      </c>
      <c r="U39" s="23">
        <f t="shared" si="15"/>
        <v>0.86445012787723785</v>
      </c>
      <c r="V39" s="23">
        <f t="shared" si="16"/>
        <v>1.7902813299232736E-2</v>
      </c>
      <c r="W39" s="23">
        <f t="shared" si="17"/>
        <v>0.11764705882352941</v>
      </c>
      <c r="X39" s="23">
        <f t="shared" si="18"/>
        <v>0</v>
      </c>
      <c r="Y39" s="21">
        <f t="shared" si="19"/>
        <v>22.345268542199488</v>
      </c>
    </row>
    <row r="40" spans="1:25" x14ac:dyDescent="0.25">
      <c r="A40" s="20" t="s">
        <v>273</v>
      </c>
      <c r="B40" s="20" t="s">
        <v>274</v>
      </c>
      <c r="C40" s="20" t="s">
        <v>166</v>
      </c>
      <c r="D40" s="20">
        <v>1</v>
      </c>
      <c r="E40" s="20"/>
      <c r="F40" s="20"/>
      <c r="G40" s="20"/>
      <c r="H40" s="20">
        <v>116</v>
      </c>
      <c r="I40" s="20">
        <v>141</v>
      </c>
      <c r="J40" s="20">
        <v>2</v>
      </c>
      <c r="K40" s="20">
        <v>101</v>
      </c>
      <c r="L40" s="20"/>
      <c r="M40" s="20">
        <v>360</v>
      </c>
      <c r="N40" s="21">
        <v>71.12222222222222</v>
      </c>
      <c r="O40" s="20" t="s">
        <v>267</v>
      </c>
      <c r="P40" s="20">
        <f>K40</f>
        <v>101</v>
      </c>
      <c r="Q40" s="20">
        <f t="shared" ref="Q40:R44" si="29">H40</f>
        <v>116</v>
      </c>
      <c r="R40" s="20">
        <f t="shared" si="29"/>
        <v>141</v>
      </c>
      <c r="S40" s="20">
        <f>M40-SUM(P40:R40)</f>
        <v>2</v>
      </c>
      <c r="T40" s="20">
        <f>SUM(P40:S40)</f>
        <v>360</v>
      </c>
      <c r="U40" s="23">
        <f>P40/M40</f>
        <v>0.28055555555555556</v>
      </c>
      <c r="V40" s="23">
        <f>Q40/M40</f>
        <v>0.32222222222222224</v>
      </c>
      <c r="W40" s="23">
        <f>R40/M40</f>
        <v>0.39166666666666666</v>
      </c>
      <c r="X40" s="23">
        <f>S40/M40</f>
        <v>5.5555555555555558E-3</v>
      </c>
      <c r="Y40" s="21">
        <f>N40</f>
        <v>71.12222222222222</v>
      </c>
    </row>
    <row r="41" spans="1:25" x14ac:dyDescent="0.25">
      <c r="A41" s="20" t="s">
        <v>273</v>
      </c>
      <c r="B41" s="20" t="s">
        <v>274</v>
      </c>
      <c r="C41" s="20" t="s">
        <v>166</v>
      </c>
      <c r="D41" s="20">
        <v>2</v>
      </c>
      <c r="E41" s="20"/>
      <c r="F41" s="20"/>
      <c r="G41" s="20"/>
      <c r="H41" s="20">
        <v>74</v>
      </c>
      <c r="I41" s="20">
        <v>138</v>
      </c>
      <c r="J41" s="20">
        <v>1</v>
      </c>
      <c r="K41" s="20">
        <v>146</v>
      </c>
      <c r="L41" s="20">
        <v>1</v>
      </c>
      <c r="M41" s="20">
        <v>360</v>
      </c>
      <c r="N41" s="21">
        <v>57.855555555555554</v>
      </c>
      <c r="O41" s="20" t="s">
        <v>267</v>
      </c>
      <c r="P41" s="20">
        <f>K41</f>
        <v>146</v>
      </c>
      <c r="Q41" s="20">
        <f t="shared" si="29"/>
        <v>74</v>
      </c>
      <c r="R41" s="20">
        <f t="shared" si="29"/>
        <v>138</v>
      </c>
      <c r="S41" s="20">
        <f>M41-SUM(P41:R41)</f>
        <v>2</v>
      </c>
      <c r="T41" s="20">
        <f>SUM(P41:S41)</f>
        <v>360</v>
      </c>
      <c r="U41" s="23">
        <f>P41/M41</f>
        <v>0.40555555555555556</v>
      </c>
      <c r="V41" s="23">
        <f>Q41/M41</f>
        <v>0.20555555555555555</v>
      </c>
      <c r="W41" s="23">
        <f>R41/M41</f>
        <v>0.38333333333333336</v>
      </c>
      <c r="X41" s="23">
        <f>S41/M41</f>
        <v>5.5555555555555558E-3</v>
      </c>
      <c r="Y41" s="21">
        <f>N41</f>
        <v>57.855555555555554</v>
      </c>
    </row>
    <row r="42" spans="1:25" x14ac:dyDescent="0.25">
      <c r="A42" s="20" t="s">
        <v>273</v>
      </c>
      <c r="B42" s="20" t="s">
        <v>274</v>
      </c>
      <c r="C42" s="20" t="s">
        <v>166</v>
      </c>
      <c r="D42" s="20">
        <v>3</v>
      </c>
      <c r="E42" s="20"/>
      <c r="F42" s="20">
        <v>1</v>
      </c>
      <c r="G42" s="20">
        <v>1</v>
      </c>
      <c r="H42" s="20">
        <v>74</v>
      </c>
      <c r="I42" s="20">
        <v>149</v>
      </c>
      <c r="J42" s="20">
        <v>1</v>
      </c>
      <c r="K42" s="20">
        <v>186</v>
      </c>
      <c r="L42" s="20">
        <v>3</v>
      </c>
      <c r="M42" s="20">
        <v>415</v>
      </c>
      <c r="N42" s="21">
        <v>45.734939759036145</v>
      </c>
      <c r="O42" s="20" t="s">
        <v>267</v>
      </c>
      <c r="P42" s="20">
        <f>K42</f>
        <v>186</v>
      </c>
      <c r="Q42" s="20">
        <f t="shared" si="29"/>
        <v>74</v>
      </c>
      <c r="R42" s="20">
        <f t="shared" si="29"/>
        <v>149</v>
      </c>
      <c r="S42" s="20">
        <f>M42-SUM(P42:R42)</f>
        <v>6</v>
      </c>
      <c r="T42" s="20">
        <f>SUM(P42:S42)</f>
        <v>415</v>
      </c>
      <c r="U42" s="23">
        <f>P42/M42</f>
        <v>0.44819277108433736</v>
      </c>
      <c r="V42" s="23">
        <f>Q42/M42</f>
        <v>0.1783132530120482</v>
      </c>
      <c r="W42" s="23">
        <f>R42/M42</f>
        <v>0.35903614457831323</v>
      </c>
      <c r="X42" s="23">
        <f>S42/M42</f>
        <v>1.4457831325301205E-2</v>
      </c>
      <c r="Y42" s="21">
        <f>N42</f>
        <v>45.734939759036145</v>
      </c>
    </row>
    <row r="43" spans="1:25" x14ac:dyDescent="0.25">
      <c r="A43" s="20" t="s">
        <v>273</v>
      </c>
      <c r="B43" s="20" t="s">
        <v>274</v>
      </c>
      <c r="C43" s="20" t="s">
        <v>166</v>
      </c>
      <c r="D43" s="20">
        <v>4</v>
      </c>
      <c r="E43" s="20">
        <v>1</v>
      </c>
      <c r="F43" s="20">
        <v>2</v>
      </c>
      <c r="G43" s="20"/>
      <c r="H43" s="20">
        <v>55</v>
      </c>
      <c r="I43" s="20">
        <v>148</v>
      </c>
      <c r="J43" s="20">
        <v>2</v>
      </c>
      <c r="K43" s="20">
        <v>204</v>
      </c>
      <c r="L43" s="20">
        <v>4</v>
      </c>
      <c r="M43" s="20">
        <v>416</v>
      </c>
      <c r="N43" s="21">
        <v>35.401442307692307</v>
      </c>
      <c r="O43" s="20" t="s">
        <v>267</v>
      </c>
      <c r="P43" s="20">
        <f>K43</f>
        <v>204</v>
      </c>
      <c r="Q43" s="20">
        <f t="shared" si="29"/>
        <v>55</v>
      </c>
      <c r="R43" s="20">
        <f t="shared" si="29"/>
        <v>148</v>
      </c>
      <c r="S43" s="20">
        <f>M43-SUM(P43:R43)</f>
        <v>9</v>
      </c>
      <c r="T43" s="20">
        <f>SUM(P43:S43)</f>
        <v>416</v>
      </c>
      <c r="U43" s="23">
        <f>P43/M43</f>
        <v>0.49038461538461536</v>
      </c>
      <c r="V43" s="23">
        <f>Q43/M43</f>
        <v>0.13221153846153846</v>
      </c>
      <c r="W43" s="23">
        <f>R43/M43</f>
        <v>0.35576923076923078</v>
      </c>
      <c r="X43" s="23">
        <f>S43/M43</f>
        <v>2.1634615384615384E-2</v>
      </c>
      <c r="Y43" s="21">
        <f>N43</f>
        <v>35.401442307692307</v>
      </c>
    </row>
    <row r="44" spans="1:25" x14ac:dyDescent="0.25">
      <c r="A44" s="20" t="s">
        <v>273</v>
      </c>
      <c r="B44" s="20" t="s">
        <v>274</v>
      </c>
      <c r="C44" s="20" t="s">
        <v>166</v>
      </c>
      <c r="D44" s="20">
        <v>5</v>
      </c>
      <c r="E44" s="20">
        <v>2</v>
      </c>
      <c r="F44" s="20"/>
      <c r="G44" s="20">
        <v>1</v>
      </c>
      <c r="H44" s="20">
        <v>48</v>
      </c>
      <c r="I44" s="20">
        <v>86</v>
      </c>
      <c r="J44" s="20"/>
      <c r="K44" s="20">
        <v>276</v>
      </c>
      <c r="L44" s="20">
        <v>3</v>
      </c>
      <c r="M44" s="20">
        <v>416</v>
      </c>
      <c r="N44" s="21">
        <v>24.403846153846153</v>
      </c>
      <c r="O44" s="20" t="s">
        <v>267</v>
      </c>
      <c r="P44" s="20">
        <f>K44</f>
        <v>276</v>
      </c>
      <c r="Q44" s="20">
        <f t="shared" si="29"/>
        <v>48</v>
      </c>
      <c r="R44" s="20">
        <f t="shared" si="29"/>
        <v>86</v>
      </c>
      <c r="S44" s="20">
        <f>M44-SUM(P44:R44)</f>
        <v>6</v>
      </c>
      <c r="T44" s="20">
        <f>SUM(P44:S44)</f>
        <v>416</v>
      </c>
      <c r="U44" s="23">
        <f>P44/M44</f>
        <v>0.66346153846153844</v>
      </c>
      <c r="V44" s="23">
        <f>Q44/M44</f>
        <v>0.11538461538461539</v>
      </c>
      <c r="W44" s="23">
        <f>R44/M44</f>
        <v>0.20673076923076922</v>
      </c>
      <c r="X44" s="23">
        <f>S44/M44</f>
        <v>1.4423076923076924E-2</v>
      </c>
      <c r="Y44" s="21">
        <f>N44</f>
        <v>24.403846153846153</v>
      </c>
    </row>
    <row r="45" spans="1:25" x14ac:dyDescent="0.25">
      <c r="A45" s="20" t="s">
        <v>273</v>
      </c>
      <c r="B45" s="20" t="s">
        <v>274</v>
      </c>
      <c r="C45" s="20" t="s">
        <v>167</v>
      </c>
      <c r="D45" s="20">
        <v>1</v>
      </c>
      <c r="E45" s="20"/>
      <c r="F45" s="20">
        <v>1</v>
      </c>
      <c r="G45" s="20"/>
      <c r="H45" s="20">
        <v>5</v>
      </c>
      <c r="I45" s="20">
        <v>8</v>
      </c>
      <c r="J45" s="20">
        <v>1</v>
      </c>
      <c r="K45" s="20">
        <v>304</v>
      </c>
      <c r="L45" s="20">
        <v>51</v>
      </c>
      <c r="M45" s="20">
        <v>370</v>
      </c>
      <c r="N45" s="21">
        <v>65.235135135135138</v>
      </c>
      <c r="O45" s="20" t="s">
        <v>267</v>
      </c>
      <c r="P45" s="20">
        <f t="shared" si="10"/>
        <v>304</v>
      </c>
      <c r="Q45" s="20">
        <f t="shared" si="11"/>
        <v>5</v>
      </c>
      <c r="R45" s="20">
        <f t="shared" si="12"/>
        <v>8</v>
      </c>
      <c r="S45" s="20">
        <f t="shared" si="13"/>
        <v>53</v>
      </c>
      <c r="T45" s="20">
        <f t="shared" si="14"/>
        <v>370</v>
      </c>
      <c r="U45" s="23">
        <f t="shared" si="15"/>
        <v>0.82162162162162167</v>
      </c>
      <c r="V45" s="23">
        <f t="shared" si="16"/>
        <v>1.3513513513513514E-2</v>
      </c>
      <c r="W45" s="23">
        <f t="shared" si="17"/>
        <v>2.1621621621621623E-2</v>
      </c>
      <c r="X45" s="23">
        <f t="shared" si="18"/>
        <v>0.14324324324324325</v>
      </c>
      <c r="Y45" s="21">
        <f t="shared" si="19"/>
        <v>65.235135135135138</v>
      </c>
    </row>
    <row r="46" spans="1:25" x14ac:dyDescent="0.25">
      <c r="A46" s="20" t="s">
        <v>273</v>
      </c>
      <c r="B46" s="20" t="s">
        <v>274</v>
      </c>
      <c r="C46" s="20" t="s">
        <v>167</v>
      </c>
      <c r="D46" s="20">
        <v>2</v>
      </c>
      <c r="E46" s="20"/>
      <c r="F46" s="20">
        <v>1</v>
      </c>
      <c r="G46" s="20"/>
      <c r="H46" s="20">
        <v>6</v>
      </c>
      <c r="I46" s="20">
        <v>8</v>
      </c>
      <c r="J46" s="20"/>
      <c r="K46" s="20">
        <v>282</v>
      </c>
      <c r="L46" s="20">
        <v>73</v>
      </c>
      <c r="M46" s="20">
        <v>370</v>
      </c>
      <c r="N46" s="21">
        <v>50.137837837837836</v>
      </c>
      <c r="O46" s="20" t="s">
        <v>267</v>
      </c>
      <c r="P46" s="20">
        <f t="shared" si="10"/>
        <v>282</v>
      </c>
      <c r="Q46" s="20">
        <f t="shared" si="11"/>
        <v>6</v>
      </c>
      <c r="R46" s="20">
        <f t="shared" si="12"/>
        <v>8</v>
      </c>
      <c r="S46" s="20">
        <f t="shared" si="13"/>
        <v>74</v>
      </c>
      <c r="T46" s="20">
        <f t="shared" si="14"/>
        <v>370</v>
      </c>
      <c r="U46" s="23">
        <f t="shared" si="15"/>
        <v>0.76216216216216215</v>
      </c>
      <c r="V46" s="23">
        <f t="shared" si="16"/>
        <v>1.6216216216216217E-2</v>
      </c>
      <c r="W46" s="23">
        <f t="shared" si="17"/>
        <v>2.1621621621621623E-2</v>
      </c>
      <c r="X46" s="23">
        <f t="shared" si="18"/>
        <v>0.2</v>
      </c>
      <c r="Y46" s="21">
        <f t="shared" si="19"/>
        <v>50.137837837837836</v>
      </c>
    </row>
    <row r="47" spans="1:25" x14ac:dyDescent="0.25">
      <c r="A47" s="20" t="s">
        <v>273</v>
      </c>
      <c r="B47" s="20" t="s">
        <v>274</v>
      </c>
      <c r="C47" s="20" t="s">
        <v>167</v>
      </c>
      <c r="D47" s="20">
        <v>3</v>
      </c>
      <c r="E47" s="20">
        <v>4</v>
      </c>
      <c r="F47" s="20">
        <v>1</v>
      </c>
      <c r="G47" s="20"/>
      <c r="H47" s="20">
        <v>11</v>
      </c>
      <c r="I47" s="20">
        <v>24</v>
      </c>
      <c r="J47" s="20">
        <v>1</v>
      </c>
      <c r="K47" s="20">
        <v>328</v>
      </c>
      <c r="L47" s="20">
        <v>101</v>
      </c>
      <c r="M47" s="20">
        <v>470</v>
      </c>
      <c r="N47" s="21">
        <v>36.51063829787234</v>
      </c>
      <c r="O47" s="20" t="s">
        <v>267</v>
      </c>
      <c r="P47" s="20">
        <f t="shared" si="10"/>
        <v>328</v>
      </c>
      <c r="Q47" s="20">
        <f t="shared" si="11"/>
        <v>11</v>
      </c>
      <c r="R47" s="20">
        <f t="shared" si="12"/>
        <v>24</v>
      </c>
      <c r="S47" s="20">
        <f t="shared" si="13"/>
        <v>107</v>
      </c>
      <c r="T47" s="20">
        <f t="shared" si="14"/>
        <v>470</v>
      </c>
      <c r="U47" s="23">
        <f t="shared" si="15"/>
        <v>0.69787234042553192</v>
      </c>
      <c r="V47" s="23">
        <f t="shared" si="16"/>
        <v>2.3404255319148935E-2</v>
      </c>
      <c r="W47" s="23">
        <f t="shared" si="17"/>
        <v>5.106382978723404E-2</v>
      </c>
      <c r="X47" s="23">
        <f t="shared" si="18"/>
        <v>0.2276595744680851</v>
      </c>
      <c r="Y47" s="21">
        <f t="shared" si="19"/>
        <v>36.51063829787234</v>
      </c>
    </row>
    <row r="48" spans="1:25" x14ac:dyDescent="0.25">
      <c r="A48" s="20" t="s">
        <v>273</v>
      </c>
      <c r="B48" s="20" t="s">
        <v>274</v>
      </c>
      <c r="C48" s="20" t="s">
        <v>167</v>
      </c>
      <c r="D48" s="20">
        <v>4</v>
      </c>
      <c r="E48" s="20"/>
      <c r="F48" s="20"/>
      <c r="G48" s="20">
        <v>1</v>
      </c>
      <c r="H48" s="20">
        <v>14</v>
      </c>
      <c r="I48" s="20">
        <v>60</v>
      </c>
      <c r="J48" s="20"/>
      <c r="K48" s="20">
        <v>395</v>
      </c>
      <c r="L48" s="20"/>
      <c r="M48" s="20">
        <v>470</v>
      </c>
      <c r="N48" s="21">
        <v>23.482978723404255</v>
      </c>
      <c r="O48" s="20" t="s">
        <v>267</v>
      </c>
      <c r="P48" s="20">
        <f t="shared" si="10"/>
        <v>395</v>
      </c>
      <c r="Q48" s="20">
        <f t="shared" si="11"/>
        <v>14</v>
      </c>
      <c r="R48" s="20">
        <f t="shared" si="12"/>
        <v>60</v>
      </c>
      <c r="S48" s="20">
        <f t="shared" si="13"/>
        <v>1</v>
      </c>
      <c r="T48" s="20">
        <f t="shared" si="14"/>
        <v>470</v>
      </c>
      <c r="U48" s="23">
        <f t="shared" si="15"/>
        <v>0.84042553191489366</v>
      </c>
      <c r="V48" s="23">
        <f t="shared" si="16"/>
        <v>2.9787234042553193E-2</v>
      </c>
      <c r="W48" s="23">
        <f t="shared" si="17"/>
        <v>0.1276595744680851</v>
      </c>
      <c r="X48" s="23">
        <f t="shared" si="18"/>
        <v>2.1276595744680851E-3</v>
      </c>
      <c r="Y48" s="21">
        <f t="shared" si="19"/>
        <v>23.482978723404255</v>
      </c>
    </row>
    <row r="49" spans="1:25" x14ac:dyDescent="0.25">
      <c r="A49" s="20" t="s">
        <v>275</v>
      </c>
      <c r="B49" s="20" t="s">
        <v>276</v>
      </c>
      <c r="C49" s="20" t="s">
        <v>169</v>
      </c>
      <c r="D49" s="20">
        <v>1</v>
      </c>
      <c r="E49" s="20"/>
      <c r="F49" s="20"/>
      <c r="G49" s="20">
        <v>1</v>
      </c>
      <c r="H49" s="20">
        <v>44</v>
      </c>
      <c r="I49" s="20">
        <v>45</v>
      </c>
      <c r="J49" s="20">
        <v>1</v>
      </c>
      <c r="K49" s="20">
        <v>269</v>
      </c>
      <c r="L49" s="20"/>
      <c r="M49" s="20">
        <v>360</v>
      </c>
      <c r="N49" s="21">
        <v>67.87777777777778</v>
      </c>
      <c r="O49" s="20" t="s">
        <v>267</v>
      </c>
      <c r="P49" s="20">
        <f t="shared" si="10"/>
        <v>269</v>
      </c>
      <c r="Q49" s="20">
        <f t="shared" si="11"/>
        <v>44</v>
      </c>
      <c r="R49" s="20">
        <f t="shared" si="12"/>
        <v>45</v>
      </c>
      <c r="S49" s="20">
        <f t="shared" si="13"/>
        <v>2</v>
      </c>
      <c r="T49" s="20">
        <f t="shared" si="14"/>
        <v>360</v>
      </c>
      <c r="U49" s="23">
        <f t="shared" si="15"/>
        <v>0.74722222222222223</v>
      </c>
      <c r="V49" s="23">
        <f t="shared" si="16"/>
        <v>0.12222222222222222</v>
      </c>
      <c r="W49" s="23">
        <f t="shared" si="17"/>
        <v>0.125</v>
      </c>
      <c r="X49" s="23">
        <f t="shared" si="18"/>
        <v>5.5555555555555558E-3</v>
      </c>
      <c r="Y49" s="21">
        <f t="shared" si="19"/>
        <v>67.87777777777778</v>
      </c>
    </row>
    <row r="50" spans="1:25" x14ac:dyDescent="0.25">
      <c r="A50" s="20" t="s">
        <v>275</v>
      </c>
      <c r="B50" s="20" t="s">
        <v>276</v>
      </c>
      <c r="C50" s="20" t="s">
        <v>169</v>
      </c>
      <c r="D50" s="20">
        <v>2</v>
      </c>
      <c r="E50" s="20"/>
      <c r="F50" s="20"/>
      <c r="G50" s="20"/>
      <c r="H50" s="20">
        <v>39</v>
      </c>
      <c r="I50" s="20">
        <v>63</v>
      </c>
      <c r="J50" s="20">
        <v>1</v>
      </c>
      <c r="K50" s="20">
        <v>256</v>
      </c>
      <c r="L50" s="20">
        <v>1</v>
      </c>
      <c r="M50" s="20">
        <v>360</v>
      </c>
      <c r="N50" s="21">
        <v>61.472222222222221</v>
      </c>
      <c r="O50" s="20" t="s">
        <v>267</v>
      </c>
      <c r="P50" s="20">
        <f t="shared" si="10"/>
        <v>256</v>
      </c>
      <c r="Q50" s="20">
        <f t="shared" si="11"/>
        <v>39</v>
      </c>
      <c r="R50" s="20">
        <f t="shared" si="12"/>
        <v>63</v>
      </c>
      <c r="S50" s="20">
        <f t="shared" si="13"/>
        <v>2</v>
      </c>
      <c r="T50" s="20">
        <f t="shared" si="14"/>
        <v>360</v>
      </c>
      <c r="U50" s="23">
        <f t="shared" si="15"/>
        <v>0.71111111111111114</v>
      </c>
      <c r="V50" s="23">
        <f t="shared" si="16"/>
        <v>0.10833333333333334</v>
      </c>
      <c r="W50" s="23">
        <f t="shared" si="17"/>
        <v>0.17499999999999999</v>
      </c>
      <c r="X50" s="23">
        <f t="shared" si="18"/>
        <v>5.5555555555555558E-3</v>
      </c>
      <c r="Y50" s="21">
        <f t="shared" si="19"/>
        <v>61.472222222222221</v>
      </c>
    </row>
    <row r="51" spans="1:25" x14ac:dyDescent="0.25">
      <c r="A51" s="20" t="s">
        <v>275</v>
      </c>
      <c r="B51" s="20" t="s">
        <v>276</v>
      </c>
      <c r="C51" s="20" t="s">
        <v>169</v>
      </c>
      <c r="D51" s="20">
        <v>3</v>
      </c>
      <c r="E51" s="20"/>
      <c r="F51" s="20">
        <v>1</v>
      </c>
      <c r="G51" s="20">
        <v>1</v>
      </c>
      <c r="H51" s="20">
        <v>18</v>
      </c>
      <c r="I51" s="20">
        <v>75</v>
      </c>
      <c r="J51" s="20"/>
      <c r="K51" s="20">
        <v>467</v>
      </c>
      <c r="L51" s="20">
        <v>1</v>
      </c>
      <c r="M51" s="20">
        <v>563</v>
      </c>
      <c r="N51" s="21">
        <v>53.646536412078156</v>
      </c>
      <c r="O51" s="20" t="s">
        <v>267</v>
      </c>
      <c r="P51" s="20">
        <f t="shared" si="10"/>
        <v>467</v>
      </c>
      <c r="Q51" s="20">
        <f t="shared" si="11"/>
        <v>18</v>
      </c>
      <c r="R51" s="20">
        <f t="shared" si="12"/>
        <v>75</v>
      </c>
      <c r="S51" s="20">
        <f t="shared" si="13"/>
        <v>3</v>
      </c>
      <c r="T51" s="20">
        <f t="shared" si="14"/>
        <v>563</v>
      </c>
      <c r="U51" s="23">
        <f t="shared" si="15"/>
        <v>0.82948490230905858</v>
      </c>
      <c r="V51" s="23">
        <f t="shared" si="16"/>
        <v>3.1971580817051509E-2</v>
      </c>
      <c r="W51" s="23">
        <f t="shared" si="17"/>
        <v>0.13321492007104796</v>
      </c>
      <c r="X51" s="23">
        <f t="shared" si="18"/>
        <v>5.3285968028419185E-3</v>
      </c>
      <c r="Y51" s="21">
        <f t="shared" si="19"/>
        <v>53.646536412078156</v>
      </c>
    </row>
    <row r="52" spans="1:25" x14ac:dyDescent="0.25">
      <c r="A52" s="20" t="s">
        <v>275</v>
      </c>
      <c r="B52" s="20" t="s">
        <v>276</v>
      </c>
      <c r="C52" s="20" t="s">
        <v>169</v>
      </c>
      <c r="D52" s="20">
        <v>4</v>
      </c>
      <c r="E52" s="20"/>
      <c r="F52" s="20">
        <v>1</v>
      </c>
      <c r="G52" s="20"/>
      <c r="H52" s="20">
        <v>33</v>
      </c>
      <c r="I52" s="20">
        <v>69</v>
      </c>
      <c r="J52" s="20"/>
      <c r="K52" s="20">
        <v>458</v>
      </c>
      <c r="L52" s="20">
        <v>2</v>
      </c>
      <c r="M52" s="20">
        <v>563</v>
      </c>
      <c r="N52" s="21">
        <v>44.523978685612789</v>
      </c>
      <c r="O52" s="20" t="s">
        <v>267</v>
      </c>
      <c r="P52" s="20">
        <f t="shared" si="10"/>
        <v>458</v>
      </c>
      <c r="Q52" s="20">
        <f t="shared" si="11"/>
        <v>33</v>
      </c>
      <c r="R52" s="20">
        <f t="shared" si="12"/>
        <v>69</v>
      </c>
      <c r="S52" s="20">
        <f t="shared" si="13"/>
        <v>3</v>
      </c>
      <c r="T52" s="20">
        <f t="shared" si="14"/>
        <v>563</v>
      </c>
      <c r="U52" s="23">
        <f t="shared" si="15"/>
        <v>0.81349911190053281</v>
      </c>
      <c r="V52" s="23">
        <f t="shared" si="16"/>
        <v>5.8614564831261103E-2</v>
      </c>
      <c r="W52" s="23">
        <f t="shared" si="17"/>
        <v>0.12255772646536411</v>
      </c>
      <c r="X52" s="23">
        <f t="shared" si="18"/>
        <v>5.3285968028419185E-3</v>
      </c>
      <c r="Y52" s="21">
        <f t="shared" si="19"/>
        <v>44.523978685612789</v>
      </c>
    </row>
    <row r="53" spans="1:25" x14ac:dyDescent="0.25">
      <c r="A53" s="20" t="s">
        <v>275</v>
      </c>
      <c r="B53" s="20" t="s">
        <v>276</v>
      </c>
      <c r="C53" s="20" t="s">
        <v>169</v>
      </c>
      <c r="D53" s="20">
        <v>5</v>
      </c>
      <c r="E53" s="20"/>
      <c r="F53" s="20">
        <v>1</v>
      </c>
      <c r="G53" s="20"/>
      <c r="H53" s="20">
        <v>39</v>
      </c>
      <c r="I53" s="20">
        <v>85</v>
      </c>
      <c r="J53" s="20"/>
      <c r="K53" s="20">
        <v>436</v>
      </c>
      <c r="L53" s="20">
        <v>2</v>
      </c>
      <c r="M53" s="20">
        <v>563</v>
      </c>
      <c r="N53" s="21">
        <v>34.790408525754884</v>
      </c>
      <c r="O53" s="20" t="s">
        <v>267</v>
      </c>
      <c r="P53" s="20">
        <f t="shared" si="10"/>
        <v>436</v>
      </c>
      <c r="Q53" s="20">
        <f t="shared" si="11"/>
        <v>39</v>
      </c>
      <c r="R53" s="20">
        <f t="shared" si="12"/>
        <v>85</v>
      </c>
      <c r="S53" s="20">
        <f t="shared" si="13"/>
        <v>3</v>
      </c>
      <c r="T53" s="20">
        <f t="shared" si="14"/>
        <v>563</v>
      </c>
      <c r="U53" s="23">
        <f t="shared" si="15"/>
        <v>0.77442273534635875</v>
      </c>
      <c r="V53" s="23">
        <f t="shared" si="16"/>
        <v>6.9271758436944941E-2</v>
      </c>
      <c r="W53" s="23">
        <f t="shared" si="17"/>
        <v>0.15097690941385436</v>
      </c>
      <c r="X53" s="23">
        <f t="shared" si="18"/>
        <v>5.3285968028419185E-3</v>
      </c>
      <c r="Y53" s="21">
        <f t="shared" si="19"/>
        <v>34.790408525754884</v>
      </c>
    </row>
    <row r="54" spans="1:25" x14ac:dyDescent="0.25">
      <c r="A54" s="20" t="s">
        <v>275</v>
      </c>
      <c r="B54" s="20" t="s">
        <v>276</v>
      </c>
      <c r="C54" s="20" t="s">
        <v>169</v>
      </c>
      <c r="D54" s="20">
        <v>6</v>
      </c>
      <c r="E54" s="20"/>
      <c r="F54" s="20"/>
      <c r="G54" s="20"/>
      <c r="H54" s="20">
        <v>17</v>
      </c>
      <c r="I54" s="20">
        <v>63</v>
      </c>
      <c r="J54" s="20"/>
      <c r="K54" s="20">
        <v>483</v>
      </c>
      <c r="L54" s="20"/>
      <c r="M54" s="20">
        <v>563</v>
      </c>
      <c r="N54" s="21">
        <v>26.740674955595026</v>
      </c>
      <c r="O54" s="20" t="s">
        <v>267</v>
      </c>
      <c r="P54" s="20">
        <f t="shared" si="10"/>
        <v>483</v>
      </c>
      <c r="Q54" s="20">
        <f t="shared" si="11"/>
        <v>17</v>
      </c>
      <c r="R54" s="20">
        <f t="shared" si="12"/>
        <v>63</v>
      </c>
      <c r="S54" s="20">
        <f t="shared" si="13"/>
        <v>0</v>
      </c>
      <c r="T54" s="20">
        <f t="shared" si="14"/>
        <v>563</v>
      </c>
      <c r="U54" s="23">
        <f t="shared" si="15"/>
        <v>0.8579040852575488</v>
      </c>
      <c r="V54" s="23">
        <f t="shared" si="16"/>
        <v>3.0195381882770871E-2</v>
      </c>
      <c r="W54" s="23">
        <f t="shared" si="17"/>
        <v>0.11190053285968028</v>
      </c>
      <c r="X54" s="23">
        <f t="shared" si="18"/>
        <v>0</v>
      </c>
      <c r="Y54" s="21">
        <f t="shared" si="19"/>
        <v>26.740674955595026</v>
      </c>
    </row>
    <row r="55" spans="1:25" x14ac:dyDescent="0.25">
      <c r="A55" s="20" t="s">
        <v>275</v>
      </c>
      <c r="B55" s="20" t="s">
        <v>276</v>
      </c>
      <c r="C55" s="20" t="s">
        <v>169</v>
      </c>
      <c r="D55" s="20">
        <v>7</v>
      </c>
      <c r="E55" s="20"/>
      <c r="F55" s="20"/>
      <c r="G55" s="20"/>
      <c r="H55" s="20">
        <v>3</v>
      </c>
      <c r="I55" s="20">
        <v>43</v>
      </c>
      <c r="J55" s="20"/>
      <c r="K55" s="20">
        <v>518</v>
      </c>
      <c r="L55" s="20"/>
      <c r="M55" s="20">
        <v>564</v>
      </c>
      <c r="N55" s="21">
        <v>20.856382978723403</v>
      </c>
      <c r="O55" s="20" t="s">
        <v>267</v>
      </c>
      <c r="P55" s="20">
        <f t="shared" si="10"/>
        <v>518</v>
      </c>
      <c r="Q55" s="20">
        <f t="shared" si="11"/>
        <v>3</v>
      </c>
      <c r="R55" s="20">
        <f t="shared" si="12"/>
        <v>43</v>
      </c>
      <c r="S55" s="20">
        <f t="shared" si="13"/>
        <v>0</v>
      </c>
      <c r="T55" s="20">
        <f t="shared" si="14"/>
        <v>564</v>
      </c>
      <c r="U55" s="23">
        <f t="shared" si="15"/>
        <v>0.91843971631205679</v>
      </c>
      <c r="V55" s="23">
        <f t="shared" si="16"/>
        <v>5.3191489361702126E-3</v>
      </c>
      <c r="W55" s="23">
        <f t="shared" si="17"/>
        <v>7.6241134751773049E-2</v>
      </c>
      <c r="X55" s="23">
        <f t="shared" si="18"/>
        <v>0</v>
      </c>
      <c r="Y55" s="21">
        <f t="shared" si="19"/>
        <v>20.856382978723403</v>
      </c>
    </row>
    <row r="56" spans="1:25" x14ac:dyDescent="0.25">
      <c r="A56" s="20" t="s">
        <v>277</v>
      </c>
      <c r="B56" s="20" t="s">
        <v>278</v>
      </c>
      <c r="C56" s="20" t="s">
        <v>171</v>
      </c>
      <c r="D56" s="20">
        <v>1</v>
      </c>
      <c r="E56" s="20"/>
      <c r="F56" s="20">
        <v>1</v>
      </c>
      <c r="G56" s="20"/>
      <c r="H56" s="20">
        <v>69</v>
      </c>
      <c r="I56" s="20">
        <v>62</v>
      </c>
      <c r="J56" s="20">
        <v>1</v>
      </c>
      <c r="K56" s="20">
        <v>227</v>
      </c>
      <c r="L56" s="20"/>
      <c r="M56" s="20">
        <v>360</v>
      </c>
      <c r="N56" s="21">
        <v>63.944444444444443</v>
      </c>
      <c r="O56" s="20" t="s">
        <v>267</v>
      </c>
      <c r="P56" s="20">
        <f t="shared" si="10"/>
        <v>227</v>
      </c>
      <c r="Q56" s="20">
        <f t="shared" si="11"/>
        <v>69</v>
      </c>
      <c r="R56" s="20">
        <f t="shared" si="12"/>
        <v>62</v>
      </c>
      <c r="S56" s="20">
        <f t="shared" si="13"/>
        <v>2</v>
      </c>
      <c r="T56" s="20">
        <f t="shared" si="14"/>
        <v>360</v>
      </c>
      <c r="U56" s="23">
        <f t="shared" si="15"/>
        <v>0.63055555555555554</v>
      </c>
      <c r="V56" s="23">
        <f t="shared" si="16"/>
        <v>0.19166666666666668</v>
      </c>
      <c r="W56" s="23">
        <f t="shared" si="17"/>
        <v>0.17222222222222222</v>
      </c>
      <c r="X56" s="23">
        <f t="shared" si="18"/>
        <v>5.5555555555555558E-3</v>
      </c>
      <c r="Y56" s="21">
        <f t="shared" si="19"/>
        <v>63.944444444444443</v>
      </c>
    </row>
    <row r="57" spans="1:25" x14ac:dyDescent="0.25">
      <c r="A57" s="20" t="s">
        <v>277</v>
      </c>
      <c r="B57" s="20" t="s">
        <v>278</v>
      </c>
      <c r="C57" s="20" t="s">
        <v>171</v>
      </c>
      <c r="D57" s="20">
        <v>2</v>
      </c>
      <c r="E57" s="20"/>
      <c r="F57" s="20">
        <v>3</v>
      </c>
      <c r="G57" s="20"/>
      <c r="H57" s="20">
        <v>33</v>
      </c>
      <c r="I57" s="20">
        <v>34</v>
      </c>
      <c r="J57" s="20">
        <v>2</v>
      </c>
      <c r="K57" s="20">
        <v>288</v>
      </c>
      <c r="L57" s="20"/>
      <c r="M57" s="20">
        <v>360</v>
      </c>
      <c r="N57" s="21">
        <v>56.963888888888889</v>
      </c>
      <c r="O57" s="20" t="s">
        <v>267</v>
      </c>
      <c r="P57" s="20">
        <f t="shared" si="10"/>
        <v>288</v>
      </c>
      <c r="Q57" s="20">
        <f t="shared" si="11"/>
        <v>33</v>
      </c>
      <c r="R57" s="20">
        <f t="shared" si="12"/>
        <v>34</v>
      </c>
      <c r="S57" s="20">
        <f t="shared" si="13"/>
        <v>5</v>
      </c>
      <c r="T57" s="20">
        <f t="shared" si="14"/>
        <v>360</v>
      </c>
      <c r="U57" s="23">
        <f t="shared" si="15"/>
        <v>0.8</v>
      </c>
      <c r="V57" s="23">
        <f t="shared" si="16"/>
        <v>9.166666666666666E-2</v>
      </c>
      <c r="W57" s="23">
        <f t="shared" si="17"/>
        <v>9.4444444444444442E-2</v>
      </c>
      <c r="X57" s="23">
        <f t="shared" si="18"/>
        <v>1.3888888888888888E-2</v>
      </c>
      <c r="Y57" s="21">
        <f t="shared" si="19"/>
        <v>56.963888888888889</v>
      </c>
    </row>
    <row r="58" spans="1:25" x14ac:dyDescent="0.25">
      <c r="A58" s="20" t="s">
        <v>277</v>
      </c>
      <c r="B58" s="20" t="s">
        <v>278</v>
      </c>
      <c r="C58" s="20" t="s">
        <v>171</v>
      </c>
      <c r="D58" s="20">
        <v>3</v>
      </c>
      <c r="E58" s="20">
        <v>1</v>
      </c>
      <c r="F58" s="20">
        <v>1</v>
      </c>
      <c r="G58" s="20">
        <v>5</v>
      </c>
      <c r="H58" s="20">
        <v>32</v>
      </c>
      <c r="I58" s="20">
        <v>73</v>
      </c>
      <c r="J58" s="20">
        <v>1</v>
      </c>
      <c r="K58" s="20">
        <v>582</v>
      </c>
      <c r="L58" s="20">
        <v>2</v>
      </c>
      <c r="M58" s="20">
        <v>697</v>
      </c>
      <c r="N58" s="21">
        <v>47.553802008608322</v>
      </c>
      <c r="O58" s="20" t="s">
        <v>267</v>
      </c>
      <c r="P58" s="20">
        <f t="shared" si="10"/>
        <v>582</v>
      </c>
      <c r="Q58" s="20">
        <f t="shared" si="11"/>
        <v>32</v>
      </c>
      <c r="R58" s="20">
        <f t="shared" si="12"/>
        <v>73</v>
      </c>
      <c r="S58" s="20">
        <f t="shared" si="13"/>
        <v>10</v>
      </c>
      <c r="T58" s="20">
        <f t="shared" si="14"/>
        <v>697</v>
      </c>
      <c r="U58" s="23">
        <f t="shared" si="15"/>
        <v>0.83500717360114773</v>
      </c>
      <c r="V58" s="23">
        <f t="shared" si="16"/>
        <v>4.5911047345767578E-2</v>
      </c>
      <c r="W58" s="23">
        <f t="shared" si="17"/>
        <v>0.10473457675753228</v>
      </c>
      <c r="X58" s="23">
        <f t="shared" si="18"/>
        <v>1.4347202295552367E-2</v>
      </c>
      <c r="Y58" s="21">
        <f t="shared" si="19"/>
        <v>47.553802008608322</v>
      </c>
    </row>
    <row r="59" spans="1:25" x14ac:dyDescent="0.25">
      <c r="A59" s="20" t="s">
        <v>277</v>
      </c>
      <c r="B59" s="20" t="s">
        <v>278</v>
      </c>
      <c r="C59" s="20" t="s">
        <v>171</v>
      </c>
      <c r="D59" s="20">
        <v>4</v>
      </c>
      <c r="E59" s="20"/>
      <c r="F59" s="20">
        <v>1</v>
      </c>
      <c r="G59" s="20">
        <v>2</v>
      </c>
      <c r="H59" s="20">
        <v>60</v>
      </c>
      <c r="I59" s="20">
        <v>128</v>
      </c>
      <c r="J59" s="20"/>
      <c r="K59" s="20">
        <v>496</v>
      </c>
      <c r="L59" s="20">
        <v>10</v>
      </c>
      <c r="M59" s="20">
        <v>697</v>
      </c>
      <c r="N59" s="21">
        <v>34.708751793400289</v>
      </c>
      <c r="O59" s="20" t="s">
        <v>267</v>
      </c>
      <c r="P59" s="20">
        <f t="shared" si="10"/>
        <v>496</v>
      </c>
      <c r="Q59" s="20">
        <f t="shared" si="11"/>
        <v>60</v>
      </c>
      <c r="R59" s="20">
        <f t="shared" si="12"/>
        <v>128</v>
      </c>
      <c r="S59" s="20">
        <f t="shared" si="13"/>
        <v>13</v>
      </c>
      <c r="T59" s="20">
        <f t="shared" si="14"/>
        <v>697</v>
      </c>
      <c r="U59" s="23">
        <f t="shared" si="15"/>
        <v>0.71162123385939746</v>
      </c>
      <c r="V59" s="23">
        <f t="shared" si="16"/>
        <v>8.608321377331421E-2</v>
      </c>
      <c r="W59" s="23">
        <f t="shared" si="17"/>
        <v>0.18364418938307031</v>
      </c>
      <c r="X59" s="23">
        <f t="shared" si="18"/>
        <v>1.8651362984218076E-2</v>
      </c>
      <c r="Y59" s="21">
        <f t="shared" si="19"/>
        <v>34.708751793400289</v>
      </c>
    </row>
    <row r="60" spans="1:25" x14ac:dyDescent="0.25">
      <c r="A60" s="20" t="s">
        <v>277</v>
      </c>
      <c r="B60" s="20" t="s">
        <v>278</v>
      </c>
      <c r="C60" s="20" t="s">
        <v>171</v>
      </c>
      <c r="D60" s="20">
        <v>5</v>
      </c>
      <c r="E60" s="20"/>
      <c r="F60" s="20"/>
      <c r="G60" s="20">
        <v>1</v>
      </c>
      <c r="H60" s="20">
        <v>21</v>
      </c>
      <c r="I60" s="20">
        <v>71</v>
      </c>
      <c r="J60" s="20">
        <v>2</v>
      </c>
      <c r="K60" s="20">
        <v>603</v>
      </c>
      <c r="L60" s="20"/>
      <c r="M60" s="20">
        <v>698</v>
      </c>
      <c r="N60" s="21">
        <v>25.550143266475644</v>
      </c>
      <c r="O60" s="20" t="s">
        <v>267</v>
      </c>
      <c r="P60" s="20">
        <f t="shared" si="10"/>
        <v>603</v>
      </c>
      <c r="Q60" s="20">
        <f t="shared" si="11"/>
        <v>21</v>
      </c>
      <c r="R60" s="20">
        <f t="shared" si="12"/>
        <v>71</v>
      </c>
      <c r="S60" s="20">
        <f t="shared" si="13"/>
        <v>3</v>
      </c>
      <c r="T60" s="20">
        <f t="shared" si="14"/>
        <v>698</v>
      </c>
      <c r="U60" s="23">
        <f t="shared" si="15"/>
        <v>0.86389684813753587</v>
      </c>
      <c r="V60" s="23">
        <f t="shared" si="16"/>
        <v>3.0085959885386818E-2</v>
      </c>
      <c r="W60" s="23">
        <f t="shared" si="17"/>
        <v>0.10171919770773639</v>
      </c>
      <c r="X60" s="23">
        <f t="shared" si="18"/>
        <v>4.2979942693409743E-3</v>
      </c>
      <c r="Y60" s="21">
        <f t="shared" si="19"/>
        <v>25.550143266475644</v>
      </c>
    </row>
    <row r="61" spans="1:25" x14ac:dyDescent="0.25">
      <c r="A61" s="20" t="s">
        <v>277</v>
      </c>
      <c r="B61" s="20" t="s">
        <v>278</v>
      </c>
      <c r="C61" s="20" t="s">
        <v>171</v>
      </c>
      <c r="D61" s="20">
        <v>6</v>
      </c>
      <c r="E61" s="20"/>
      <c r="F61" s="20"/>
      <c r="G61" s="20">
        <v>2</v>
      </c>
      <c r="H61" s="20">
        <v>11</v>
      </c>
      <c r="I61" s="20">
        <v>58</v>
      </c>
      <c r="J61" s="20"/>
      <c r="K61" s="20">
        <v>627</v>
      </c>
      <c r="L61" s="20"/>
      <c r="M61" s="20">
        <v>698</v>
      </c>
      <c r="N61" s="21">
        <v>20.141833810888251</v>
      </c>
      <c r="O61" s="20" t="s">
        <v>267</v>
      </c>
      <c r="P61" s="20">
        <f t="shared" si="10"/>
        <v>627</v>
      </c>
      <c r="Q61" s="20">
        <f t="shared" si="11"/>
        <v>11</v>
      </c>
      <c r="R61" s="20">
        <f t="shared" si="12"/>
        <v>58</v>
      </c>
      <c r="S61" s="20">
        <f t="shared" si="13"/>
        <v>2</v>
      </c>
      <c r="T61" s="20">
        <f t="shared" si="14"/>
        <v>698</v>
      </c>
      <c r="U61" s="23">
        <f t="shared" si="15"/>
        <v>0.89828080229226359</v>
      </c>
      <c r="V61" s="23">
        <f t="shared" si="16"/>
        <v>1.5759312320916905E-2</v>
      </c>
      <c r="W61" s="23">
        <f t="shared" si="17"/>
        <v>8.3094555873925502E-2</v>
      </c>
      <c r="X61" s="23">
        <f t="shared" si="18"/>
        <v>2.8653295128939827E-3</v>
      </c>
      <c r="Y61" s="21">
        <f t="shared" si="19"/>
        <v>20.141833810888251</v>
      </c>
    </row>
    <row r="62" spans="1:25" x14ac:dyDescent="0.25">
      <c r="A62" s="20" t="s">
        <v>279</v>
      </c>
      <c r="B62" s="20" t="s">
        <v>280</v>
      </c>
      <c r="C62" s="20" t="s">
        <v>173</v>
      </c>
      <c r="D62" s="20">
        <v>1</v>
      </c>
      <c r="E62" s="20"/>
      <c r="F62" s="20"/>
      <c r="G62" s="20"/>
      <c r="H62" s="20">
        <v>250</v>
      </c>
      <c r="I62" s="20">
        <v>69</v>
      </c>
      <c r="J62" s="20">
        <v>1</v>
      </c>
      <c r="K62" s="20">
        <v>56</v>
      </c>
      <c r="L62" s="20">
        <v>4</v>
      </c>
      <c r="M62" s="20">
        <v>380</v>
      </c>
      <c r="N62" s="21">
        <v>63.618421052631582</v>
      </c>
      <c r="O62" s="20" t="s">
        <v>267</v>
      </c>
      <c r="P62" s="20">
        <f>K62</f>
        <v>56</v>
      </c>
      <c r="Q62" s="20">
        <f t="shared" ref="Q62:R66" si="30">H62</f>
        <v>250</v>
      </c>
      <c r="R62" s="20">
        <f t="shared" si="30"/>
        <v>69</v>
      </c>
      <c r="S62" s="20">
        <f>M62-SUM(P62:R62)</f>
        <v>5</v>
      </c>
      <c r="T62" s="20">
        <f>SUM(P62:S62)</f>
        <v>380</v>
      </c>
      <c r="U62" s="23">
        <f>P62/M62</f>
        <v>0.14736842105263157</v>
      </c>
      <c r="V62" s="23">
        <f>Q62/M62</f>
        <v>0.65789473684210531</v>
      </c>
      <c r="W62" s="23">
        <f>R62/M62</f>
        <v>0.18157894736842106</v>
      </c>
      <c r="X62" s="23">
        <f>S62/M62</f>
        <v>1.3157894736842105E-2</v>
      </c>
      <c r="Y62" s="21">
        <f>N62</f>
        <v>63.618421052631582</v>
      </c>
    </row>
    <row r="63" spans="1:25" x14ac:dyDescent="0.25">
      <c r="A63" s="20" t="s">
        <v>279</v>
      </c>
      <c r="B63" s="20" t="s">
        <v>280</v>
      </c>
      <c r="C63" s="20" t="s">
        <v>173</v>
      </c>
      <c r="D63" s="20">
        <v>2</v>
      </c>
      <c r="E63" s="20"/>
      <c r="F63" s="20"/>
      <c r="G63" s="20">
        <v>2</v>
      </c>
      <c r="H63" s="20">
        <v>403</v>
      </c>
      <c r="I63" s="20">
        <v>129</v>
      </c>
      <c r="J63" s="20">
        <v>1</v>
      </c>
      <c r="K63" s="20">
        <v>148</v>
      </c>
      <c r="L63" s="20">
        <v>15</v>
      </c>
      <c r="M63" s="20">
        <v>698</v>
      </c>
      <c r="N63" s="21">
        <v>47.879656160458453</v>
      </c>
      <c r="O63" s="20" t="s">
        <v>267</v>
      </c>
      <c r="P63" s="20">
        <f>K63</f>
        <v>148</v>
      </c>
      <c r="Q63" s="20">
        <f t="shared" si="30"/>
        <v>403</v>
      </c>
      <c r="R63" s="20">
        <f t="shared" si="30"/>
        <v>129</v>
      </c>
      <c r="S63" s="20">
        <f>M63-SUM(P63:R63)</f>
        <v>18</v>
      </c>
      <c r="T63" s="20">
        <f>SUM(P63:S63)</f>
        <v>698</v>
      </c>
      <c r="U63" s="23">
        <f>P63/M63</f>
        <v>0.21203438395415472</v>
      </c>
      <c r="V63" s="23">
        <f>Q63/M63</f>
        <v>0.57736389684813749</v>
      </c>
      <c r="W63" s="23">
        <f>R63/M63</f>
        <v>0.18481375358166188</v>
      </c>
      <c r="X63" s="23">
        <f>S63/M63</f>
        <v>2.5787965616045846E-2</v>
      </c>
      <c r="Y63" s="21">
        <f>N63</f>
        <v>47.879656160458453</v>
      </c>
    </row>
    <row r="64" spans="1:25" x14ac:dyDescent="0.25">
      <c r="A64" s="20" t="s">
        <v>279</v>
      </c>
      <c r="B64" s="20" t="s">
        <v>280</v>
      </c>
      <c r="C64" s="20" t="s">
        <v>173</v>
      </c>
      <c r="D64" s="20">
        <v>3</v>
      </c>
      <c r="E64" s="20">
        <v>1</v>
      </c>
      <c r="F64" s="20"/>
      <c r="G64" s="20">
        <v>1</v>
      </c>
      <c r="H64" s="20">
        <v>404</v>
      </c>
      <c r="I64" s="20">
        <v>116</v>
      </c>
      <c r="J64" s="20">
        <v>3</v>
      </c>
      <c r="K64" s="20">
        <v>161</v>
      </c>
      <c r="L64" s="20">
        <v>12</v>
      </c>
      <c r="M64" s="20">
        <v>698</v>
      </c>
      <c r="N64" s="21">
        <v>35.815186246418335</v>
      </c>
      <c r="O64" s="20" t="s">
        <v>267</v>
      </c>
      <c r="P64" s="20">
        <f>K64</f>
        <v>161</v>
      </c>
      <c r="Q64" s="20">
        <f t="shared" si="30"/>
        <v>404</v>
      </c>
      <c r="R64" s="20">
        <f t="shared" si="30"/>
        <v>116</v>
      </c>
      <c r="S64" s="20">
        <f>M64-SUM(P64:R64)</f>
        <v>17</v>
      </c>
      <c r="T64" s="20">
        <f>SUM(P64:S64)</f>
        <v>698</v>
      </c>
      <c r="U64" s="23">
        <f>P64/M64</f>
        <v>0.23065902578796563</v>
      </c>
      <c r="V64" s="23">
        <f>Q64/M64</f>
        <v>0.57879656160458448</v>
      </c>
      <c r="W64" s="23">
        <f>R64/M64</f>
        <v>0.166189111747851</v>
      </c>
      <c r="X64" s="23">
        <f>S64/M64</f>
        <v>2.4355300859598854E-2</v>
      </c>
      <c r="Y64" s="21">
        <f>N64</f>
        <v>35.815186246418335</v>
      </c>
    </row>
    <row r="65" spans="1:25" x14ac:dyDescent="0.25">
      <c r="A65" s="20" t="s">
        <v>279</v>
      </c>
      <c r="B65" s="20" t="s">
        <v>280</v>
      </c>
      <c r="C65" s="20" t="s">
        <v>173</v>
      </c>
      <c r="D65" s="20">
        <v>4</v>
      </c>
      <c r="E65" s="20"/>
      <c r="F65" s="20"/>
      <c r="G65" s="20"/>
      <c r="H65" s="20">
        <v>393</v>
      </c>
      <c r="I65" s="20">
        <v>159</v>
      </c>
      <c r="J65" s="20">
        <v>2</v>
      </c>
      <c r="K65" s="20">
        <v>144</v>
      </c>
      <c r="L65" s="20"/>
      <c r="M65" s="20">
        <v>698</v>
      </c>
      <c r="N65" s="21">
        <v>27.0243553008596</v>
      </c>
      <c r="O65" s="20" t="s">
        <v>267</v>
      </c>
      <c r="P65" s="20">
        <f>K65</f>
        <v>144</v>
      </c>
      <c r="Q65" s="20">
        <f t="shared" si="30"/>
        <v>393</v>
      </c>
      <c r="R65" s="20">
        <f t="shared" si="30"/>
        <v>159</v>
      </c>
      <c r="S65" s="20">
        <f>M65-SUM(P65:R65)</f>
        <v>2</v>
      </c>
      <c r="T65" s="20">
        <f>SUM(P65:S65)</f>
        <v>698</v>
      </c>
      <c r="U65" s="23">
        <f>P65/M65</f>
        <v>0.20630372492836677</v>
      </c>
      <c r="V65" s="23">
        <f>Q65/M65</f>
        <v>0.56303724928366761</v>
      </c>
      <c r="W65" s="23">
        <f>R65/M65</f>
        <v>0.22779369627507162</v>
      </c>
      <c r="X65" s="23">
        <f>S65/M65</f>
        <v>2.8653295128939827E-3</v>
      </c>
      <c r="Y65" s="21">
        <f>N65</f>
        <v>27.0243553008596</v>
      </c>
    </row>
    <row r="66" spans="1:25" x14ac:dyDescent="0.25">
      <c r="A66" s="20" t="s">
        <v>279</v>
      </c>
      <c r="B66" s="20" t="s">
        <v>280</v>
      </c>
      <c r="C66" s="20" t="s">
        <v>173</v>
      </c>
      <c r="D66" s="20">
        <v>5</v>
      </c>
      <c r="E66" s="20"/>
      <c r="F66" s="20">
        <v>1</v>
      </c>
      <c r="G66" s="20">
        <v>2</v>
      </c>
      <c r="H66" s="20">
        <v>366</v>
      </c>
      <c r="I66" s="20">
        <v>136</v>
      </c>
      <c r="J66" s="20"/>
      <c r="K66" s="20">
        <v>193</v>
      </c>
      <c r="L66" s="20"/>
      <c r="M66" s="20">
        <v>698</v>
      </c>
      <c r="N66" s="21">
        <v>20.709169054441261</v>
      </c>
      <c r="O66" s="20" t="s">
        <v>267</v>
      </c>
      <c r="P66" s="20">
        <f>K66</f>
        <v>193</v>
      </c>
      <c r="Q66" s="20">
        <f t="shared" si="30"/>
        <v>366</v>
      </c>
      <c r="R66" s="20">
        <f t="shared" si="30"/>
        <v>136</v>
      </c>
      <c r="S66" s="20">
        <f>M66-SUM(P66:R66)</f>
        <v>3</v>
      </c>
      <c r="T66" s="20">
        <f>SUM(P66:S66)</f>
        <v>698</v>
      </c>
      <c r="U66" s="23">
        <f>P66/M66</f>
        <v>0.27650429799426934</v>
      </c>
      <c r="V66" s="23">
        <f>Q66/M66</f>
        <v>0.52435530085959881</v>
      </c>
      <c r="W66" s="23">
        <f>R66/M66</f>
        <v>0.19484240687679083</v>
      </c>
      <c r="X66" s="23">
        <f>S66/M66</f>
        <v>4.2979942693409743E-3</v>
      </c>
      <c r="Y66" s="21">
        <f>N66</f>
        <v>20.709169054441261</v>
      </c>
    </row>
    <row r="67" spans="1:25" x14ac:dyDescent="0.25">
      <c r="A67" s="20" t="s">
        <v>279</v>
      </c>
      <c r="B67" s="20" t="s">
        <v>280</v>
      </c>
      <c r="C67" s="20" t="s">
        <v>174</v>
      </c>
      <c r="D67" s="20">
        <v>1</v>
      </c>
      <c r="E67" s="20"/>
      <c r="F67" s="20"/>
      <c r="G67" s="20"/>
      <c r="H67" s="20">
        <v>202</v>
      </c>
      <c r="I67" s="20">
        <v>111</v>
      </c>
      <c r="J67" s="20">
        <v>5</v>
      </c>
      <c r="K67" s="20">
        <v>52</v>
      </c>
      <c r="L67" s="20"/>
      <c r="M67" s="20">
        <v>370</v>
      </c>
      <c r="N67" s="21">
        <v>71.816216216216219</v>
      </c>
      <c r="O67" s="20" t="s">
        <v>267</v>
      </c>
      <c r="P67" s="20">
        <f t="shared" ref="P67:P150" si="31">K67</f>
        <v>52</v>
      </c>
      <c r="Q67" s="20">
        <f t="shared" ref="Q67:Q150" si="32">H67</f>
        <v>202</v>
      </c>
      <c r="R67" s="20">
        <f t="shared" ref="R67:R150" si="33">I67</f>
        <v>111</v>
      </c>
      <c r="S67" s="20">
        <f t="shared" ref="S67:S150" si="34">M67-SUM(P67:R67)</f>
        <v>5</v>
      </c>
      <c r="T67" s="20">
        <f t="shared" ref="T67:T150" si="35">SUM(P67:S67)</f>
        <v>370</v>
      </c>
      <c r="U67" s="23">
        <f t="shared" ref="U67:U150" si="36">P67/M67</f>
        <v>0.14054054054054055</v>
      </c>
      <c r="V67" s="23">
        <f t="shared" ref="V67:V150" si="37">Q67/M67</f>
        <v>0.54594594594594592</v>
      </c>
      <c r="W67" s="23">
        <f t="shared" ref="W67:W150" si="38">R67/M67</f>
        <v>0.3</v>
      </c>
      <c r="X67" s="23">
        <f t="shared" ref="X67:X150" si="39">S67/M67</f>
        <v>1.3513513513513514E-2</v>
      </c>
      <c r="Y67" s="21">
        <f t="shared" ref="Y67:Y150" si="40">N67</f>
        <v>71.816216216216219</v>
      </c>
    </row>
    <row r="68" spans="1:25" x14ac:dyDescent="0.25">
      <c r="A68" s="20" t="s">
        <v>279</v>
      </c>
      <c r="B68" s="20" t="s">
        <v>280</v>
      </c>
      <c r="C68" s="20" t="s">
        <v>174</v>
      </c>
      <c r="D68" s="20">
        <v>2</v>
      </c>
      <c r="E68" s="20"/>
      <c r="F68" s="20"/>
      <c r="G68" s="20"/>
      <c r="H68" s="20">
        <v>180</v>
      </c>
      <c r="I68" s="20">
        <v>101</v>
      </c>
      <c r="J68" s="20">
        <v>4</v>
      </c>
      <c r="K68" s="20">
        <v>85</v>
      </c>
      <c r="L68" s="20"/>
      <c r="M68" s="20">
        <v>370</v>
      </c>
      <c r="N68" s="21">
        <v>67.867567567567562</v>
      </c>
      <c r="O68" s="20" t="s">
        <v>267</v>
      </c>
      <c r="P68" s="20">
        <f t="shared" si="31"/>
        <v>85</v>
      </c>
      <c r="Q68" s="20">
        <f t="shared" si="32"/>
        <v>180</v>
      </c>
      <c r="R68" s="20">
        <f t="shared" si="33"/>
        <v>101</v>
      </c>
      <c r="S68" s="20">
        <f t="shared" si="34"/>
        <v>4</v>
      </c>
      <c r="T68" s="20">
        <f t="shared" si="35"/>
        <v>370</v>
      </c>
      <c r="U68" s="23">
        <f t="shared" si="36"/>
        <v>0.22972972972972974</v>
      </c>
      <c r="V68" s="23">
        <f t="shared" si="37"/>
        <v>0.48648648648648651</v>
      </c>
      <c r="W68" s="23">
        <f t="shared" si="38"/>
        <v>0.27297297297297296</v>
      </c>
      <c r="X68" s="23">
        <f t="shared" si="39"/>
        <v>1.0810810810810811E-2</v>
      </c>
      <c r="Y68" s="21">
        <f t="shared" si="40"/>
        <v>67.867567567567562</v>
      </c>
    </row>
    <row r="69" spans="1:25" x14ac:dyDescent="0.25">
      <c r="A69" s="20" t="s">
        <v>279</v>
      </c>
      <c r="B69" s="20" t="s">
        <v>280</v>
      </c>
      <c r="C69" s="20" t="s">
        <v>174</v>
      </c>
      <c r="D69" s="20">
        <v>3</v>
      </c>
      <c r="E69" s="20"/>
      <c r="F69" s="20"/>
      <c r="G69" s="20">
        <v>1</v>
      </c>
      <c r="H69" s="20">
        <v>196</v>
      </c>
      <c r="I69" s="20">
        <v>107</v>
      </c>
      <c r="J69" s="20">
        <v>4</v>
      </c>
      <c r="K69" s="20">
        <v>62</v>
      </c>
      <c r="L69" s="20"/>
      <c r="M69" s="20">
        <v>370</v>
      </c>
      <c r="N69" s="21">
        <v>61.629729729729732</v>
      </c>
      <c r="O69" s="20" t="s">
        <v>267</v>
      </c>
      <c r="P69" s="20">
        <f t="shared" si="31"/>
        <v>62</v>
      </c>
      <c r="Q69" s="20">
        <f t="shared" si="32"/>
        <v>196</v>
      </c>
      <c r="R69" s="20">
        <f t="shared" si="33"/>
        <v>107</v>
      </c>
      <c r="S69" s="20">
        <f t="shared" si="34"/>
        <v>5</v>
      </c>
      <c r="T69" s="20">
        <f t="shared" si="35"/>
        <v>370</v>
      </c>
      <c r="U69" s="23">
        <f t="shared" si="36"/>
        <v>0.16756756756756758</v>
      </c>
      <c r="V69" s="23">
        <f t="shared" si="37"/>
        <v>0.52972972972972976</v>
      </c>
      <c r="W69" s="23">
        <f t="shared" si="38"/>
        <v>0.28918918918918918</v>
      </c>
      <c r="X69" s="23">
        <f t="shared" si="39"/>
        <v>1.3513513513513514E-2</v>
      </c>
      <c r="Y69" s="21">
        <f t="shared" si="40"/>
        <v>61.629729729729732</v>
      </c>
    </row>
    <row r="70" spans="1:25" x14ac:dyDescent="0.25">
      <c r="A70" s="20" t="s">
        <v>279</v>
      </c>
      <c r="B70" s="20" t="s">
        <v>280</v>
      </c>
      <c r="C70" s="20" t="s">
        <v>174</v>
      </c>
      <c r="D70" s="20">
        <v>4</v>
      </c>
      <c r="E70" s="20"/>
      <c r="F70" s="20">
        <v>4</v>
      </c>
      <c r="G70" s="20">
        <v>2</v>
      </c>
      <c r="H70" s="20">
        <v>356</v>
      </c>
      <c r="I70" s="20">
        <v>194</v>
      </c>
      <c r="J70" s="20">
        <v>11</v>
      </c>
      <c r="K70" s="20">
        <v>110</v>
      </c>
      <c r="L70" s="20"/>
      <c r="M70" s="20">
        <v>677</v>
      </c>
      <c r="N70" s="21">
        <v>53.964549483013293</v>
      </c>
      <c r="O70" s="20" t="s">
        <v>267</v>
      </c>
      <c r="P70" s="20">
        <f t="shared" si="31"/>
        <v>110</v>
      </c>
      <c r="Q70" s="20">
        <f t="shared" si="32"/>
        <v>356</v>
      </c>
      <c r="R70" s="20">
        <f t="shared" si="33"/>
        <v>194</v>
      </c>
      <c r="S70" s="20">
        <f t="shared" si="34"/>
        <v>17</v>
      </c>
      <c r="T70" s="20">
        <f t="shared" si="35"/>
        <v>677</v>
      </c>
      <c r="U70" s="23">
        <f t="shared" si="36"/>
        <v>0.16248153618906944</v>
      </c>
      <c r="V70" s="23">
        <f t="shared" si="37"/>
        <v>0.52584933530280653</v>
      </c>
      <c r="W70" s="23">
        <f t="shared" si="38"/>
        <v>0.28655834564254062</v>
      </c>
      <c r="X70" s="23">
        <f t="shared" si="39"/>
        <v>2.5110782865583457E-2</v>
      </c>
      <c r="Y70" s="21">
        <f t="shared" si="40"/>
        <v>53.964549483013293</v>
      </c>
    </row>
    <row r="71" spans="1:25" x14ac:dyDescent="0.25">
      <c r="A71" s="20" t="s">
        <v>279</v>
      </c>
      <c r="B71" s="20" t="s">
        <v>280</v>
      </c>
      <c r="C71" s="20" t="s">
        <v>174</v>
      </c>
      <c r="D71" s="20">
        <v>5</v>
      </c>
      <c r="E71" s="20"/>
      <c r="F71" s="20"/>
      <c r="G71" s="20"/>
      <c r="H71" s="20">
        <v>330</v>
      </c>
      <c r="I71" s="20">
        <v>190</v>
      </c>
      <c r="J71" s="20">
        <v>2</v>
      </c>
      <c r="K71" s="20">
        <v>155</v>
      </c>
      <c r="L71" s="20"/>
      <c r="M71" s="20">
        <v>677</v>
      </c>
      <c r="N71" s="21">
        <v>44.635155096011815</v>
      </c>
      <c r="O71" s="20" t="s">
        <v>267</v>
      </c>
      <c r="P71" s="20">
        <f t="shared" si="31"/>
        <v>155</v>
      </c>
      <c r="Q71" s="20">
        <f t="shared" si="32"/>
        <v>330</v>
      </c>
      <c r="R71" s="20">
        <f t="shared" si="33"/>
        <v>190</v>
      </c>
      <c r="S71" s="20">
        <f t="shared" si="34"/>
        <v>2</v>
      </c>
      <c r="T71" s="20">
        <f t="shared" si="35"/>
        <v>677</v>
      </c>
      <c r="U71" s="23">
        <f t="shared" si="36"/>
        <v>0.22895125553914328</v>
      </c>
      <c r="V71" s="23">
        <f t="shared" si="37"/>
        <v>0.48744460856720828</v>
      </c>
      <c r="W71" s="23">
        <f t="shared" si="38"/>
        <v>0.28064992614475626</v>
      </c>
      <c r="X71" s="23">
        <f t="shared" si="39"/>
        <v>2.9542097488921715E-3</v>
      </c>
      <c r="Y71" s="21">
        <f t="shared" si="40"/>
        <v>44.635155096011815</v>
      </c>
    </row>
    <row r="72" spans="1:25" x14ac:dyDescent="0.25">
      <c r="A72" s="20" t="s">
        <v>279</v>
      </c>
      <c r="B72" s="20" t="s">
        <v>280</v>
      </c>
      <c r="C72" s="20" t="s">
        <v>174</v>
      </c>
      <c r="D72" s="20">
        <v>6</v>
      </c>
      <c r="E72" s="20"/>
      <c r="F72" s="20">
        <v>2</v>
      </c>
      <c r="G72" s="20"/>
      <c r="H72" s="20">
        <v>262</v>
      </c>
      <c r="I72" s="20">
        <v>205</v>
      </c>
      <c r="J72" s="20">
        <v>1</v>
      </c>
      <c r="K72" s="20">
        <v>207</v>
      </c>
      <c r="L72" s="20"/>
      <c r="M72" s="20">
        <v>677</v>
      </c>
      <c r="N72" s="21">
        <v>36.87592319054653</v>
      </c>
      <c r="O72" s="20" t="s">
        <v>267</v>
      </c>
      <c r="P72" s="20">
        <f t="shared" si="31"/>
        <v>207</v>
      </c>
      <c r="Q72" s="20">
        <f t="shared" si="32"/>
        <v>262</v>
      </c>
      <c r="R72" s="20">
        <f t="shared" si="33"/>
        <v>205</v>
      </c>
      <c r="S72" s="20">
        <f t="shared" si="34"/>
        <v>3</v>
      </c>
      <c r="T72" s="20">
        <f t="shared" si="35"/>
        <v>677</v>
      </c>
      <c r="U72" s="23">
        <f t="shared" si="36"/>
        <v>0.30576070901033975</v>
      </c>
      <c r="V72" s="23">
        <f t="shared" si="37"/>
        <v>0.38700147710487443</v>
      </c>
      <c r="W72" s="23">
        <f t="shared" si="38"/>
        <v>0.30280649926144754</v>
      </c>
      <c r="X72" s="23">
        <f t="shared" si="39"/>
        <v>4.4313146233382573E-3</v>
      </c>
      <c r="Y72" s="21">
        <f t="shared" si="40"/>
        <v>36.87592319054653</v>
      </c>
    </row>
    <row r="73" spans="1:25" x14ac:dyDescent="0.25">
      <c r="A73" s="20" t="s">
        <v>279</v>
      </c>
      <c r="B73" s="20" t="s">
        <v>280</v>
      </c>
      <c r="C73" s="20" t="s">
        <v>174</v>
      </c>
      <c r="D73" s="20">
        <v>7</v>
      </c>
      <c r="E73" s="20">
        <v>2</v>
      </c>
      <c r="F73" s="20"/>
      <c r="G73" s="20">
        <v>1</v>
      </c>
      <c r="H73" s="20">
        <v>298</v>
      </c>
      <c r="I73" s="20">
        <v>169</v>
      </c>
      <c r="J73" s="20">
        <v>2</v>
      </c>
      <c r="K73" s="20">
        <v>205</v>
      </c>
      <c r="L73" s="20"/>
      <c r="M73" s="20">
        <v>677</v>
      </c>
      <c r="N73" s="21">
        <v>30.508124076809455</v>
      </c>
      <c r="O73" s="20" t="s">
        <v>267</v>
      </c>
      <c r="P73" s="20">
        <f t="shared" si="31"/>
        <v>205</v>
      </c>
      <c r="Q73" s="20">
        <f t="shared" si="32"/>
        <v>298</v>
      </c>
      <c r="R73" s="20">
        <f t="shared" si="33"/>
        <v>169</v>
      </c>
      <c r="S73" s="20">
        <f t="shared" si="34"/>
        <v>5</v>
      </c>
      <c r="T73" s="20">
        <f t="shared" si="35"/>
        <v>677</v>
      </c>
      <c r="U73" s="23">
        <f t="shared" si="36"/>
        <v>0.30280649926144754</v>
      </c>
      <c r="V73" s="23">
        <f t="shared" si="37"/>
        <v>0.44017725258493351</v>
      </c>
      <c r="W73" s="23">
        <f t="shared" si="38"/>
        <v>0.24963072378138848</v>
      </c>
      <c r="X73" s="23">
        <f t="shared" si="39"/>
        <v>7.385524372230428E-3</v>
      </c>
      <c r="Y73" s="21">
        <f t="shared" si="40"/>
        <v>30.508124076809455</v>
      </c>
    </row>
    <row r="74" spans="1:25" x14ac:dyDescent="0.25">
      <c r="A74" s="20" t="s">
        <v>279</v>
      </c>
      <c r="B74" s="20" t="s">
        <v>280</v>
      </c>
      <c r="C74" s="20" t="s">
        <v>174</v>
      </c>
      <c r="D74" s="20">
        <v>8</v>
      </c>
      <c r="E74" s="20"/>
      <c r="F74" s="20"/>
      <c r="G74" s="20">
        <v>1</v>
      </c>
      <c r="H74" s="20">
        <v>294</v>
      </c>
      <c r="I74" s="20">
        <v>173</v>
      </c>
      <c r="J74" s="20"/>
      <c r="K74" s="20">
        <v>209</v>
      </c>
      <c r="L74" s="20"/>
      <c r="M74" s="20">
        <v>677</v>
      </c>
      <c r="N74" s="21">
        <v>25.3205317577548</v>
      </c>
      <c r="O74" s="20" t="s">
        <v>267</v>
      </c>
      <c r="P74" s="20">
        <f t="shared" si="31"/>
        <v>209</v>
      </c>
      <c r="Q74" s="20">
        <f t="shared" si="32"/>
        <v>294</v>
      </c>
      <c r="R74" s="20">
        <f t="shared" si="33"/>
        <v>173</v>
      </c>
      <c r="S74" s="20">
        <f t="shared" si="34"/>
        <v>1</v>
      </c>
      <c r="T74" s="20">
        <f t="shared" si="35"/>
        <v>677</v>
      </c>
      <c r="U74" s="23">
        <f t="shared" si="36"/>
        <v>0.3087149187592319</v>
      </c>
      <c r="V74" s="23">
        <f t="shared" si="37"/>
        <v>0.4342688330871492</v>
      </c>
      <c r="W74" s="23">
        <f t="shared" si="38"/>
        <v>0.25553914327917282</v>
      </c>
      <c r="X74" s="23">
        <f t="shared" si="39"/>
        <v>1.4771048744460858E-3</v>
      </c>
      <c r="Y74" s="21">
        <f t="shared" si="40"/>
        <v>25.3205317577548</v>
      </c>
    </row>
    <row r="75" spans="1:25" x14ac:dyDescent="0.25">
      <c r="A75" s="20" t="s">
        <v>279</v>
      </c>
      <c r="B75" s="20" t="s">
        <v>280</v>
      </c>
      <c r="C75" s="20" t="s">
        <v>174</v>
      </c>
      <c r="D75" s="20">
        <v>9</v>
      </c>
      <c r="E75" s="20"/>
      <c r="F75" s="20"/>
      <c r="G75" s="20"/>
      <c r="H75" s="20">
        <v>280</v>
      </c>
      <c r="I75" s="20">
        <v>175</v>
      </c>
      <c r="J75" s="20"/>
      <c r="K75" s="20">
        <v>222</v>
      </c>
      <c r="L75" s="20"/>
      <c r="M75" s="20">
        <v>677</v>
      </c>
      <c r="N75" s="21">
        <v>20.39290989660266</v>
      </c>
      <c r="O75" s="20" t="s">
        <v>267</v>
      </c>
      <c r="P75" s="20">
        <f t="shared" si="31"/>
        <v>222</v>
      </c>
      <c r="Q75" s="20">
        <f t="shared" si="32"/>
        <v>280</v>
      </c>
      <c r="R75" s="20">
        <f t="shared" si="33"/>
        <v>175</v>
      </c>
      <c r="S75" s="20">
        <f t="shared" si="34"/>
        <v>0</v>
      </c>
      <c r="T75" s="20">
        <f t="shared" si="35"/>
        <v>677</v>
      </c>
      <c r="U75" s="23">
        <f t="shared" si="36"/>
        <v>0.32791728212703103</v>
      </c>
      <c r="V75" s="23">
        <f t="shared" si="37"/>
        <v>0.41358936484490399</v>
      </c>
      <c r="W75" s="23">
        <f t="shared" si="38"/>
        <v>0.25849335302806498</v>
      </c>
      <c r="X75" s="23">
        <f t="shared" si="39"/>
        <v>0</v>
      </c>
      <c r="Y75" s="21">
        <f t="shared" si="40"/>
        <v>20.39290989660266</v>
      </c>
    </row>
    <row r="76" spans="1:25" x14ac:dyDescent="0.25">
      <c r="A76" s="20" t="s">
        <v>281</v>
      </c>
      <c r="B76" s="20" t="s">
        <v>282</v>
      </c>
      <c r="C76" s="20" t="s">
        <v>176</v>
      </c>
      <c r="D76" s="20">
        <v>1</v>
      </c>
      <c r="E76" s="20"/>
      <c r="F76" s="20"/>
      <c r="G76" s="20">
        <v>1</v>
      </c>
      <c r="H76" s="20">
        <v>227</v>
      </c>
      <c r="I76" s="20">
        <v>114</v>
      </c>
      <c r="J76" s="20">
        <v>5</v>
      </c>
      <c r="K76" s="20">
        <v>33</v>
      </c>
      <c r="L76" s="20"/>
      <c r="M76" s="20">
        <v>380</v>
      </c>
      <c r="N76" s="21">
        <v>71.255263157894731</v>
      </c>
      <c r="O76" s="20" t="s">
        <v>267</v>
      </c>
      <c r="P76" s="20">
        <f t="shared" ref="P76:P83" si="41">K76</f>
        <v>33</v>
      </c>
      <c r="Q76" s="20">
        <f t="shared" ref="Q76:R83" si="42">H76</f>
        <v>227</v>
      </c>
      <c r="R76" s="20">
        <f t="shared" si="42"/>
        <v>114</v>
      </c>
      <c r="S76" s="20">
        <f t="shared" ref="S76:S83" si="43">M76-SUM(P76:R76)</f>
        <v>6</v>
      </c>
      <c r="T76" s="20">
        <f t="shared" ref="T76:T83" si="44">SUM(P76:S76)</f>
        <v>380</v>
      </c>
      <c r="U76" s="23">
        <f t="shared" ref="U76:U83" si="45">P76/M76</f>
        <v>8.6842105263157901E-2</v>
      </c>
      <c r="V76" s="23">
        <f t="shared" ref="V76:V83" si="46">Q76/M76</f>
        <v>0.59736842105263155</v>
      </c>
      <c r="W76" s="23">
        <f t="shared" ref="W76:W83" si="47">R76/M76</f>
        <v>0.3</v>
      </c>
      <c r="X76" s="23">
        <f t="shared" ref="X76:X83" si="48">S76/M76</f>
        <v>1.5789473684210527E-2</v>
      </c>
      <c r="Y76" s="21">
        <f t="shared" ref="Y76:Y83" si="49">N76</f>
        <v>71.255263157894731</v>
      </c>
    </row>
    <row r="77" spans="1:25" x14ac:dyDescent="0.25">
      <c r="A77" s="20" t="s">
        <v>281</v>
      </c>
      <c r="B77" s="20" t="s">
        <v>282</v>
      </c>
      <c r="C77" s="20" t="s">
        <v>176</v>
      </c>
      <c r="D77" s="20">
        <v>2</v>
      </c>
      <c r="E77" s="20"/>
      <c r="F77" s="20"/>
      <c r="G77" s="20"/>
      <c r="H77" s="20">
        <v>198</v>
      </c>
      <c r="I77" s="20">
        <v>106</v>
      </c>
      <c r="J77" s="20">
        <v>2</v>
      </c>
      <c r="K77" s="20">
        <v>74</v>
      </c>
      <c r="L77" s="20"/>
      <c r="M77" s="20">
        <v>380</v>
      </c>
      <c r="N77" s="21">
        <v>66.323684210526309</v>
      </c>
      <c r="O77" s="20" t="s">
        <v>267</v>
      </c>
      <c r="P77" s="20">
        <f t="shared" si="41"/>
        <v>74</v>
      </c>
      <c r="Q77" s="20">
        <f t="shared" si="42"/>
        <v>198</v>
      </c>
      <c r="R77" s="20">
        <f t="shared" si="42"/>
        <v>106</v>
      </c>
      <c r="S77" s="20">
        <f t="shared" si="43"/>
        <v>2</v>
      </c>
      <c r="T77" s="20">
        <f t="shared" si="44"/>
        <v>380</v>
      </c>
      <c r="U77" s="23">
        <f t="shared" si="45"/>
        <v>0.19473684210526315</v>
      </c>
      <c r="V77" s="23">
        <f t="shared" si="46"/>
        <v>0.52105263157894732</v>
      </c>
      <c r="W77" s="23">
        <f t="shared" si="47"/>
        <v>0.27894736842105261</v>
      </c>
      <c r="X77" s="23">
        <f t="shared" si="48"/>
        <v>5.263157894736842E-3</v>
      </c>
      <c r="Y77" s="21">
        <f t="shared" si="49"/>
        <v>66.323684210526309</v>
      </c>
    </row>
    <row r="78" spans="1:25" x14ac:dyDescent="0.25">
      <c r="A78" s="20" t="s">
        <v>281</v>
      </c>
      <c r="B78" s="20" t="s">
        <v>282</v>
      </c>
      <c r="C78" s="20" t="s">
        <v>176</v>
      </c>
      <c r="D78" s="20">
        <v>3</v>
      </c>
      <c r="E78" s="20"/>
      <c r="F78" s="20"/>
      <c r="G78" s="20">
        <v>1</v>
      </c>
      <c r="H78" s="20">
        <v>227</v>
      </c>
      <c r="I78" s="20">
        <v>113</v>
      </c>
      <c r="J78" s="20">
        <v>4</v>
      </c>
      <c r="K78" s="20">
        <v>35</v>
      </c>
      <c r="L78" s="20"/>
      <c r="M78" s="20">
        <v>380</v>
      </c>
      <c r="N78" s="21">
        <v>59.734210526315792</v>
      </c>
      <c r="O78" s="20" t="s">
        <v>267</v>
      </c>
      <c r="P78" s="20">
        <f t="shared" si="41"/>
        <v>35</v>
      </c>
      <c r="Q78" s="20">
        <f t="shared" si="42"/>
        <v>227</v>
      </c>
      <c r="R78" s="20">
        <f t="shared" si="42"/>
        <v>113</v>
      </c>
      <c r="S78" s="20">
        <f t="shared" si="43"/>
        <v>5</v>
      </c>
      <c r="T78" s="20">
        <f t="shared" si="44"/>
        <v>380</v>
      </c>
      <c r="U78" s="23">
        <f t="shared" si="45"/>
        <v>9.2105263157894732E-2</v>
      </c>
      <c r="V78" s="23">
        <f t="shared" si="46"/>
        <v>0.59736842105263155</v>
      </c>
      <c r="W78" s="23">
        <f t="shared" si="47"/>
        <v>0.29736842105263156</v>
      </c>
      <c r="X78" s="23">
        <f t="shared" si="48"/>
        <v>1.3157894736842105E-2</v>
      </c>
      <c r="Y78" s="21">
        <f t="shared" si="49"/>
        <v>59.734210526315792</v>
      </c>
    </row>
    <row r="79" spans="1:25" x14ac:dyDescent="0.25">
      <c r="A79" s="20" t="s">
        <v>281</v>
      </c>
      <c r="B79" s="20" t="s">
        <v>282</v>
      </c>
      <c r="C79" s="20" t="s">
        <v>176</v>
      </c>
      <c r="D79" s="20">
        <v>4</v>
      </c>
      <c r="E79" s="20"/>
      <c r="F79" s="20"/>
      <c r="G79" s="20"/>
      <c r="H79" s="20">
        <v>450</v>
      </c>
      <c r="I79" s="20">
        <v>182</v>
      </c>
      <c r="J79" s="20">
        <v>1</v>
      </c>
      <c r="K79" s="20">
        <v>56</v>
      </c>
      <c r="L79" s="20"/>
      <c r="M79" s="20">
        <v>689</v>
      </c>
      <c r="N79" s="21">
        <v>52.403483309143688</v>
      </c>
      <c r="O79" s="20" t="s">
        <v>267</v>
      </c>
      <c r="P79" s="20">
        <f t="shared" si="41"/>
        <v>56</v>
      </c>
      <c r="Q79" s="20">
        <f t="shared" si="42"/>
        <v>450</v>
      </c>
      <c r="R79" s="20">
        <f t="shared" si="42"/>
        <v>182</v>
      </c>
      <c r="S79" s="20">
        <f t="shared" si="43"/>
        <v>1</v>
      </c>
      <c r="T79" s="20">
        <f t="shared" si="44"/>
        <v>689</v>
      </c>
      <c r="U79" s="23">
        <f t="shared" si="45"/>
        <v>8.1277213352685049E-2</v>
      </c>
      <c r="V79" s="23">
        <f t="shared" si="46"/>
        <v>0.65312046444121918</v>
      </c>
      <c r="W79" s="23">
        <f t="shared" si="47"/>
        <v>0.26415094339622641</v>
      </c>
      <c r="X79" s="23">
        <f t="shared" si="48"/>
        <v>1.4513788098693759E-3</v>
      </c>
      <c r="Y79" s="21">
        <f t="shared" si="49"/>
        <v>52.403483309143688</v>
      </c>
    </row>
    <row r="80" spans="1:25" x14ac:dyDescent="0.25">
      <c r="A80" s="20" t="s">
        <v>281</v>
      </c>
      <c r="B80" s="20" t="s">
        <v>282</v>
      </c>
      <c r="C80" s="20" t="s">
        <v>176</v>
      </c>
      <c r="D80" s="20">
        <v>5</v>
      </c>
      <c r="E80" s="20"/>
      <c r="F80" s="20"/>
      <c r="G80" s="20"/>
      <c r="H80" s="20">
        <v>424</v>
      </c>
      <c r="I80" s="20">
        <v>172</v>
      </c>
      <c r="J80" s="20">
        <v>3</v>
      </c>
      <c r="K80" s="20">
        <v>90</v>
      </c>
      <c r="L80" s="20"/>
      <c r="M80" s="20">
        <v>689</v>
      </c>
      <c r="N80" s="21">
        <v>44.338171262699568</v>
      </c>
      <c r="O80" s="20" t="s">
        <v>267</v>
      </c>
      <c r="P80" s="20">
        <f t="shared" si="41"/>
        <v>90</v>
      </c>
      <c r="Q80" s="20">
        <f t="shared" si="42"/>
        <v>424</v>
      </c>
      <c r="R80" s="20">
        <f t="shared" si="42"/>
        <v>172</v>
      </c>
      <c r="S80" s="20">
        <f t="shared" si="43"/>
        <v>3</v>
      </c>
      <c r="T80" s="20">
        <f t="shared" si="44"/>
        <v>689</v>
      </c>
      <c r="U80" s="23">
        <f t="shared" si="45"/>
        <v>0.13062409288824384</v>
      </c>
      <c r="V80" s="23">
        <f t="shared" si="46"/>
        <v>0.61538461538461542</v>
      </c>
      <c r="W80" s="23">
        <f t="shared" si="47"/>
        <v>0.24963715529753266</v>
      </c>
      <c r="X80" s="23">
        <f t="shared" si="48"/>
        <v>4.3541364296081275E-3</v>
      </c>
      <c r="Y80" s="21">
        <f t="shared" si="49"/>
        <v>44.338171262699568</v>
      </c>
    </row>
    <row r="81" spans="1:25" x14ac:dyDescent="0.25">
      <c r="A81" s="20" t="s">
        <v>281</v>
      </c>
      <c r="B81" s="20" t="s">
        <v>282</v>
      </c>
      <c r="C81" s="20" t="s">
        <v>176</v>
      </c>
      <c r="D81" s="20">
        <v>6</v>
      </c>
      <c r="E81" s="20"/>
      <c r="F81" s="20">
        <v>1</v>
      </c>
      <c r="G81" s="20"/>
      <c r="H81" s="20">
        <v>385</v>
      </c>
      <c r="I81" s="20">
        <v>180</v>
      </c>
      <c r="J81" s="20">
        <v>1</v>
      </c>
      <c r="K81" s="20">
        <v>123</v>
      </c>
      <c r="L81" s="20"/>
      <c r="M81" s="20">
        <v>690</v>
      </c>
      <c r="N81" s="21">
        <v>37.198550724637684</v>
      </c>
      <c r="O81" s="20" t="s">
        <v>267</v>
      </c>
      <c r="P81" s="20">
        <f t="shared" si="41"/>
        <v>123</v>
      </c>
      <c r="Q81" s="20">
        <f t="shared" si="42"/>
        <v>385</v>
      </c>
      <c r="R81" s="20">
        <f t="shared" si="42"/>
        <v>180</v>
      </c>
      <c r="S81" s="20">
        <f t="shared" si="43"/>
        <v>2</v>
      </c>
      <c r="T81" s="20">
        <f t="shared" si="44"/>
        <v>690</v>
      </c>
      <c r="U81" s="23">
        <f t="shared" si="45"/>
        <v>0.17826086956521739</v>
      </c>
      <c r="V81" s="23">
        <f t="shared" si="46"/>
        <v>0.55797101449275366</v>
      </c>
      <c r="W81" s="23">
        <f t="shared" si="47"/>
        <v>0.2608695652173913</v>
      </c>
      <c r="X81" s="23">
        <f t="shared" si="48"/>
        <v>2.8985507246376812E-3</v>
      </c>
      <c r="Y81" s="21">
        <f t="shared" si="49"/>
        <v>37.198550724637684</v>
      </c>
    </row>
    <row r="82" spans="1:25" x14ac:dyDescent="0.25">
      <c r="A82" s="20" t="s">
        <v>281</v>
      </c>
      <c r="B82" s="20" t="s">
        <v>282</v>
      </c>
      <c r="C82" s="20" t="s">
        <v>176</v>
      </c>
      <c r="D82" s="20">
        <v>7</v>
      </c>
      <c r="E82" s="20"/>
      <c r="F82" s="20"/>
      <c r="G82" s="20">
        <v>2</v>
      </c>
      <c r="H82" s="20">
        <v>354</v>
      </c>
      <c r="I82" s="20">
        <v>198</v>
      </c>
      <c r="J82" s="20">
        <v>1</v>
      </c>
      <c r="K82" s="20">
        <v>135</v>
      </c>
      <c r="L82" s="20"/>
      <c r="M82" s="20">
        <v>690</v>
      </c>
      <c r="N82" s="21">
        <v>29.93768115942029</v>
      </c>
      <c r="O82" s="20" t="s">
        <v>267</v>
      </c>
      <c r="P82" s="20">
        <f t="shared" si="41"/>
        <v>135</v>
      </c>
      <c r="Q82" s="20">
        <f t="shared" si="42"/>
        <v>354</v>
      </c>
      <c r="R82" s="20">
        <f t="shared" si="42"/>
        <v>198</v>
      </c>
      <c r="S82" s="20">
        <f t="shared" si="43"/>
        <v>3</v>
      </c>
      <c r="T82" s="20">
        <f t="shared" si="44"/>
        <v>690</v>
      </c>
      <c r="U82" s="23">
        <f t="shared" si="45"/>
        <v>0.19565217391304349</v>
      </c>
      <c r="V82" s="23">
        <f t="shared" si="46"/>
        <v>0.5130434782608696</v>
      </c>
      <c r="W82" s="23">
        <f t="shared" si="47"/>
        <v>0.28695652173913044</v>
      </c>
      <c r="X82" s="23">
        <f t="shared" si="48"/>
        <v>4.3478260869565218E-3</v>
      </c>
      <c r="Y82" s="21">
        <f t="shared" si="49"/>
        <v>29.93768115942029</v>
      </c>
    </row>
    <row r="83" spans="1:25" x14ac:dyDescent="0.25">
      <c r="A83" s="20" t="s">
        <v>281</v>
      </c>
      <c r="B83" s="20" t="s">
        <v>282</v>
      </c>
      <c r="C83" s="20" t="s">
        <v>176</v>
      </c>
      <c r="D83" s="20">
        <v>8</v>
      </c>
      <c r="E83" s="20"/>
      <c r="F83" s="20"/>
      <c r="G83" s="20"/>
      <c r="H83" s="20">
        <v>333</v>
      </c>
      <c r="I83" s="20">
        <v>227</v>
      </c>
      <c r="J83" s="20"/>
      <c r="K83" s="20">
        <v>130</v>
      </c>
      <c r="L83" s="20"/>
      <c r="M83" s="20">
        <v>690</v>
      </c>
      <c r="N83" s="21">
        <v>22.078260869565216</v>
      </c>
      <c r="O83" s="20" t="s">
        <v>267</v>
      </c>
      <c r="P83" s="20">
        <f t="shared" si="41"/>
        <v>130</v>
      </c>
      <c r="Q83" s="20">
        <f t="shared" si="42"/>
        <v>333</v>
      </c>
      <c r="R83" s="20">
        <f t="shared" si="42"/>
        <v>227</v>
      </c>
      <c r="S83" s="20">
        <f t="shared" si="43"/>
        <v>0</v>
      </c>
      <c r="T83" s="20">
        <f t="shared" si="44"/>
        <v>690</v>
      </c>
      <c r="U83" s="23">
        <f t="shared" si="45"/>
        <v>0.18840579710144928</v>
      </c>
      <c r="V83" s="23">
        <f t="shared" si="46"/>
        <v>0.4826086956521739</v>
      </c>
      <c r="W83" s="23">
        <f t="shared" si="47"/>
        <v>0.32898550724637682</v>
      </c>
      <c r="X83" s="23">
        <f t="shared" si="48"/>
        <v>0</v>
      </c>
      <c r="Y83" s="21">
        <f t="shared" si="49"/>
        <v>22.078260869565216</v>
      </c>
    </row>
    <row r="84" spans="1:25" x14ac:dyDescent="0.25">
      <c r="A84" s="20" t="s">
        <v>281</v>
      </c>
      <c r="B84" s="20" t="s">
        <v>282</v>
      </c>
      <c r="C84" s="20" t="s">
        <v>177</v>
      </c>
      <c r="D84" s="20">
        <v>1</v>
      </c>
      <c r="E84" s="20"/>
      <c r="F84" s="20"/>
      <c r="G84" s="20"/>
      <c r="H84" s="20">
        <v>140</v>
      </c>
      <c r="I84" s="20">
        <v>146</v>
      </c>
      <c r="J84" s="20">
        <v>2</v>
      </c>
      <c r="K84" s="20">
        <v>92</v>
      </c>
      <c r="L84" s="20"/>
      <c r="M84" s="20">
        <v>380</v>
      </c>
      <c r="N84" s="21">
        <v>59.952631578947368</v>
      </c>
      <c r="O84" s="20" t="s">
        <v>267</v>
      </c>
      <c r="P84" s="20">
        <f t="shared" si="31"/>
        <v>92</v>
      </c>
      <c r="Q84" s="20">
        <f t="shared" si="32"/>
        <v>140</v>
      </c>
      <c r="R84" s="20">
        <f t="shared" si="33"/>
        <v>146</v>
      </c>
      <c r="S84" s="20">
        <f t="shared" si="34"/>
        <v>2</v>
      </c>
      <c r="T84" s="20">
        <f t="shared" si="35"/>
        <v>380</v>
      </c>
      <c r="U84" s="23">
        <f t="shared" si="36"/>
        <v>0.24210526315789474</v>
      </c>
      <c r="V84" s="23">
        <f t="shared" si="37"/>
        <v>0.36842105263157893</v>
      </c>
      <c r="W84" s="23">
        <f t="shared" si="38"/>
        <v>0.38421052631578945</v>
      </c>
      <c r="X84" s="23">
        <f t="shared" si="39"/>
        <v>5.263157894736842E-3</v>
      </c>
      <c r="Y84" s="21">
        <f t="shared" si="40"/>
        <v>59.952631578947368</v>
      </c>
    </row>
    <row r="85" spans="1:25" x14ac:dyDescent="0.25">
      <c r="A85" s="20" t="s">
        <v>281</v>
      </c>
      <c r="B85" s="20" t="s">
        <v>282</v>
      </c>
      <c r="C85" s="20" t="s">
        <v>177</v>
      </c>
      <c r="D85" s="20">
        <v>2</v>
      </c>
      <c r="E85" s="20"/>
      <c r="F85" s="20"/>
      <c r="G85" s="20"/>
      <c r="H85" s="20">
        <v>177</v>
      </c>
      <c r="I85" s="20">
        <v>187</v>
      </c>
      <c r="J85" s="20">
        <v>3</v>
      </c>
      <c r="K85" s="20">
        <v>190</v>
      </c>
      <c r="L85" s="20"/>
      <c r="M85" s="20">
        <v>557</v>
      </c>
      <c r="N85" s="21">
        <v>40.305206463195688</v>
      </c>
      <c r="O85" s="20" t="s">
        <v>267</v>
      </c>
      <c r="P85" s="20">
        <f t="shared" si="31"/>
        <v>190</v>
      </c>
      <c r="Q85" s="20">
        <f t="shared" si="32"/>
        <v>177</v>
      </c>
      <c r="R85" s="20">
        <f t="shared" si="33"/>
        <v>187</v>
      </c>
      <c r="S85" s="20">
        <f t="shared" si="34"/>
        <v>3</v>
      </c>
      <c r="T85" s="20">
        <f t="shared" si="35"/>
        <v>557</v>
      </c>
      <c r="U85" s="23">
        <f t="shared" si="36"/>
        <v>0.34111310592459604</v>
      </c>
      <c r="V85" s="23">
        <f t="shared" si="37"/>
        <v>0.31777378815080792</v>
      </c>
      <c r="W85" s="23">
        <f t="shared" si="38"/>
        <v>0.3357271095152603</v>
      </c>
      <c r="X85" s="23">
        <f t="shared" si="39"/>
        <v>5.3859964093357273E-3</v>
      </c>
      <c r="Y85" s="21">
        <f t="shared" si="40"/>
        <v>40.305206463195688</v>
      </c>
    </row>
    <row r="86" spans="1:25" x14ac:dyDescent="0.25">
      <c r="A86" s="20" t="s">
        <v>281</v>
      </c>
      <c r="B86" s="20" t="s">
        <v>282</v>
      </c>
      <c r="C86" s="20" t="s">
        <v>177</v>
      </c>
      <c r="D86" s="20">
        <v>3</v>
      </c>
      <c r="E86" s="20"/>
      <c r="F86" s="20"/>
      <c r="G86" s="20"/>
      <c r="H86" s="20">
        <v>155</v>
      </c>
      <c r="I86" s="20">
        <v>243</v>
      </c>
      <c r="J86" s="20">
        <v>1</v>
      </c>
      <c r="K86" s="20">
        <v>159</v>
      </c>
      <c r="L86" s="20"/>
      <c r="M86" s="20">
        <v>558</v>
      </c>
      <c r="N86" s="21">
        <v>25.707885304659499</v>
      </c>
      <c r="O86" s="20" t="s">
        <v>267</v>
      </c>
      <c r="P86" s="20">
        <f t="shared" si="31"/>
        <v>159</v>
      </c>
      <c r="Q86" s="20">
        <f t="shared" si="32"/>
        <v>155</v>
      </c>
      <c r="R86" s="20">
        <f t="shared" si="33"/>
        <v>243</v>
      </c>
      <c r="S86" s="20">
        <f t="shared" si="34"/>
        <v>1</v>
      </c>
      <c r="T86" s="20">
        <f t="shared" si="35"/>
        <v>558</v>
      </c>
      <c r="U86" s="23">
        <f t="shared" si="36"/>
        <v>0.28494623655913981</v>
      </c>
      <c r="V86" s="23">
        <f t="shared" si="37"/>
        <v>0.27777777777777779</v>
      </c>
      <c r="W86" s="23">
        <f t="shared" si="38"/>
        <v>0.43548387096774194</v>
      </c>
      <c r="X86" s="23">
        <f t="shared" si="39"/>
        <v>1.7921146953405018E-3</v>
      </c>
      <c r="Y86" s="21">
        <f t="shared" si="40"/>
        <v>25.707885304659499</v>
      </c>
    </row>
    <row r="87" spans="1:25" x14ac:dyDescent="0.25">
      <c r="A87" s="20" t="s">
        <v>281</v>
      </c>
      <c r="B87" s="20" t="s">
        <v>282</v>
      </c>
      <c r="C87" s="20" t="s">
        <v>178</v>
      </c>
      <c r="D87" s="20">
        <v>1</v>
      </c>
      <c r="E87" s="20"/>
      <c r="F87" s="20"/>
      <c r="G87" s="20"/>
      <c r="H87" s="20">
        <v>202</v>
      </c>
      <c r="I87" s="20">
        <v>159</v>
      </c>
      <c r="J87" s="20">
        <v>3</v>
      </c>
      <c r="K87" s="20">
        <v>6</v>
      </c>
      <c r="L87" s="20"/>
      <c r="M87" s="20">
        <v>370</v>
      </c>
      <c r="N87" s="21">
        <v>70.64594594594594</v>
      </c>
      <c r="O87" s="20" t="s">
        <v>267</v>
      </c>
      <c r="P87" s="20">
        <f t="shared" si="31"/>
        <v>6</v>
      </c>
      <c r="Q87" s="20">
        <f t="shared" si="32"/>
        <v>202</v>
      </c>
      <c r="R87" s="20">
        <f t="shared" si="33"/>
        <v>159</v>
      </c>
      <c r="S87" s="20">
        <f t="shared" si="34"/>
        <v>3</v>
      </c>
      <c r="T87" s="20">
        <f t="shared" si="35"/>
        <v>370</v>
      </c>
      <c r="U87" s="23">
        <f t="shared" si="36"/>
        <v>1.6216216216216217E-2</v>
      </c>
      <c r="V87" s="23">
        <f t="shared" si="37"/>
        <v>0.54594594594594592</v>
      </c>
      <c r="W87" s="23">
        <f t="shared" si="38"/>
        <v>0.42972972972972973</v>
      </c>
      <c r="X87" s="23">
        <f t="shared" si="39"/>
        <v>8.1081081081081086E-3</v>
      </c>
      <c r="Y87" s="21">
        <f t="shared" si="40"/>
        <v>70.64594594594594</v>
      </c>
    </row>
    <row r="88" spans="1:25" x14ac:dyDescent="0.25">
      <c r="A88" s="20" t="s">
        <v>281</v>
      </c>
      <c r="B88" s="20" t="s">
        <v>282</v>
      </c>
      <c r="C88" s="20" t="s">
        <v>178</v>
      </c>
      <c r="D88" s="20">
        <v>2</v>
      </c>
      <c r="E88" s="20"/>
      <c r="F88" s="20"/>
      <c r="G88" s="20">
        <v>1</v>
      </c>
      <c r="H88" s="20">
        <v>257</v>
      </c>
      <c r="I88" s="20">
        <v>99</v>
      </c>
      <c r="J88" s="20">
        <v>5</v>
      </c>
      <c r="K88" s="20">
        <v>8</v>
      </c>
      <c r="L88" s="20"/>
      <c r="M88" s="20">
        <v>370</v>
      </c>
      <c r="N88" s="21">
        <v>56.967567567567571</v>
      </c>
      <c r="O88" s="20" t="s">
        <v>267</v>
      </c>
      <c r="P88" s="20">
        <f t="shared" si="31"/>
        <v>8</v>
      </c>
      <c r="Q88" s="20">
        <f t="shared" si="32"/>
        <v>257</v>
      </c>
      <c r="R88" s="20">
        <f t="shared" si="33"/>
        <v>99</v>
      </c>
      <c r="S88" s="20">
        <f t="shared" si="34"/>
        <v>6</v>
      </c>
      <c r="T88" s="20">
        <f t="shared" si="35"/>
        <v>370</v>
      </c>
      <c r="U88" s="23">
        <f t="shared" si="36"/>
        <v>2.1621621621621623E-2</v>
      </c>
      <c r="V88" s="23">
        <f t="shared" si="37"/>
        <v>0.69459459459459461</v>
      </c>
      <c r="W88" s="23">
        <f t="shared" si="38"/>
        <v>0.26756756756756755</v>
      </c>
      <c r="X88" s="23">
        <f t="shared" si="39"/>
        <v>1.6216216216216217E-2</v>
      </c>
      <c r="Y88" s="21">
        <f t="shared" si="40"/>
        <v>56.967567567567571</v>
      </c>
    </row>
    <row r="89" spans="1:25" x14ac:dyDescent="0.25">
      <c r="A89" s="20" t="s">
        <v>281</v>
      </c>
      <c r="B89" s="20" t="s">
        <v>282</v>
      </c>
      <c r="C89" s="20" t="s">
        <v>178</v>
      </c>
      <c r="D89" s="20">
        <v>3</v>
      </c>
      <c r="E89" s="20"/>
      <c r="F89" s="20">
        <v>1</v>
      </c>
      <c r="G89" s="20"/>
      <c r="H89" s="20">
        <v>430</v>
      </c>
      <c r="I89" s="20">
        <v>198</v>
      </c>
      <c r="J89" s="20">
        <v>3</v>
      </c>
      <c r="K89" s="20">
        <v>24</v>
      </c>
      <c r="L89" s="20"/>
      <c r="M89" s="20">
        <v>656</v>
      </c>
      <c r="N89" s="21">
        <v>41.269817073170735</v>
      </c>
      <c r="O89" s="20" t="s">
        <v>267</v>
      </c>
      <c r="P89" s="20">
        <f t="shared" si="31"/>
        <v>24</v>
      </c>
      <c r="Q89" s="20">
        <f t="shared" si="32"/>
        <v>430</v>
      </c>
      <c r="R89" s="20">
        <f t="shared" si="33"/>
        <v>198</v>
      </c>
      <c r="S89" s="20">
        <f t="shared" si="34"/>
        <v>4</v>
      </c>
      <c r="T89" s="20">
        <f t="shared" si="35"/>
        <v>656</v>
      </c>
      <c r="U89" s="23">
        <f t="shared" si="36"/>
        <v>3.6585365853658534E-2</v>
      </c>
      <c r="V89" s="23">
        <f t="shared" si="37"/>
        <v>0.65548780487804881</v>
      </c>
      <c r="W89" s="23">
        <f t="shared" si="38"/>
        <v>0.30182926829268292</v>
      </c>
      <c r="X89" s="23">
        <f t="shared" si="39"/>
        <v>6.0975609756097563E-3</v>
      </c>
      <c r="Y89" s="21">
        <f t="shared" si="40"/>
        <v>41.269817073170735</v>
      </c>
    </row>
    <row r="90" spans="1:25" x14ac:dyDescent="0.25">
      <c r="A90" s="20" t="s">
        <v>281</v>
      </c>
      <c r="B90" s="20" t="s">
        <v>282</v>
      </c>
      <c r="C90" s="20" t="s">
        <v>178</v>
      </c>
      <c r="D90" s="20">
        <v>4</v>
      </c>
      <c r="E90" s="20"/>
      <c r="F90" s="20"/>
      <c r="G90" s="20"/>
      <c r="H90" s="20">
        <v>406</v>
      </c>
      <c r="I90" s="20">
        <v>212</v>
      </c>
      <c r="J90" s="20">
        <v>3</v>
      </c>
      <c r="K90" s="20">
        <v>36</v>
      </c>
      <c r="L90" s="20"/>
      <c r="M90" s="20">
        <v>657</v>
      </c>
      <c r="N90" s="21">
        <v>25.496194824961947</v>
      </c>
      <c r="O90" s="20" t="s">
        <v>267</v>
      </c>
      <c r="P90" s="20">
        <f t="shared" si="31"/>
        <v>36</v>
      </c>
      <c r="Q90" s="20">
        <f t="shared" si="32"/>
        <v>406</v>
      </c>
      <c r="R90" s="20">
        <f t="shared" si="33"/>
        <v>212</v>
      </c>
      <c r="S90" s="20">
        <f t="shared" si="34"/>
        <v>3</v>
      </c>
      <c r="T90" s="20">
        <f t="shared" si="35"/>
        <v>657</v>
      </c>
      <c r="U90" s="23">
        <f t="shared" si="36"/>
        <v>5.4794520547945202E-2</v>
      </c>
      <c r="V90" s="23">
        <f t="shared" si="37"/>
        <v>0.61796042617960423</v>
      </c>
      <c r="W90" s="23">
        <f t="shared" si="38"/>
        <v>0.32267884322678841</v>
      </c>
      <c r="X90" s="23">
        <f t="shared" si="39"/>
        <v>4.5662100456621002E-3</v>
      </c>
      <c r="Y90" s="21">
        <f t="shared" si="40"/>
        <v>25.496194824961947</v>
      </c>
    </row>
    <row r="91" spans="1:25" x14ac:dyDescent="0.25">
      <c r="A91" s="20" t="s">
        <v>283</v>
      </c>
      <c r="B91" s="20" t="s">
        <v>284</v>
      </c>
      <c r="C91" s="20" t="s">
        <v>180</v>
      </c>
      <c r="D91" s="20">
        <v>1</v>
      </c>
      <c r="E91" s="20"/>
      <c r="F91" s="20"/>
      <c r="G91" s="20"/>
      <c r="H91" s="20">
        <v>204</v>
      </c>
      <c r="I91" s="20">
        <v>44</v>
      </c>
      <c r="J91" s="20">
        <v>1</v>
      </c>
      <c r="K91" s="20">
        <v>14</v>
      </c>
      <c r="L91" s="20"/>
      <c r="M91" s="20">
        <v>263</v>
      </c>
      <c r="N91" s="21">
        <v>60.326996197718628</v>
      </c>
      <c r="O91" s="20" t="s">
        <v>267</v>
      </c>
      <c r="P91" s="20">
        <f t="shared" si="31"/>
        <v>14</v>
      </c>
      <c r="Q91" s="20">
        <f t="shared" si="32"/>
        <v>204</v>
      </c>
      <c r="R91" s="20">
        <f t="shared" si="33"/>
        <v>44</v>
      </c>
      <c r="S91" s="20">
        <f t="shared" si="34"/>
        <v>1</v>
      </c>
      <c r="T91" s="20">
        <f t="shared" si="35"/>
        <v>263</v>
      </c>
      <c r="U91" s="23">
        <f t="shared" si="36"/>
        <v>5.3231939163498096E-2</v>
      </c>
      <c r="V91" s="23">
        <f t="shared" si="37"/>
        <v>0.7756653992395437</v>
      </c>
      <c r="W91" s="23">
        <f t="shared" si="38"/>
        <v>0.16730038022813687</v>
      </c>
      <c r="X91" s="23">
        <f t="shared" si="39"/>
        <v>3.8022813688212928E-3</v>
      </c>
      <c r="Y91" s="21">
        <f t="shared" si="40"/>
        <v>60.326996197718628</v>
      </c>
    </row>
    <row r="92" spans="1:25" x14ac:dyDescent="0.25">
      <c r="A92" s="20" t="s">
        <v>285</v>
      </c>
      <c r="B92" s="20" t="s">
        <v>286</v>
      </c>
      <c r="C92" s="20" t="s">
        <v>182</v>
      </c>
      <c r="D92" s="20">
        <v>1</v>
      </c>
      <c r="E92" s="20"/>
      <c r="F92" s="20"/>
      <c r="G92" s="20"/>
      <c r="H92" s="20">
        <v>281</v>
      </c>
      <c r="I92" s="20">
        <v>18</v>
      </c>
      <c r="J92" s="20"/>
      <c r="K92" s="20">
        <v>1</v>
      </c>
      <c r="L92" s="20"/>
      <c r="M92" s="20">
        <v>300</v>
      </c>
      <c r="N92" s="21">
        <v>82.336666666666673</v>
      </c>
      <c r="O92" s="20" t="s">
        <v>267</v>
      </c>
      <c r="P92" s="20">
        <f t="shared" si="31"/>
        <v>1</v>
      </c>
      <c r="Q92" s="20">
        <f t="shared" si="32"/>
        <v>281</v>
      </c>
      <c r="R92" s="20">
        <f t="shared" si="33"/>
        <v>18</v>
      </c>
      <c r="S92" s="20">
        <f t="shared" si="34"/>
        <v>0</v>
      </c>
      <c r="T92" s="20">
        <f t="shared" si="35"/>
        <v>300</v>
      </c>
      <c r="U92" s="23">
        <f t="shared" si="36"/>
        <v>3.3333333333333335E-3</v>
      </c>
      <c r="V92" s="23">
        <f t="shared" si="37"/>
        <v>0.93666666666666665</v>
      </c>
      <c r="W92" s="23">
        <f t="shared" si="38"/>
        <v>0.06</v>
      </c>
      <c r="X92" s="23">
        <f t="shared" si="39"/>
        <v>0</v>
      </c>
      <c r="Y92" s="21">
        <f t="shared" si="40"/>
        <v>82.336666666666673</v>
      </c>
    </row>
    <row r="93" spans="1:25" x14ac:dyDescent="0.25">
      <c r="A93" s="20" t="s">
        <v>285</v>
      </c>
      <c r="B93" s="20" t="s">
        <v>286</v>
      </c>
      <c r="C93" s="20" t="s">
        <v>182</v>
      </c>
      <c r="D93" s="20">
        <v>2</v>
      </c>
      <c r="E93" s="20"/>
      <c r="F93" s="20"/>
      <c r="G93" s="20"/>
      <c r="H93" s="20">
        <v>308</v>
      </c>
      <c r="I93" s="20">
        <v>6</v>
      </c>
      <c r="J93" s="20">
        <v>1</v>
      </c>
      <c r="K93" s="20">
        <v>5</v>
      </c>
      <c r="L93" s="20"/>
      <c r="M93" s="20">
        <v>320</v>
      </c>
      <c r="N93" s="21">
        <v>68.396874999999994</v>
      </c>
      <c r="O93" s="20" t="s">
        <v>267</v>
      </c>
      <c r="P93" s="20">
        <f t="shared" si="31"/>
        <v>5</v>
      </c>
      <c r="Q93" s="20">
        <f t="shared" si="32"/>
        <v>308</v>
      </c>
      <c r="R93" s="20">
        <f t="shared" si="33"/>
        <v>6</v>
      </c>
      <c r="S93" s="20">
        <f t="shared" si="34"/>
        <v>1</v>
      </c>
      <c r="T93" s="20">
        <f t="shared" si="35"/>
        <v>320</v>
      </c>
      <c r="U93" s="23">
        <f t="shared" si="36"/>
        <v>1.5625E-2</v>
      </c>
      <c r="V93" s="23">
        <f t="shared" si="37"/>
        <v>0.96250000000000002</v>
      </c>
      <c r="W93" s="23">
        <f t="shared" si="38"/>
        <v>1.8749999999999999E-2</v>
      </c>
      <c r="X93" s="23">
        <f t="shared" si="39"/>
        <v>3.1250000000000002E-3</v>
      </c>
      <c r="Y93" s="21">
        <f t="shared" si="40"/>
        <v>68.396874999999994</v>
      </c>
    </row>
    <row r="94" spans="1:25" x14ac:dyDescent="0.25">
      <c r="A94" s="20" t="s">
        <v>285</v>
      </c>
      <c r="B94" s="20" t="s">
        <v>286</v>
      </c>
      <c r="C94" s="20" t="s">
        <v>182</v>
      </c>
      <c r="D94" s="20">
        <v>3</v>
      </c>
      <c r="E94" s="20"/>
      <c r="F94" s="20"/>
      <c r="G94" s="20"/>
      <c r="H94" s="20">
        <v>328</v>
      </c>
      <c r="I94" s="20">
        <v>13</v>
      </c>
      <c r="J94" s="20"/>
      <c r="K94" s="20">
        <v>4</v>
      </c>
      <c r="L94" s="20"/>
      <c r="M94" s="20">
        <v>345</v>
      </c>
      <c r="N94" s="21">
        <v>49.455072463768118</v>
      </c>
      <c r="O94" s="20" t="s">
        <v>267</v>
      </c>
      <c r="P94" s="20">
        <f t="shared" si="31"/>
        <v>4</v>
      </c>
      <c r="Q94" s="20">
        <f t="shared" si="32"/>
        <v>328</v>
      </c>
      <c r="R94" s="20">
        <f t="shared" si="33"/>
        <v>13</v>
      </c>
      <c r="S94" s="20">
        <f t="shared" si="34"/>
        <v>0</v>
      </c>
      <c r="T94" s="20">
        <f t="shared" si="35"/>
        <v>345</v>
      </c>
      <c r="U94" s="23">
        <f t="shared" si="36"/>
        <v>1.1594202898550725E-2</v>
      </c>
      <c r="V94" s="23">
        <f t="shared" si="37"/>
        <v>0.95072463768115945</v>
      </c>
      <c r="W94" s="23">
        <f t="shared" si="38"/>
        <v>3.7681159420289857E-2</v>
      </c>
      <c r="X94" s="23">
        <f t="shared" si="39"/>
        <v>0</v>
      </c>
      <c r="Y94" s="21">
        <f t="shared" si="40"/>
        <v>49.455072463768118</v>
      </c>
    </row>
    <row r="95" spans="1:25" x14ac:dyDescent="0.25">
      <c r="A95" s="20" t="s">
        <v>287</v>
      </c>
      <c r="B95" s="20" t="s">
        <v>288</v>
      </c>
      <c r="C95" s="20" t="s">
        <v>184</v>
      </c>
      <c r="D95" s="20">
        <v>1</v>
      </c>
      <c r="E95" s="20"/>
      <c r="F95" s="20"/>
      <c r="G95" s="20"/>
      <c r="H95" s="20">
        <v>255</v>
      </c>
      <c r="I95" s="20">
        <v>40</v>
      </c>
      <c r="J95" s="20">
        <v>1</v>
      </c>
      <c r="K95" s="20">
        <v>4</v>
      </c>
      <c r="L95" s="20"/>
      <c r="M95" s="20">
        <v>300</v>
      </c>
      <c r="N95" s="21">
        <v>82.126666666666665</v>
      </c>
      <c r="O95" s="20" t="s">
        <v>267</v>
      </c>
      <c r="P95" s="20">
        <f t="shared" si="31"/>
        <v>4</v>
      </c>
      <c r="Q95" s="20">
        <f t="shared" si="32"/>
        <v>255</v>
      </c>
      <c r="R95" s="20">
        <f t="shared" si="33"/>
        <v>40</v>
      </c>
      <c r="S95" s="20">
        <f t="shared" si="34"/>
        <v>1</v>
      </c>
      <c r="T95" s="20">
        <f t="shared" si="35"/>
        <v>300</v>
      </c>
      <c r="U95" s="23">
        <f t="shared" si="36"/>
        <v>1.3333333333333334E-2</v>
      </c>
      <c r="V95" s="23">
        <f t="shared" si="37"/>
        <v>0.85</v>
      </c>
      <c r="W95" s="23">
        <f t="shared" si="38"/>
        <v>0.13333333333333333</v>
      </c>
      <c r="X95" s="23">
        <f t="shared" si="39"/>
        <v>3.3333333333333335E-3</v>
      </c>
      <c r="Y95" s="21">
        <f t="shared" si="40"/>
        <v>82.126666666666665</v>
      </c>
    </row>
    <row r="96" spans="1:25" x14ac:dyDescent="0.25">
      <c r="A96" s="20" t="s">
        <v>287</v>
      </c>
      <c r="B96" s="20" t="s">
        <v>288</v>
      </c>
      <c r="C96" s="20" t="s">
        <v>184</v>
      </c>
      <c r="D96" s="20">
        <v>2</v>
      </c>
      <c r="E96" s="20"/>
      <c r="F96" s="20"/>
      <c r="G96" s="20"/>
      <c r="H96" s="20">
        <v>338</v>
      </c>
      <c r="I96" s="20">
        <v>16</v>
      </c>
      <c r="J96" s="20"/>
      <c r="K96" s="20">
        <v>1</v>
      </c>
      <c r="L96" s="20"/>
      <c r="M96" s="20">
        <v>355</v>
      </c>
      <c r="N96" s="21">
        <v>67.842253521126764</v>
      </c>
      <c r="O96" s="20" t="s">
        <v>267</v>
      </c>
      <c r="P96" s="20">
        <f t="shared" si="31"/>
        <v>1</v>
      </c>
      <c r="Q96" s="20">
        <f t="shared" si="32"/>
        <v>338</v>
      </c>
      <c r="R96" s="20">
        <f t="shared" si="33"/>
        <v>16</v>
      </c>
      <c r="S96" s="20">
        <f t="shared" si="34"/>
        <v>0</v>
      </c>
      <c r="T96" s="20">
        <f t="shared" si="35"/>
        <v>355</v>
      </c>
      <c r="U96" s="23">
        <f t="shared" si="36"/>
        <v>2.8169014084507044E-3</v>
      </c>
      <c r="V96" s="23">
        <f t="shared" si="37"/>
        <v>0.95211267605633798</v>
      </c>
      <c r="W96" s="23">
        <f t="shared" si="38"/>
        <v>4.507042253521127E-2</v>
      </c>
      <c r="X96" s="23">
        <f t="shared" si="39"/>
        <v>0</v>
      </c>
      <c r="Y96" s="21">
        <f t="shared" si="40"/>
        <v>67.842253521126764</v>
      </c>
    </row>
    <row r="97" spans="1:25" x14ac:dyDescent="0.25">
      <c r="A97" s="20" t="s">
        <v>287</v>
      </c>
      <c r="B97" s="20" t="s">
        <v>288</v>
      </c>
      <c r="C97" s="20" t="s">
        <v>184</v>
      </c>
      <c r="D97" s="20">
        <v>3</v>
      </c>
      <c r="E97" s="20"/>
      <c r="F97" s="20"/>
      <c r="G97" s="20"/>
      <c r="H97" s="20">
        <v>308</v>
      </c>
      <c r="I97" s="20">
        <v>38</v>
      </c>
      <c r="J97" s="20"/>
      <c r="K97" s="20">
        <v>9</v>
      </c>
      <c r="L97" s="20"/>
      <c r="M97" s="20">
        <v>355</v>
      </c>
      <c r="N97" s="21">
        <v>50.08450704225352</v>
      </c>
      <c r="O97" s="20" t="s">
        <v>267</v>
      </c>
      <c r="P97" s="20">
        <f t="shared" si="31"/>
        <v>9</v>
      </c>
      <c r="Q97" s="20">
        <f t="shared" si="32"/>
        <v>308</v>
      </c>
      <c r="R97" s="20">
        <f t="shared" si="33"/>
        <v>38</v>
      </c>
      <c r="S97" s="20">
        <f t="shared" si="34"/>
        <v>0</v>
      </c>
      <c r="T97" s="20">
        <f t="shared" si="35"/>
        <v>355</v>
      </c>
      <c r="U97" s="23">
        <f t="shared" si="36"/>
        <v>2.5352112676056339E-2</v>
      </c>
      <c r="V97" s="23">
        <f t="shared" si="37"/>
        <v>0.86760563380281686</v>
      </c>
      <c r="W97" s="23">
        <f t="shared" si="38"/>
        <v>0.10704225352112676</v>
      </c>
      <c r="X97" s="23">
        <f t="shared" si="39"/>
        <v>0</v>
      </c>
      <c r="Y97" s="21">
        <f t="shared" si="40"/>
        <v>50.08450704225352</v>
      </c>
    </row>
    <row r="98" spans="1:25" x14ac:dyDescent="0.25">
      <c r="A98" s="20" t="s">
        <v>289</v>
      </c>
      <c r="B98" s="20" t="s">
        <v>290</v>
      </c>
      <c r="C98" s="20" t="s">
        <v>186</v>
      </c>
      <c r="D98" s="20">
        <v>1</v>
      </c>
      <c r="E98" s="20"/>
      <c r="F98" s="20"/>
      <c r="G98" s="20"/>
      <c r="H98" s="20">
        <v>188</v>
      </c>
      <c r="I98" s="20">
        <v>4</v>
      </c>
      <c r="J98" s="20"/>
      <c r="K98" s="20">
        <v>8</v>
      </c>
      <c r="L98" s="20"/>
      <c r="M98" s="20">
        <v>200</v>
      </c>
      <c r="N98" s="21">
        <v>77.314999999999998</v>
      </c>
      <c r="O98" s="20" t="s">
        <v>267</v>
      </c>
      <c r="P98" s="20">
        <f t="shared" si="31"/>
        <v>8</v>
      </c>
      <c r="Q98" s="20">
        <f t="shared" si="32"/>
        <v>188</v>
      </c>
      <c r="R98" s="20">
        <f t="shared" si="33"/>
        <v>4</v>
      </c>
      <c r="S98" s="20">
        <f t="shared" si="34"/>
        <v>0</v>
      </c>
      <c r="T98" s="20">
        <f t="shared" si="35"/>
        <v>200</v>
      </c>
      <c r="U98" s="23">
        <f t="shared" si="36"/>
        <v>0.04</v>
      </c>
      <c r="V98" s="23">
        <f t="shared" si="37"/>
        <v>0.94</v>
      </c>
      <c r="W98" s="23">
        <f t="shared" si="38"/>
        <v>0.02</v>
      </c>
      <c r="X98" s="23">
        <f t="shared" si="39"/>
        <v>0</v>
      </c>
      <c r="Y98" s="21">
        <f t="shared" si="40"/>
        <v>77.314999999999998</v>
      </c>
    </row>
    <row r="99" spans="1:25" x14ac:dyDescent="0.25">
      <c r="A99" s="20" t="s">
        <v>289</v>
      </c>
      <c r="B99" s="20" t="s">
        <v>290</v>
      </c>
      <c r="C99" s="20" t="s">
        <v>186</v>
      </c>
      <c r="D99" s="20">
        <v>2</v>
      </c>
      <c r="E99" s="20"/>
      <c r="F99" s="20"/>
      <c r="G99" s="20"/>
      <c r="H99" s="20">
        <v>194</v>
      </c>
      <c r="I99" s="20">
        <v>11</v>
      </c>
      <c r="J99" s="20"/>
      <c r="K99" s="20">
        <v>5</v>
      </c>
      <c r="L99" s="20"/>
      <c r="M99" s="20">
        <v>210</v>
      </c>
      <c r="N99" s="21">
        <v>54.976190476190474</v>
      </c>
      <c r="O99" s="20" t="s">
        <v>267</v>
      </c>
      <c r="P99" s="20">
        <f t="shared" si="31"/>
        <v>5</v>
      </c>
      <c r="Q99" s="20">
        <f t="shared" si="32"/>
        <v>194</v>
      </c>
      <c r="R99" s="20">
        <f t="shared" si="33"/>
        <v>11</v>
      </c>
      <c r="S99" s="20">
        <f t="shared" si="34"/>
        <v>0</v>
      </c>
      <c r="T99" s="20">
        <f t="shared" si="35"/>
        <v>210</v>
      </c>
      <c r="U99" s="23">
        <f t="shared" si="36"/>
        <v>2.3809523809523808E-2</v>
      </c>
      <c r="V99" s="23">
        <f t="shared" si="37"/>
        <v>0.92380952380952386</v>
      </c>
      <c r="W99" s="23">
        <f t="shared" si="38"/>
        <v>5.2380952380952382E-2</v>
      </c>
      <c r="X99" s="23">
        <f t="shared" si="39"/>
        <v>0</v>
      </c>
      <c r="Y99" s="21">
        <f t="shared" si="40"/>
        <v>54.976190476190474</v>
      </c>
    </row>
    <row r="100" spans="1:25" x14ac:dyDescent="0.25">
      <c r="A100" s="20" t="s">
        <v>291</v>
      </c>
      <c r="B100" s="20" t="s">
        <v>292</v>
      </c>
      <c r="C100" s="20" t="s">
        <v>188</v>
      </c>
      <c r="D100" s="20">
        <v>1</v>
      </c>
      <c r="E100" s="20"/>
      <c r="F100" s="20"/>
      <c r="G100" s="20"/>
      <c r="H100" s="20">
        <v>141</v>
      </c>
      <c r="I100" s="20">
        <v>48</v>
      </c>
      <c r="J100" s="20">
        <v>2</v>
      </c>
      <c r="K100" s="20">
        <v>6</v>
      </c>
      <c r="L100" s="20"/>
      <c r="M100" s="20">
        <v>197</v>
      </c>
      <c r="N100" s="21">
        <v>74.045685279187822</v>
      </c>
      <c r="O100" s="20" t="s">
        <v>267</v>
      </c>
      <c r="P100" s="20">
        <f t="shared" si="31"/>
        <v>6</v>
      </c>
      <c r="Q100" s="20">
        <f t="shared" si="32"/>
        <v>141</v>
      </c>
      <c r="R100" s="20">
        <f t="shared" si="33"/>
        <v>48</v>
      </c>
      <c r="S100" s="20">
        <f t="shared" si="34"/>
        <v>2</v>
      </c>
      <c r="T100" s="20">
        <f t="shared" si="35"/>
        <v>197</v>
      </c>
      <c r="U100" s="23">
        <f t="shared" si="36"/>
        <v>3.0456852791878174E-2</v>
      </c>
      <c r="V100" s="23">
        <f t="shared" si="37"/>
        <v>0.71573604060913709</v>
      </c>
      <c r="W100" s="23">
        <f t="shared" si="38"/>
        <v>0.24365482233502539</v>
      </c>
      <c r="X100" s="23">
        <f t="shared" si="39"/>
        <v>1.015228426395939E-2</v>
      </c>
      <c r="Y100" s="21">
        <f t="shared" si="40"/>
        <v>74.045685279187822</v>
      </c>
    </row>
    <row r="101" spans="1:25" x14ac:dyDescent="0.25">
      <c r="A101" s="20" t="s">
        <v>291</v>
      </c>
      <c r="B101" s="20" t="s">
        <v>292</v>
      </c>
      <c r="C101" s="20" t="s">
        <v>188</v>
      </c>
      <c r="D101" s="20">
        <v>2</v>
      </c>
      <c r="E101" s="20"/>
      <c r="F101" s="20"/>
      <c r="G101" s="20"/>
      <c r="H101" s="20">
        <v>141</v>
      </c>
      <c r="I101" s="20">
        <v>34</v>
      </c>
      <c r="J101" s="20">
        <v>2</v>
      </c>
      <c r="K101" s="20">
        <v>20</v>
      </c>
      <c r="L101" s="20"/>
      <c r="M101" s="20">
        <v>197</v>
      </c>
      <c r="N101" s="21">
        <v>46.934010152284266</v>
      </c>
      <c r="O101" s="20" t="s">
        <v>267</v>
      </c>
      <c r="P101" s="20">
        <f t="shared" si="31"/>
        <v>20</v>
      </c>
      <c r="Q101" s="20">
        <f t="shared" si="32"/>
        <v>141</v>
      </c>
      <c r="R101" s="20">
        <f t="shared" si="33"/>
        <v>34</v>
      </c>
      <c r="S101" s="20">
        <f t="shared" si="34"/>
        <v>2</v>
      </c>
      <c r="T101" s="20">
        <f t="shared" si="35"/>
        <v>197</v>
      </c>
      <c r="U101" s="23">
        <f t="shared" si="36"/>
        <v>0.10152284263959391</v>
      </c>
      <c r="V101" s="23">
        <f t="shared" si="37"/>
        <v>0.71573604060913709</v>
      </c>
      <c r="W101" s="23">
        <f t="shared" si="38"/>
        <v>0.17258883248730963</v>
      </c>
      <c r="X101" s="23">
        <f t="shared" si="39"/>
        <v>1.015228426395939E-2</v>
      </c>
      <c r="Y101" s="21">
        <f t="shared" si="40"/>
        <v>46.934010152284266</v>
      </c>
    </row>
    <row r="102" spans="1:25" x14ac:dyDescent="0.25">
      <c r="A102" s="20" t="s">
        <v>293</v>
      </c>
      <c r="B102" s="20" t="s">
        <v>294</v>
      </c>
      <c r="C102" s="20" t="s">
        <v>190</v>
      </c>
      <c r="D102" s="20">
        <v>1</v>
      </c>
      <c r="E102" s="20"/>
      <c r="F102" s="20"/>
      <c r="G102" s="20"/>
      <c r="H102" s="20">
        <v>139</v>
      </c>
      <c r="I102" s="20">
        <v>153</v>
      </c>
      <c r="J102" s="20">
        <v>13</v>
      </c>
      <c r="K102" s="20">
        <v>15</v>
      </c>
      <c r="L102" s="20"/>
      <c r="M102" s="20">
        <v>320</v>
      </c>
      <c r="N102" s="21">
        <v>74.474999999999994</v>
      </c>
      <c r="O102" s="20" t="s">
        <v>267</v>
      </c>
      <c r="P102" s="20">
        <f t="shared" si="31"/>
        <v>15</v>
      </c>
      <c r="Q102" s="20">
        <f t="shared" si="32"/>
        <v>139</v>
      </c>
      <c r="R102" s="20">
        <f t="shared" si="33"/>
        <v>153</v>
      </c>
      <c r="S102" s="20">
        <f t="shared" si="34"/>
        <v>13</v>
      </c>
      <c r="T102" s="20">
        <f t="shared" si="35"/>
        <v>320</v>
      </c>
      <c r="U102" s="23">
        <f t="shared" si="36"/>
        <v>4.6875E-2</v>
      </c>
      <c r="V102" s="23">
        <f t="shared" si="37"/>
        <v>0.43437500000000001</v>
      </c>
      <c r="W102" s="23">
        <f t="shared" si="38"/>
        <v>0.47812500000000002</v>
      </c>
      <c r="X102" s="23">
        <f t="shared" si="39"/>
        <v>4.0625000000000001E-2</v>
      </c>
      <c r="Y102" s="21">
        <f t="shared" si="40"/>
        <v>74.474999999999994</v>
      </c>
    </row>
    <row r="103" spans="1:25" x14ac:dyDescent="0.25">
      <c r="A103" s="20" t="s">
        <v>293</v>
      </c>
      <c r="B103" s="20" t="s">
        <v>294</v>
      </c>
      <c r="C103" s="20" t="s">
        <v>190</v>
      </c>
      <c r="D103" s="20">
        <v>2</v>
      </c>
      <c r="E103" s="20"/>
      <c r="F103" s="20"/>
      <c r="G103" s="20"/>
      <c r="H103" s="20">
        <v>158</v>
      </c>
      <c r="I103" s="20">
        <v>135</v>
      </c>
      <c r="J103" s="20">
        <v>6</v>
      </c>
      <c r="K103" s="20">
        <v>21</v>
      </c>
      <c r="L103" s="20"/>
      <c r="M103" s="20">
        <v>320</v>
      </c>
      <c r="N103" s="21">
        <v>58.893749999999997</v>
      </c>
      <c r="O103" s="20" t="s">
        <v>267</v>
      </c>
      <c r="P103" s="20">
        <f t="shared" si="31"/>
        <v>21</v>
      </c>
      <c r="Q103" s="20">
        <f t="shared" si="32"/>
        <v>158</v>
      </c>
      <c r="R103" s="20">
        <f t="shared" si="33"/>
        <v>135</v>
      </c>
      <c r="S103" s="20">
        <f t="shared" si="34"/>
        <v>6</v>
      </c>
      <c r="T103" s="20">
        <f t="shared" si="35"/>
        <v>320</v>
      </c>
      <c r="U103" s="23">
        <f t="shared" si="36"/>
        <v>6.5625000000000003E-2</v>
      </c>
      <c r="V103" s="23">
        <f t="shared" si="37"/>
        <v>0.49375000000000002</v>
      </c>
      <c r="W103" s="23">
        <f t="shared" si="38"/>
        <v>0.421875</v>
      </c>
      <c r="X103" s="23">
        <f t="shared" si="39"/>
        <v>1.8749999999999999E-2</v>
      </c>
      <c r="Y103" s="21">
        <f t="shared" si="40"/>
        <v>58.893749999999997</v>
      </c>
    </row>
    <row r="104" spans="1:25" x14ac:dyDescent="0.25">
      <c r="A104" s="20" t="s">
        <v>293</v>
      </c>
      <c r="B104" s="20" t="s">
        <v>294</v>
      </c>
      <c r="C104" s="20" t="s">
        <v>190</v>
      </c>
      <c r="D104" s="20">
        <v>3</v>
      </c>
      <c r="E104" s="20"/>
      <c r="F104" s="20"/>
      <c r="G104" s="20"/>
      <c r="H104" s="20">
        <v>155</v>
      </c>
      <c r="I104" s="20">
        <v>170</v>
      </c>
      <c r="J104" s="20">
        <v>6</v>
      </c>
      <c r="K104" s="20">
        <v>90</v>
      </c>
      <c r="L104" s="20"/>
      <c r="M104" s="20">
        <v>421</v>
      </c>
      <c r="N104" s="21">
        <v>34.743467933491686</v>
      </c>
      <c r="O104" s="20" t="s">
        <v>267</v>
      </c>
      <c r="P104" s="20">
        <f t="shared" si="31"/>
        <v>90</v>
      </c>
      <c r="Q104" s="20">
        <f t="shared" si="32"/>
        <v>155</v>
      </c>
      <c r="R104" s="20">
        <f t="shared" si="33"/>
        <v>170</v>
      </c>
      <c r="S104" s="20">
        <f t="shared" si="34"/>
        <v>6</v>
      </c>
      <c r="T104" s="20">
        <f t="shared" si="35"/>
        <v>421</v>
      </c>
      <c r="U104" s="23">
        <f t="shared" si="36"/>
        <v>0.21377672209026127</v>
      </c>
      <c r="V104" s="23">
        <f t="shared" si="37"/>
        <v>0.36817102137767221</v>
      </c>
      <c r="W104" s="23">
        <f t="shared" si="38"/>
        <v>0.40380047505938244</v>
      </c>
      <c r="X104" s="23">
        <f t="shared" si="39"/>
        <v>1.4251781472684086E-2</v>
      </c>
      <c r="Y104" s="21">
        <f t="shared" si="40"/>
        <v>34.743467933491686</v>
      </c>
    </row>
    <row r="105" spans="1:25" x14ac:dyDescent="0.25">
      <c r="A105" s="20" t="s">
        <v>295</v>
      </c>
      <c r="B105" s="20" t="s">
        <v>296</v>
      </c>
      <c r="C105" s="20" t="s">
        <v>192</v>
      </c>
      <c r="D105" s="20">
        <v>1</v>
      </c>
      <c r="E105" s="20"/>
      <c r="F105" s="20"/>
      <c r="G105" s="20"/>
      <c r="H105" s="20">
        <v>246</v>
      </c>
      <c r="I105" s="20">
        <v>106</v>
      </c>
      <c r="J105" s="20">
        <v>3</v>
      </c>
      <c r="K105" s="20">
        <v>5</v>
      </c>
      <c r="L105" s="20"/>
      <c r="M105" s="20">
        <v>360</v>
      </c>
      <c r="N105" s="21">
        <v>73.108333333333334</v>
      </c>
      <c r="O105" s="20" t="s">
        <v>267</v>
      </c>
      <c r="P105" s="20">
        <f t="shared" si="31"/>
        <v>5</v>
      </c>
      <c r="Q105" s="20">
        <f t="shared" si="32"/>
        <v>246</v>
      </c>
      <c r="R105" s="20">
        <f t="shared" si="33"/>
        <v>106</v>
      </c>
      <c r="S105" s="20">
        <f t="shared" si="34"/>
        <v>3</v>
      </c>
      <c r="T105" s="20">
        <f t="shared" si="35"/>
        <v>360</v>
      </c>
      <c r="U105" s="23">
        <f t="shared" si="36"/>
        <v>1.3888888888888888E-2</v>
      </c>
      <c r="V105" s="23">
        <f t="shared" si="37"/>
        <v>0.68333333333333335</v>
      </c>
      <c r="W105" s="23">
        <f t="shared" si="38"/>
        <v>0.29444444444444445</v>
      </c>
      <c r="X105" s="23">
        <f t="shared" si="39"/>
        <v>8.3333333333333332E-3</v>
      </c>
      <c r="Y105" s="21">
        <f t="shared" si="40"/>
        <v>73.108333333333334</v>
      </c>
    </row>
    <row r="106" spans="1:25" x14ac:dyDescent="0.25">
      <c r="A106" s="20" t="s">
        <v>295</v>
      </c>
      <c r="B106" s="20" t="s">
        <v>296</v>
      </c>
      <c r="C106" s="20" t="s">
        <v>192</v>
      </c>
      <c r="D106" s="20">
        <v>2</v>
      </c>
      <c r="E106" s="20"/>
      <c r="F106" s="20"/>
      <c r="G106" s="20">
        <v>1</v>
      </c>
      <c r="H106" s="20">
        <v>238</v>
      </c>
      <c r="I106" s="20">
        <v>103</v>
      </c>
      <c r="J106" s="20">
        <v>1</v>
      </c>
      <c r="K106" s="20">
        <v>17</v>
      </c>
      <c r="L106" s="20"/>
      <c r="M106" s="20">
        <v>360</v>
      </c>
      <c r="N106" s="21">
        <v>67.519444444444446</v>
      </c>
      <c r="O106" s="20" t="s">
        <v>267</v>
      </c>
      <c r="P106" s="20">
        <f t="shared" si="31"/>
        <v>17</v>
      </c>
      <c r="Q106" s="20">
        <f t="shared" si="32"/>
        <v>238</v>
      </c>
      <c r="R106" s="20">
        <f t="shared" si="33"/>
        <v>103</v>
      </c>
      <c r="S106" s="20">
        <f t="shared" si="34"/>
        <v>2</v>
      </c>
      <c r="T106" s="20">
        <f t="shared" si="35"/>
        <v>360</v>
      </c>
      <c r="U106" s="23">
        <f t="shared" si="36"/>
        <v>4.7222222222222221E-2</v>
      </c>
      <c r="V106" s="23">
        <f t="shared" si="37"/>
        <v>0.66111111111111109</v>
      </c>
      <c r="W106" s="23">
        <f t="shared" si="38"/>
        <v>0.28611111111111109</v>
      </c>
      <c r="X106" s="23">
        <f t="shared" si="39"/>
        <v>5.5555555555555558E-3</v>
      </c>
      <c r="Y106" s="21">
        <f t="shared" si="40"/>
        <v>67.519444444444446</v>
      </c>
    </row>
    <row r="107" spans="1:25" x14ac:dyDescent="0.25">
      <c r="A107" s="20" t="s">
        <v>295</v>
      </c>
      <c r="B107" s="20" t="s">
        <v>296</v>
      </c>
      <c r="C107" s="20" t="s">
        <v>192</v>
      </c>
      <c r="D107" s="20">
        <v>3</v>
      </c>
      <c r="E107" s="20"/>
      <c r="F107" s="20"/>
      <c r="G107" s="20"/>
      <c r="H107" s="20">
        <v>215</v>
      </c>
      <c r="I107" s="20">
        <v>124</v>
      </c>
      <c r="J107" s="20">
        <v>7</v>
      </c>
      <c r="K107" s="20">
        <v>14</v>
      </c>
      <c r="L107" s="20"/>
      <c r="M107" s="20">
        <v>360</v>
      </c>
      <c r="N107" s="21">
        <v>60.12222222222222</v>
      </c>
      <c r="O107" s="20" t="s">
        <v>267</v>
      </c>
      <c r="P107" s="20">
        <f t="shared" si="31"/>
        <v>14</v>
      </c>
      <c r="Q107" s="20">
        <f t="shared" si="32"/>
        <v>215</v>
      </c>
      <c r="R107" s="20">
        <f t="shared" si="33"/>
        <v>124</v>
      </c>
      <c r="S107" s="20">
        <f t="shared" si="34"/>
        <v>7</v>
      </c>
      <c r="T107" s="20">
        <f t="shared" si="35"/>
        <v>360</v>
      </c>
      <c r="U107" s="23">
        <f t="shared" si="36"/>
        <v>3.888888888888889E-2</v>
      </c>
      <c r="V107" s="23">
        <f t="shared" si="37"/>
        <v>0.59722222222222221</v>
      </c>
      <c r="W107" s="23">
        <f t="shared" si="38"/>
        <v>0.34444444444444444</v>
      </c>
      <c r="X107" s="23">
        <f t="shared" si="39"/>
        <v>1.9444444444444445E-2</v>
      </c>
      <c r="Y107" s="21">
        <f t="shared" si="40"/>
        <v>60.12222222222222</v>
      </c>
    </row>
    <row r="108" spans="1:25" x14ac:dyDescent="0.25">
      <c r="A108" s="20" t="s">
        <v>295</v>
      </c>
      <c r="B108" s="20" t="s">
        <v>296</v>
      </c>
      <c r="C108" s="20" t="s">
        <v>192</v>
      </c>
      <c r="D108" s="20">
        <v>4</v>
      </c>
      <c r="E108" s="20"/>
      <c r="F108" s="20"/>
      <c r="G108" s="20">
        <v>1</v>
      </c>
      <c r="H108" s="20">
        <v>392</v>
      </c>
      <c r="I108" s="20">
        <v>163</v>
      </c>
      <c r="J108" s="20">
        <v>6</v>
      </c>
      <c r="K108" s="20">
        <v>17</v>
      </c>
      <c r="L108" s="20">
        <v>1</v>
      </c>
      <c r="M108" s="20">
        <v>580</v>
      </c>
      <c r="N108" s="21">
        <v>50.562068965517241</v>
      </c>
      <c r="O108" s="20" t="s">
        <v>267</v>
      </c>
      <c r="P108" s="20">
        <f t="shared" si="31"/>
        <v>17</v>
      </c>
      <c r="Q108" s="20">
        <f t="shared" si="32"/>
        <v>392</v>
      </c>
      <c r="R108" s="20">
        <f t="shared" si="33"/>
        <v>163</v>
      </c>
      <c r="S108" s="20">
        <f t="shared" si="34"/>
        <v>8</v>
      </c>
      <c r="T108" s="20">
        <f t="shared" si="35"/>
        <v>580</v>
      </c>
      <c r="U108" s="23">
        <f t="shared" si="36"/>
        <v>2.9310344827586206E-2</v>
      </c>
      <c r="V108" s="23">
        <f t="shared" si="37"/>
        <v>0.67586206896551726</v>
      </c>
      <c r="W108" s="23">
        <f t="shared" si="38"/>
        <v>0.2810344827586207</v>
      </c>
      <c r="X108" s="23">
        <f t="shared" si="39"/>
        <v>1.3793103448275862E-2</v>
      </c>
      <c r="Y108" s="21">
        <f t="shared" si="40"/>
        <v>50.562068965517241</v>
      </c>
    </row>
    <row r="109" spans="1:25" x14ac:dyDescent="0.25">
      <c r="A109" s="20" t="s">
        <v>295</v>
      </c>
      <c r="B109" s="20" t="s">
        <v>296</v>
      </c>
      <c r="C109" s="20" t="s">
        <v>192</v>
      </c>
      <c r="D109" s="20">
        <v>5</v>
      </c>
      <c r="E109" s="20">
        <v>1</v>
      </c>
      <c r="F109" s="20">
        <v>1</v>
      </c>
      <c r="G109" s="20"/>
      <c r="H109" s="20">
        <v>417</v>
      </c>
      <c r="I109" s="20">
        <v>135</v>
      </c>
      <c r="J109" s="20">
        <v>1</v>
      </c>
      <c r="K109" s="20">
        <v>26</v>
      </c>
      <c r="L109" s="20"/>
      <c r="M109" s="20">
        <v>581</v>
      </c>
      <c r="N109" s="21">
        <v>40.931153184165233</v>
      </c>
      <c r="O109" s="20" t="s">
        <v>267</v>
      </c>
      <c r="P109" s="20">
        <f t="shared" si="31"/>
        <v>26</v>
      </c>
      <c r="Q109" s="20">
        <f t="shared" si="32"/>
        <v>417</v>
      </c>
      <c r="R109" s="20">
        <f t="shared" si="33"/>
        <v>135</v>
      </c>
      <c r="S109" s="20">
        <f t="shared" si="34"/>
        <v>3</v>
      </c>
      <c r="T109" s="20">
        <f t="shared" si="35"/>
        <v>581</v>
      </c>
      <c r="U109" s="23">
        <f t="shared" si="36"/>
        <v>4.4750430292598967E-2</v>
      </c>
      <c r="V109" s="23">
        <f t="shared" si="37"/>
        <v>0.71772805507745263</v>
      </c>
      <c r="W109" s="23">
        <f t="shared" si="38"/>
        <v>0.23235800344234078</v>
      </c>
      <c r="X109" s="23">
        <f t="shared" si="39"/>
        <v>5.1635111876075735E-3</v>
      </c>
      <c r="Y109" s="21">
        <f t="shared" si="40"/>
        <v>40.931153184165233</v>
      </c>
    </row>
    <row r="110" spans="1:25" x14ac:dyDescent="0.25">
      <c r="A110" s="20" t="s">
        <v>295</v>
      </c>
      <c r="B110" s="20" t="s">
        <v>296</v>
      </c>
      <c r="C110" s="20" t="s">
        <v>192</v>
      </c>
      <c r="D110" s="20">
        <v>6</v>
      </c>
      <c r="E110" s="20"/>
      <c r="F110" s="20"/>
      <c r="G110" s="20"/>
      <c r="H110" s="20">
        <v>352</v>
      </c>
      <c r="I110" s="20">
        <v>190</v>
      </c>
      <c r="J110" s="20">
        <v>2</v>
      </c>
      <c r="K110" s="20">
        <v>36</v>
      </c>
      <c r="L110" s="20">
        <v>1</v>
      </c>
      <c r="M110" s="20">
        <v>581</v>
      </c>
      <c r="N110" s="21">
        <v>33.049913941480206</v>
      </c>
      <c r="O110" s="20" t="s">
        <v>267</v>
      </c>
      <c r="P110" s="20">
        <f t="shared" si="31"/>
        <v>36</v>
      </c>
      <c r="Q110" s="20">
        <f t="shared" si="32"/>
        <v>352</v>
      </c>
      <c r="R110" s="20">
        <f t="shared" si="33"/>
        <v>190</v>
      </c>
      <c r="S110" s="20">
        <f t="shared" si="34"/>
        <v>3</v>
      </c>
      <c r="T110" s="20">
        <f t="shared" si="35"/>
        <v>581</v>
      </c>
      <c r="U110" s="23">
        <f t="shared" si="36"/>
        <v>6.1962134251290879E-2</v>
      </c>
      <c r="V110" s="23">
        <f t="shared" si="37"/>
        <v>0.60585197934595525</v>
      </c>
      <c r="W110" s="23">
        <f t="shared" si="38"/>
        <v>0.32702237521514632</v>
      </c>
      <c r="X110" s="23">
        <f t="shared" si="39"/>
        <v>5.1635111876075735E-3</v>
      </c>
      <c r="Y110" s="21">
        <f t="shared" si="40"/>
        <v>33.049913941480206</v>
      </c>
    </row>
    <row r="111" spans="1:25" x14ac:dyDescent="0.25">
      <c r="A111" s="20" t="s">
        <v>295</v>
      </c>
      <c r="B111" s="20" t="s">
        <v>296</v>
      </c>
      <c r="C111" s="20" t="s">
        <v>192</v>
      </c>
      <c r="D111" s="20">
        <v>7</v>
      </c>
      <c r="E111" s="20">
        <v>1</v>
      </c>
      <c r="F111" s="20"/>
      <c r="G111" s="20"/>
      <c r="H111" s="20">
        <v>298</v>
      </c>
      <c r="I111" s="20">
        <v>193</v>
      </c>
      <c r="J111" s="20"/>
      <c r="K111" s="20">
        <v>89</v>
      </c>
      <c r="L111" s="20"/>
      <c r="M111" s="20">
        <v>581</v>
      </c>
      <c r="N111" s="21">
        <v>23.802065404475044</v>
      </c>
      <c r="O111" s="20" t="s">
        <v>267</v>
      </c>
      <c r="P111" s="20">
        <f t="shared" si="31"/>
        <v>89</v>
      </c>
      <c r="Q111" s="20">
        <f t="shared" si="32"/>
        <v>298</v>
      </c>
      <c r="R111" s="20">
        <f t="shared" si="33"/>
        <v>193</v>
      </c>
      <c r="S111" s="20">
        <f t="shared" si="34"/>
        <v>1</v>
      </c>
      <c r="T111" s="20">
        <f t="shared" si="35"/>
        <v>581</v>
      </c>
      <c r="U111" s="23">
        <f t="shared" si="36"/>
        <v>0.153184165232358</v>
      </c>
      <c r="V111" s="23">
        <f t="shared" si="37"/>
        <v>0.5129087779690189</v>
      </c>
      <c r="W111" s="23">
        <f t="shared" si="38"/>
        <v>0.33218588640275387</v>
      </c>
      <c r="X111" s="23">
        <f t="shared" si="39"/>
        <v>1.7211703958691911E-3</v>
      </c>
      <c r="Y111" s="21">
        <f t="shared" si="40"/>
        <v>23.802065404475044</v>
      </c>
    </row>
    <row r="112" spans="1:25" x14ac:dyDescent="0.25">
      <c r="A112" s="20" t="s">
        <v>297</v>
      </c>
      <c r="B112" s="20" t="s">
        <v>298</v>
      </c>
      <c r="C112" s="20" t="s">
        <v>194</v>
      </c>
      <c r="D112" s="20">
        <v>1</v>
      </c>
      <c r="E112" s="20"/>
      <c r="F112" s="20"/>
      <c r="G112" s="20">
        <v>1</v>
      </c>
      <c r="H112" s="20">
        <v>204</v>
      </c>
      <c r="I112" s="20">
        <v>77</v>
      </c>
      <c r="J112" s="20">
        <v>4</v>
      </c>
      <c r="K112" s="20">
        <v>94</v>
      </c>
      <c r="L112" s="20"/>
      <c r="M112" s="20">
        <v>380</v>
      </c>
      <c r="N112" s="21">
        <v>62.7</v>
      </c>
      <c r="O112" s="20" t="s">
        <v>267</v>
      </c>
      <c r="P112" s="20">
        <f t="shared" ref="P112:P148" si="50">K112</f>
        <v>94</v>
      </c>
      <c r="Q112" s="20">
        <f t="shared" ref="Q112:Q148" si="51">H112</f>
        <v>204</v>
      </c>
      <c r="R112" s="20">
        <f t="shared" si="33"/>
        <v>77</v>
      </c>
      <c r="S112" s="20">
        <f t="shared" ref="S112:S148" si="52">M112-SUM(P112:R112)</f>
        <v>5</v>
      </c>
      <c r="T112" s="20">
        <f t="shared" ref="T112:T148" si="53">SUM(P112:S112)</f>
        <v>380</v>
      </c>
      <c r="U112" s="23">
        <f t="shared" ref="U112:U148" si="54">P112/M112</f>
        <v>0.24736842105263157</v>
      </c>
      <c r="V112" s="23">
        <f t="shared" ref="V112:V148" si="55">Q112/M112</f>
        <v>0.5368421052631579</v>
      </c>
      <c r="W112" s="23">
        <f t="shared" ref="W112:W148" si="56">R112/M112</f>
        <v>0.20263157894736841</v>
      </c>
      <c r="X112" s="23">
        <f t="shared" ref="X112:X148" si="57">S112/M112</f>
        <v>1.3157894736842105E-2</v>
      </c>
      <c r="Y112" s="21">
        <f t="shared" ref="Y112:Y148" si="58">N112</f>
        <v>62.7</v>
      </c>
    </row>
    <row r="113" spans="1:25" x14ac:dyDescent="0.25">
      <c r="A113" s="20" t="s">
        <v>297</v>
      </c>
      <c r="B113" s="20" t="s">
        <v>298</v>
      </c>
      <c r="C113" s="20" t="s">
        <v>194</v>
      </c>
      <c r="D113" s="20">
        <v>2</v>
      </c>
      <c r="E113" s="20"/>
      <c r="F113" s="20">
        <v>1</v>
      </c>
      <c r="G113" s="20"/>
      <c r="H113" s="20">
        <v>156</v>
      </c>
      <c r="I113" s="20">
        <v>97</v>
      </c>
      <c r="J113" s="20">
        <v>1</v>
      </c>
      <c r="K113" s="20">
        <v>125</v>
      </c>
      <c r="L113" s="20"/>
      <c r="M113" s="20">
        <v>380</v>
      </c>
      <c r="N113" s="21">
        <v>56.744736842105262</v>
      </c>
      <c r="O113" s="20" t="s">
        <v>267</v>
      </c>
      <c r="P113" s="20">
        <f t="shared" si="50"/>
        <v>125</v>
      </c>
      <c r="Q113" s="20">
        <f t="shared" si="51"/>
        <v>156</v>
      </c>
      <c r="R113" s="20">
        <f t="shared" si="33"/>
        <v>97</v>
      </c>
      <c r="S113" s="20">
        <f t="shared" si="52"/>
        <v>2</v>
      </c>
      <c r="T113" s="20">
        <f t="shared" si="53"/>
        <v>380</v>
      </c>
      <c r="U113" s="23">
        <f t="shared" si="54"/>
        <v>0.32894736842105265</v>
      </c>
      <c r="V113" s="23">
        <f t="shared" si="55"/>
        <v>0.41052631578947368</v>
      </c>
      <c r="W113" s="23">
        <f t="shared" si="56"/>
        <v>0.25526315789473686</v>
      </c>
      <c r="X113" s="23">
        <f t="shared" si="57"/>
        <v>5.263157894736842E-3</v>
      </c>
      <c r="Y113" s="21">
        <f t="shared" si="58"/>
        <v>56.744736842105262</v>
      </c>
    </row>
    <row r="114" spans="1:25" x14ac:dyDescent="0.25">
      <c r="A114" s="20" t="s">
        <v>297</v>
      </c>
      <c r="B114" s="20" t="s">
        <v>298</v>
      </c>
      <c r="C114" s="20" t="s">
        <v>194</v>
      </c>
      <c r="D114" s="20">
        <v>3</v>
      </c>
      <c r="E114" s="20"/>
      <c r="F114" s="20">
        <v>3</v>
      </c>
      <c r="G114" s="20"/>
      <c r="H114" s="20">
        <v>145</v>
      </c>
      <c r="I114" s="20">
        <v>77</v>
      </c>
      <c r="J114" s="20">
        <v>2</v>
      </c>
      <c r="K114" s="20">
        <v>153</v>
      </c>
      <c r="L114" s="20"/>
      <c r="M114" s="20">
        <v>380</v>
      </c>
      <c r="N114" s="21">
        <v>49.215789473684211</v>
      </c>
      <c r="O114" s="20" t="s">
        <v>267</v>
      </c>
      <c r="P114" s="20">
        <f t="shared" si="50"/>
        <v>153</v>
      </c>
      <c r="Q114" s="20">
        <f t="shared" si="51"/>
        <v>145</v>
      </c>
      <c r="R114" s="20">
        <f t="shared" si="33"/>
        <v>77</v>
      </c>
      <c r="S114" s="20">
        <f t="shared" si="52"/>
        <v>5</v>
      </c>
      <c r="T114" s="20">
        <f t="shared" si="53"/>
        <v>380</v>
      </c>
      <c r="U114" s="23">
        <f t="shared" si="54"/>
        <v>0.4026315789473684</v>
      </c>
      <c r="V114" s="23">
        <f t="shared" si="55"/>
        <v>0.38157894736842107</v>
      </c>
      <c r="W114" s="23">
        <f t="shared" si="56"/>
        <v>0.20263157894736841</v>
      </c>
      <c r="X114" s="23">
        <f t="shared" si="57"/>
        <v>1.3157894736842105E-2</v>
      </c>
      <c r="Y114" s="21">
        <f t="shared" si="58"/>
        <v>49.215789473684211</v>
      </c>
    </row>
    <row r="115" spans="1:25" x14ac:dyDescent="0.25">
      <c r="A115" s="20" t="s">
        <v>297</v>
      </c>
      <c r="B115" s="20" t="s">
        <v>298</v>
      </c>
      <c r="C115" s="20" t="s">
        <v>194</v>
      </c>
      <c r="D115" s="20">
        <v>4</v>
      </c>
      <c r="E115" s="20">
        <v>2</v>
      </c>
      <c r="F115" s="20">
        <v>2</v>
      </c>
      <c r="G115" s="20"/>
      <c r="H115" s="20">
        <v>294</v>
      </c>
      <c r="I115" s="20">
        <v>124</v>
      </c>
      <c r="J115" s="20">
        <v>3</v>
      </c>
      <c r="K115" s="20">
        <v>195</v>
      </c>
      <c r="L115" s="20"/>
      <c r="M115" s="20">
        <v>620</v>
      </c>
      <c r="N115" s="21">
        <v>40.11451612903226</v>
      </c>
      <c r="O115" s="20" t="s">
        <v>267</v>
      </c>
      <c r="P115" s="20">
        <f t="shared" si="50"/>
        <v>195</v>
      </c>
      <c r="Q115" s="20">
        <f t="shared" si="51"/>
        <v>294</v>
      </c>
      <c r="R115" s="20">
        <f t="shared" si="33"/>
        <v>124</v>
      </c>
      <c r="S115" s="20">
        <f t="shared" si="52"/>
        <v>7</v>
      </c>
      <c r="T115" s="20">
        <f t="shared" si="53"/>
        <v>620</v>
      </c>
      <c r="U115" s="23">
        <f t="shared" si="54"/>
        <v>0.31451612903225806</v>
      </c>
      <c r="V115" s="23">
        <f t="shared" si="55"/>
        <v>0.47419354838709676</v>
      </c>
      <c r="W115" s="23">
        <f t="shared" si="56"/>
        <v>0.2</v>
      </c>
      <c r="X115" s="23">
        <f t="shared" si="57"/>
        <v>1.1290322580645161E-2</v>
      </c>
      <c r="Y115" s="21">
        <f t="shared" si="58"/>
        <v>40.11451612903226</v>
      </c>
    </row>
    <row r="116" spans="1:25" x14ac:dyDescent="0.25">
      <c r="A116" s="20" t="s">
        <v>297</v>
      </c>
      <c r="B116" s="20" t="s">
        <v>298</v>
      </c>
      <c r="C116" s="20" t="s">
        <v>194</v>
      </c>
      <c r="D116" s="20">
        <v>5</v>
      </c>
      <c r="E116" s="20">
        <v>2</v>
      </c>
      <c r="F116" s="20">
        <v>1</v>
      </c>
      <c r="G116" s="20"/>
      <c r="H116" s="20">
        <v>246</v>
      </c>
      <c r="I116" s="20">
        <v>129</v>
      </c>
      <c r="J116" s="20">
        <v>2</v>
      </c>
      <c r="K116" s="20">
        <v>239</v>
      </c>
      <c r="L116" s="20">
        <v>1</v>
      </c>
      <c r="M116" s="20">
        <v>620</v>
      </c>
      <c r="N116" s="21">
        <v>31.020967741935483</v>
      </c>
      <c r="O116" s="20" t="s">
        <v>267</v>
      </c>
      <c r="P116" s="20">
        <f t="shared" si="50"/>
        <v>239</v>
      </c>
      <c r="Q116" s="20">
        <f t="shared" si="51"/>
        <v>246</v>
      </c>
      <c r="R116" s="20">
        <f t="shared" si="33"/>
        <v>129</v>
      </c>
      <c r="S116" s="20">
        <f t="shared" si="52"/>
        <v>6</v>
      </c>
      <c r="T116" s="20">
        <f t="shared" si="53"/>
        <v>620</v>
      </c>
      <c r="U116" s="23">
        <f t="shared" si="54"/>
        <v>0.38548387096774195</v>
      </c>
      <c r="V116" s="23">
        <f t="shared" si="55"/>
        <v>0.39677419354838711</v>
      </c>
      <c r="W116" s="23">
        <f t="shared" si="56"/>
        <v>0.20806451612903226</v>
      </c>
      <c r="X116" s="23">
        <f t="shared" si="57"/>
        <v>9.6774193548387101E-3</v>
      </c>
      <c r="Y116" s="21">
        <f t="shared" si="58"/>
        <v>31.020967741935483</v>
      </c>
    </row>
    <row r="117" spans="1:25" x14ac:dyDescent="0.25">
      <c r="A117" s="20" t="s">
        <v>297</v>
      </c>
      <c r="B117" s="20" t="s">
        <v>298</v>
      </c>
      <c r="C117" s="20" t="s">
        <v>194</v>
      </c>
      <c r="D117" s="20">
        <v>6</v>
      </c>
      <c r="E117" s="20">
        <v>1</v>
      </c>
      <c r="F117" s="20"/>
      <c r="G117" s="20"/>
      <c r="H117" s="20">
        <v>189</v>
      </c>
      <c r="I117" s="20">
        <v>122</v>
      </c>
      <c r="J117" s="20">
        <v>1</v>
      </c>
      <c r="K117" s="20">
        <v>307</v>
      </c>
      <c r="L117" s="20"/>
      <c r="M117" s="20">
        <v>620</v>
      </c>
      <c r="N117" s="21">
        <v>26.414516129032258</v>
      </c>
      <c r="O117" s="20" t="s">
        <v>267</v>
      </c>
      <c r="P117" s="20">
        <f t="shared" si="50"/>
        <v>307</v>
      </c>
      <c r="Q117" s="20">
        <f t="shared" si="51"/>
        <v>189</v>
      </c>
      <c r="R117" s="20">
        <f t="shared" si="33"/>
        <v>122</v>
      </c>
      <c r="S117" s="20">
        <f t="shared" si="52"/>
        <v>2</v>
      </c>
      <c r="T117" s="20">
        <f t="shared" si="53"/>
        <v>620</v>
      </c>
      <c r="U117" s="23">
        <f t="shared" si="54"/>
        <v>0.49516129032258066</v>
      </c>
      <c r="V117" s="23">
        <f t="shared" si="55"/>
        <v>0.30483870967741933</v>
      </c>
      <c r="W117" s="23">
        <f t="shared" si="56"/>
        <v>0.1967741935483871</v>
      </c>
      <c r="X117" s="23">
        <f t="shared" si="57"/>
        <v>3.2258064516129032E-3</v>
      </c>
      <c r="Y117" s="21">
        <f t="shared" si="58"/>
        <v>26.414516129032258</v>
      </c>
    </row>
    <row r="118" spans="1:25" x14ac:dyDescent="0.25">
      <c r="A118" s="20" t="s">
        <v>297</v>
      </c>
      <c r="B118" s="20" t="s">
        <v>298</v>
      </c>
      <c r="C118" s="20" t="s">
        <v>194</v>
      </c>
      <c r="D118" s="20">
        <v>7</v>
      </c>
      <c r="E118" s="20"/>
      <c r="F118" s="20"/>
      <c r="G118" s="20">
        <v>1</v>
      </c>
      <c r="H118" s="20">
        <v>172</v>
      </c>
      <c r="I118" s="20">
        <v>113</v>
      </c>
      <c r="J118" s="20"/>
      <c r="K118" s="20">
        <v>334</v>
      </c>
      <c r="L118" s="20"/>
      <c r="M118" s="20">
        <v>620</v>
      </c>
      <c r="N118" s="21">
        <v>22.995161290322581</v>
      </c>
      <c r="O118" s="20" t="s">
        <v>267</v>
      </c>
      <c r="P118" s="20">
        <f t="shared" si="50"/>
        <v>334</v>
      </c>
      <c r="Q118" s="20">
        <f t="shared" si="51"/>
        <v>172</v>
      </c>
      <c r="R118" s="20">
        <f t="shared" si="33"/>
        <v>113</v>
      </c>
      <c r="S118" s="20">
        <f t="shared" si="52"/>
        <v>1</v>
      </c>
      <c r="T118" s="20">
        <f t="shared" si="53"/>
        <v>620</v>
      </c>
      <c r="U118" s="23">
        <f t="shared" si="54"/>
        <v>0.53870967741935483</v>
      </c>
      <c r="V118" s="23">
        <f t="shared" si="55"/>
        <v>0.27741935483870966</v>
      </c>
      <c r="W118" s="23">
        <f t="shared" si="56"/>
        <v>0.18225806451612903</v>
      </c>
      <c r="X118" s="23">
        <f t="shared" si="57"/>
        <v>1.6129032258064516E-3</v>
      </c>
      <c r="Y118" s="21">
        <f t="shared" si="58"/>
        <v>22.995161290322581</v>
      </c>
    </row>
    <row r="119" spans="1:25" x14ac:dyDescent="0.25">
      <c r="A119" s="20" t="s">
        <v>297</v>
      </c>
      <c r="B119" s="20" t="s">
        <v>298</v>
      </c>
      <c r="C119" s="20" t="s">
        <v>194</v>
      </c>
      <c r="D119" s="20">
        <v>8</v>
      </c>
      <c r="E119" s="20"/>
      <c r="F119" s="20"/>
      <c r="G119" s="20"/>
      <c r="H119" s="20">
        <v>176</v>
      </c>
      <c r="I119" s="20">
        <v>105</v>
      </c>
      <c r="J119" s="20"/>
      <c r="K119" s="20">
        <v>339</v>
      </c>
      <c r="L119" s="20"/>
      <c r="M119" s="20">
        <v>620</v>
      </c>
      <c r="N119" s="21">
        <v>19.614516129032257</v>
      </c>
      <c r="O119" s="20" t="s">
        <v>267</v>
      </c>
      <c r="P119" s="20">
        <f t="shared" si="50"/>
        <v>339</v>
      </c>
      <c r="Q119" s="20">
        <f t="shared" si="51"/>
        <v>176</v>
      </c>
      <c r="R119" s="20">
        <f t="shared" si="33"/>
        <v>105</v>
      </c>
      <c r="S119" s="20">
        <f t="shared" si="52"/>
        <v>0</v>
      </c>
      <c r="T119" s="20">
        <f t="shared" si="53"/>
        <v>620</v>
      </c>
      <c r="U119" s="23">
        <f t="shared" si="54"/>
        <v>0.54677419354838708</v>
      </c>
      <c r="V119" s="23">
        <f t="shared" si="55"/>
        <v>0.28387096774193549</v>
      </c>
      <c r="W119" s="23">
        <f t="shared" si="56"/>
        <v>0.16935483870967741</v>
      </c>
      <c r="X119" s="23">
        <f t="shared" si="57"/>
        <v>0</v>
      </c>
      <c r="Y119" s="21">
        <f t="shared" si="58"/>
        <v>19.614516129032257</v>
      </c>
    </row>
    <row r="120" spans="1:25" x14ac:dyDescent="0.25">
      <c r="A120" s="20" t="s">
        <v>297</v>
      </c>
      <c r="B120" s="20" t="s">
        <v>298</v>
      </c>
      <c r="C120" s="20" t="s">
        <v>195</v>
      </c>
      <c r="D120" s="20">
        <v>1</v>
      </c>
      <c r="E120" s="20"/>
      <c r="F120" s="20"/>
      <c r="G120" s="20"/>
      <c r="H120" s="20">
        <v>208</v>
      </c>
      <c r="I120" s="20">
        <v>58</v>
      </c>
      <c r="J120" s="20">
        <v>1</v>
      </c>
      <c r="K120" s="20">
        <v>103</v>
      </c>
      <c r="L120" s="20"/>
      <c r="M120" s="20">
        <v>370</v>
      </c>
      <c r="N120" s="21">
        <v>65.229729729729726</v>
      </c>
      <c r="O120" s="20" t="s">
        <v>267</v>
      </c>
      <c r="P120" s="20">
        <f t="shared" si="50"/>
        <v>103</v>
      </c>
      <c r="Q120" s="20">
        <f t="shared" si="51"/>
        <v>208</v>
      </c>
      <c r="R120" s="20">
        <f t="shared" si="33"/>
        <v>58</v>
      </c>
      <c r="S120" s="20">
        <f t="shared" si="52"/>
        <v>1</v>
      </c>
      <c r="T120" s="20">
        <f t="shared" si="53"/>
        <v>370</v>
      </c>
      <c r="U120" s="23">
        <f t="shared" si="54"/>
        <v>0.27837837837837837</v>
      </c>
      <c r="V120" s="23">
        <f t="shared" si="55"/>
        <v>0.56216216216216219</v>
      </c>
      <c r="W120" s="23">
        <f t="shared" si="56"/>
        <v>0.15675675675675677</v>
      </c>
      <c r="X120" s="23">
        <f t="shared" si="57"/>
        <v>2.7027027027027029E-3</v>
      </c>
      <c r="Y120" s="21">
        <f t="shared" si="58"/>
        <v>65.229729729729726</v>
      </c>
    </row>
    <row r="121" spans="1:25" x14ac:dyDescent="0.25">
      <c r="A121" s="20" t="s">
        <v>297</v>
      </c>
      <c r="B121" s="20" t="s">
        <v>298</v>
      </c>
      <c r="C121" s="20" t="s">
        <v>195</v>
      </c>
      <c r="D121" s="20">
        <v>2</v>
      </c>
      <c r="E121" s="20"/>
      <c r="F121" s="20"/>
      <c r="G121" s="20"/>
      <c r="H121" s="20">
        <v>163</v>
      </c>
      <c r="I121" s="20">
        <v>71</v>
      </c>
      <c r="J121" s="20">
        <v>2</v>
      </c>
      <c r="K121" s="20">
        <v>134</v>
      </c>
      <c r="L121" s="20"/>
      <c r="M121" s="20">
        <v>370</v>
      </c>
      <c r="N121" s="21">
        <v>56.697297297297297</v>
      </c>
      <c r="O121" s="20" t="s">
        <v>267</v>
      </c>
      <c r="P121" s="20">
        <f t="shared" si="50"/>
        <v>134</v>
      </c>
      <c r="Q121" s="20">
        <f t="shared" si="51"/>
        <v>163</v>
      </c>
      <c r="R121" s="20">
        <f t="shared" si="33"/>
        <v>71</v>
      </c>
      <c r="S121" s="20">
        <f t="shared" si="52"/>
        <v>2</v>
      </c>
      <c r="T121" s="20">
        <f t="shared" si="53"/>
        <v>370</v>
      </c>
      <c r="U121" s="23">
        <f t="shared" si="54"/>
        <v>0.36216216216216218</v>
      </c>
      <c r="V121" s="23">
        <f t="shared" si="55"/>
        <v>0.44054054054054054</v>
      </c>
      <c r="W121" s="23">
        <f t="shared" si="56"/>
        <v>0.1918918918918919</v>
      </c>
      <c r="X121" s="23">
        <f t="shared" si="57"/>
        <v>5.4054054054054057E-3</v>
      </c>
      <c r="Y121" s="21">
        <f t="shared" si="58"/>
        <v>56.697297297297297</v>
      </c>
    </row>
    <row r="122" spans="1:25" x14ac:dyDescent="0.25">
      <c r="A122" s="20" t="s">
        <v>297</v>
      </c>
      <c r="B122" s="20" t="s">
        <v>298</v>
      </c>
      <c r="C122" s="20" t="s">
        <v>195</v>
      </c>
      <c r="D122" s="20">
        <v>3</v>
      </c>
      <c r="E122" s="20">
        <v>1</v>
      </c>
      <c r="F122" s="20"/>
      <c r="G122" s="20"/>
      <c r="H122" s="20">
        <v>189</v>
      </c>
      <c r="I122" s="20">
        <v>63</v>
      </c>
      <c r="J122" s="20">
        <v>2</v>
      </c>
      <c r="K122" s="20">
        <v>115</v>
      </c>
      <c r="L122" s="20"/>
      <c r="M122" s="20">
        <v>370</v>
      </c>
      <c r="N122" s="21">
        <v>49.508108108108111</v>
      </c>
      <c r="O122" s="20" t="s">
        <v>267</v>
      </c>
      <c r="P122" s="20">
        <f t="shared" si="50"/>
        <v>115</v>
      </c>
      <c r="Q122" s="20">
        <f t="shared" si="51"/>
        <v>189</v>
      </c>
      <c r="R122" s="20">
        <f t="shared" si="33"/>
        <v>63</v>
      </c>
      <c r="S122" s="20">
        <f t="shared" si="52"/>
        <v>3</v>
      </c>
      <c r="T122" s="20">
        <f t="shared" si="53"/>
        <v>370</v>
      </c>
      <c r="U122" s="23">
        <f t="shared" si="54"/>
        <v>0.3108108108108108</v>
      </c>
      <c r="V122" s="23">
        <f t="shared" si="55"/>
        <v>0.51081081081081081</v>
      </c>
      <c r="W122" s="23">
        <f t="shared" si="56"/>
        <v>0.17027027027027028</v>
      </c>
      <c r="X122" s="23">
        <f t="shared" si="57"/>
        <v>8.1081081081081086E-3</v>
      </c>
      <c r="Y122" s="21">
        <f t="shared" si="58"/>
        <v>49.508108108108111</v>
      </c>
    </row>
    <row r="123" spans="1:25" x14ac:dyDescent="0.25">
      <c r="A123" s="20" t="s">
        <v>297</v>
      </c>
      <c r="B123" s="20" t="s">
        <v>298</v>
      </c>
      <c r="C123" s="20" t="s">
        <v>195</v>
      </c>
      <c r="D123" s="20">
        <v>4</v>
      </c>
      <c r="E123" s="20">
        <v>1</v>
      </c>
      <c r="F123" s="20">
        <v>1</v>
      </c>
      <c r="G123" s="20">
        <v>1</v>
      </c>
      <c r="H123" s="20">
        <v>351</v>
      </c>
      <c r="I123" s="20">
        <v>90</v>
      </c>
      <c r="J123" s="20"/>
      <c r="K123" s="20">
        <v>195</v>
      </c>
      <c r="L123" s="20"/>
      <c r="M123" s="20">
        <v>639</v>
      </c>
      <c r="N123" s="21">
        <v>41.625978090766822</v>
      </c>
      <c r="O123" s="20" t="s">
        <v>267</v>
      </c>
      <c r="P123" s="20">
        <f t="shared" si="50"/>
        <v>195</v>
      </c>
      <c r="Q123" s="20">
        <f t="shared" si="51"/>
        <v>351</v>
      </c>
      <c r="R123" s="20">
        <f t="shared" si="33"/>
        <v>90</v>
      </c>
      <c r="S123" s="20">
        <f t="shared" si="52"/>
        <v>3</v>
      </c>
      <c r="T123" s="20">
        <f t="shared" si="53"/>
        <v>639</v>
      </c>
      <c r="U123" s="23">
        <f t="shared" si="54"/>
        <v>0.30516431924882631</v>
      </c>
      <c r="V123" s="23">
        <f t="shared" si="55"/>
        <v>0.54929577464788737</v>
      </c>
      <c r="W123" s="23">
        <f t="shared" si="56"/>
        <v>0.14084507042253522</v>
      </c>
      <c r="X123" s="23">
        <f t="shared" si="57"/>
        <v>4.6948356807511738E-3</v>
      </c>
      <c r="Y123" s="21">
        <f t="shared" si="58"/>
        <v>41.625978090766822</v>
      </c>
    </row>
    <row r="124" spans="1:25" x14ac:dyDescent="0.25">
      <c r="A124" s="20" t="s">
        <v>297</v>
      </c>
      <c r="B124" s="20" t="s">
        <v>298</v>
      </c>
      <c r="C124" s="20" t="s">
        <v>195</v>
      </c>
      <c r="D124" s="20">
        <v>5</v>
      </c>
      <c r="E124" s="20"/>
      <c r="F124" s="20"/>
      <c r="G124" s="20"/>
      <c r="H124" s="20">
        <v>297</v>
      </c>
      <c r="I124" s="20">
        <v>75</v>
      </c>
      <c r="J124" s="20">
        <v>1</v>
      </c>
      <c r="K124" s="20">
        <v>267</v>
      </c>
      <c r="L124" s="20"/>
      <c r="M124" s="20">
        <v>640</v>
      </c>
      <c r="N124" s="21">
        <v>32.259374999999999</v>
      </c>
      <c r="O124" s="20" t="s">
        <v>267</v>
      </c>
      <c r="P124" s="20">
        <f t="shared" si="50"/>
        <v>267</v>
      </c>
      <c r="Q124" s="20">
        <f t="shared" si="51"/>
        <v>297</v>
      </c>
      <c r="R124" s="20">
        <f t="shared" si="33"/>
        <v>75</v>
      </c>
      <c r="S124" s="20">
        <f t="shared" si="52"/>
        <v>1</v>
      </c>
      <c r="T124" s="20">
        <f t="shared" si="53"/>
        <v>640</v>
      </c>
      <c r="U124" s="23">
        <f t="shared" si="54"/>
        <v>0.41718749999999999</v>
      </c>
      <c r="V124" s="23">
        <f t="shared" si="55"/>
        <v>0.46406249999999999</v>
      </c>
      <c r="W124" s="23">
        <f t="shared" si="56"/>
        <v>0.1171875</v>
      </c>
      <c r="X124" s="23">
        <f t="shared" si="57"/>
        <v>1.5625000000000001E-3</v>
      </c>
      <c r="Y124" s="21">
        <f t="shared" si="58"/>
        <v>32.259374999999999</v>
      </c>
    </row>
    <row r="125" spans="1:25" x14ac:dyDescent="0.25">
      <c r="A125" s="20" t="s">
        <v>297</v>
      </c>
      <c r="B125" s="20" t="s">
        <v>298</v>
      </c>
      <c r="C125" s="20" t="s">
        <v>195</v>
      </c>
      <c r="D125" s="20">
        <v>6</v>
      </c>
      <c r="E125" s="20"/>
      <c r="F125" s="20"/>
      <c r="G125" s="20"/>
      <c r="H125" s="20">
        <v>263</v>
      </c>
      <c r="I125" s="20">
        <v>82</v>
      </c>
      <c r="J125" s="20"/>
      <c r="K125" s="20">
        <v>295</v>
      </c>
      <c r="L125" s="20"/>
      <c r="M125" s="20">
        <v>640</v>
      </c>
      <c r="N125" s="21">
        <v>25.134374999999999</v>
      </c>
      <c r="O125" s="20" t="s">
        <v>267</v>
      </c>
      <c r="P125" s="20">
        <f t="shared" si="50"/>
        <v>295</v>
      </c>
      <c r="Q125" s="20">
        <f t="shared" si="51"/>
        <v>263</v>
      </c>
      <c r="R125" s="20">
        <f t="shared" si="33"/>
        <v>82</v>
      </c>
      <c r="S125" s="20">
        <f t="shared" si="52"/>
        <v>0</v>
      </c>
      <c r="T125" s="20">
        <f t="shared" si="53"/>
        <v>640</v>
      </c>
      <c r="U125" s="23">
        <f t="shared" si="54"/>
        <v>0.4609375</v>
      </c>
      <c r="V125" s="23">
        <f t="shared" si="55"/>
        <v>0.41093750000000001</v>
      </c>
      <c r="W125" s="23">
        <f t="shared" si="56"/>
        <v>0.12812499999999999</v>
      </c>
      <c r="X125" s="23">
        <f t="shared" si="57"/>
        <v>0</v>
      </c>
      <c r="Y125" s="21">
        <f t="shared" si="58"/>
        <v>25.134374999999999</v>
      </c>
    </row>
    <row r="126" spans="1:25" x14ac:dyDescent="0.25">
      <c r="A126" s="20" t="s">
        <v>297</v>
      </c>
      <c r="B126" s="20" t="s">
        <v>298</v>
      </c>
      <c r="C126" s="20" t="s">
        <v>195</v>
      </c>
      <c r="D126" s="20">
        <v>7</v>
      </c>
      <c r="E126" s="20"/>
      <c r="F126" s="20"/>
      <c r="G126" s="20">
        <v>1</v>
      </c>
      <c r="H126" s="20">
        <v>251</v>
      </c>
      <c r="I126" s="20">
        <v>88</v>
      </c>
      <c r="J126" s="20"/>
      <c r="K126" s="20">
        <v>300</v>
      </c>
      <c r="L126" s="20"/>
      <c r="M126" s="20">
        <v>640</v>
      </c>
      <c r="N126" s="21">
        <v>20.160937499999999</v>
      </c>
      <c r="O126" s="20" t="s">
        <v>267</v>
      </c>
      <c r="P126" s="20">
        <f t="shared" si="50"/>
        <v>300</v>
      </c>
      <c r="Q126" s="20">
        <f t="shared" si="51"/>
        <v>251</v>
      </c>
      <c r="R126" s="20">
        <f t="shared" si="33"/>
        <v>88</v>
      </c>
      <c r="S126" s="20">
        <f t="shared" si="52"/>
        <v>1</v>
      </c>
      <c r="T126" s="20">
        <f t="shared" si="53"/>
        <v>640</v>
      </c>
      <c r="U126" s="23">
        <f t="shared" si="54"/>
        <v>0.46875</v>
      </c>
      <c r="V126" s="23">
        <f t="shared" si="55"/>
        <v>0.39218750000000002</v>
      </c>
      <c r="W126" s="23">
        <f t="shared" si="56"/>
        <v>0.13750000000000001</v>
      </c>
      <c r="X126" s="23">
        <f t="shared" si="57"/>
        <v>1.5625000000000001E-3</v>
      </c>
      <c r="Y126" s="21">
        <f t="shared" si="58"/>
        <v>20.160937499999999</v>
      </c>
    </row>
    <row r="127" spans="1:25" x14ac:dyDescent="0.25">
      <c r="A127" s="20" t="s">
        <v>297</v>
      </c>
      <c r="B127" s="20" t="s">
        <v>298</v>
      </c>
      <c r="C127" s="20" t="s">
        <v>196</v>
      </c>
      <c r="D127" s="20">
        <v>1</v>
      </c>
      <c r="E127" s="20"/>
      <c r="F127" s="20"/>
      <c r="G127" s="20"/>
      <c r="H127" s="20">
        <v>241</v>
      </c>
      <c r="I127" s="20">
        <v>66</v>
      </c>
      <c r="J127" s="20">
        <v>4</v>
      </c>
      <c r="K127" s="20">
        <v>69</v>
      </c>
      <c r="L127" s="20"/>
      <c r="M127" s="20">
        <v>380</v>
      </c>
      <c r="N127" s="21">
        <v>66.918421052631572</v>
      </c>
      <c r="O127" s="20" t="s">
        <v>267</v>
      </c>
      <c r="P127" s="20">
        <f t="shared" si="50"/>
        <v>69</v>
      </c>
      <c r="Q127" s="20">
        <f t="shared" si="51"/>
        <v>241</v>
      </c>
      <c r="R127" s="20">
        <f t="shared" si="33"/>
        <v>66</v>
      </c>
      <c r="S127" s="20">
        <f t="shared" si="52"/>
        <v>4</v>
      </c>
      <c r="T127" s="20">
        <f t="shared" si="53"/>
        <v>380</v>
      </c>
      <c r="U127" s="23">
        <f t="shared" si="54"/>
        <v>0.18157894736842106</v>
      </c>
      <c r="V127" s="23">
        <f t="shared" si="55"/>
        <v>0.63421052631578945</v>
      </c>
      <c r="W127" s="23">
        <f t="shared" si="56"/>
        <v>0.1736842105263158</v>
      </c>
      <c r="X127" s="23">
        <f t="shared" si="57"/>
        <v>1.0526315789473684E-2</v>
      </c>
      <c r="Y127" s="21">
        <f t="shared" si="58"/>
        <v>66.918421052631572</v>
      </c>
    </row>
    <row r="128" spans="1:25" x14ac:dyDescent="0.25">
      <c r="A128" s="20" t="s">
        <v>297</v>
      </c>
      <c r="B128" s="20" t="s">
        <v>298</v>
      </c>
      <c r="C128" s="20" t="s">
        <v>196</v>
      </c>
      <c r="D128" s="20">
        <v>2</v>
      </c>
      <c r="E128" s="20"/>
      <c r="F128" s="20"/>
      <c r="G128" s="20"/>
      <c r="H128" s="20">
        <v>207</v>
      </c>
      <c r="I128" s="20">
        <v>61</v>
      </c>
      <c r="J128" s="20">
        <v>3</v>
      </c>
      <c r="K128" s="20">
        <v>109</v>
      </c>
      <c r="L128" s="20"/>
      <c r="M128" s="20">
        <v>380</v>
      </c>
      <c r="N128" s="21">
        <v>60.231578947368419</v>
      </c>
      <c r="O128" s="20" t="s">
        <v>267</v>
      </c>
      <c r="P128" s="20">
        <f t="shared" si="50"/>
        <v>109</v>
      </c>
      <c r="Q128" s="20">
        <f t="shared" si="51"/>
        <v>207</v>
      </c>
      <c r="R128" s="20">
        <f t="shared" si="33"/>
        <v>61</v>
      </c>
      <c r="S128" s="20">
        <f t="shared" si="52"/>
        <v>3</v>
      </c>
      <c r="T128" s="20">
        <f t="shared" si="53"/>
        <v>380</v>
      </c>
      <c r="U128" s="23">
        <f t="shared" si="54"/>
        <v>0.2868421052631579</v>
      </c>
      <c r="V128" s="23">
        <f t="shared" si="55"/>
        <v>0.54473684210526319</v>
      </c>
      <c r="W128" s="23">
        <f t="shared" si="56"/>
        <v>0.16052631578947368</v>
      </c>
      <c r="X128" s="23">
        <f t="shared" si="57"/>
        <v>7.8947368421052634E-3</v>
      </c>
      <c r="Y128" s="21">
        <f t="shared" si="58"/>
        <v>60.231578947368419</v>
      </c>
    </row>
    <row r="129" spans="1:25" x14ac:dyDescent="0.25">
      <c r="A129" s="20" t="s">
        <v>297</v>
      </c>
      <c r="B129" s="20" t="s">
        <v>298</v>
      </c>
      <c r="C129" s="20" t="s">
        <v>196</v>
      </c>
      <c r="D129" s="20">
        <v>3</v>
      </c>
      <c r="E129" s="20"/>
      <c r="F129" s="20"/>
      <c r="G129" s="20"/>
      <c r="H129" s="20">
        <v>229</v>
      </c>
      <c r="I129" s="20">
        <v>59</v>
      </c>
      <c r="J129" s="20"/>
      <c r="K129" s="20">
        <v>90</v>
      </c>
      <c r="L129" s="20">
        <v>2</v>
      </c>
      <c r="M129" s="20">
        <v>380</v>
      </c>
      <c r="N129" s="21">
        <v>53.69736842105263</v>
      </c>
      <c r="O129" s="20" t="s">
        <v>267</v>
      </c>
      <c r="P129" s="20">
        <f t="shared" si="50"/>
        <v>90</v>
      </c>
      <c r="Q129" s="20">
        <f t="shared" si="51"/>
        <v>229</v>
      </c>
      <c r="R129" s="20">
        <f t="shared" si="33"/>
        <v>59</v>
      </c>
      <c r="S129" s="20">
        <f t="shared" si="52"/>
        <v>2</v>
      </c>
      <c r="T129" s="20">
        <f t="shared" si="53"/>
        <v>380</v>
      </c>
      <c r="U129" s="23">
        <f t="shared" si="54"/>
        <v>0.23684210526315788</v>
      </c>
      <c r="V129" s="23">
        <f t="shared" si="55"/>
        <v>0.60263157894736841</v>
      </c>
      <c r="W129" s="23">
        <f t="shared" si="56"/>
        <v>0.15526315789473685</v>
      </c>
      <c r="X129" s="23">
        <f t="shared" si="57"/>
        <v>5.263157894736842E-3</v>
      </c>
      <c r="Y129" s="21">
        <f t="shared" si="58"/>
        <v>53.69736842105263</v>
      </c>
    </row>
    <row r="130" spans="1:25" x14ac:dyDescent="0.25">
      <c r="A130" s="20" t="s">
        <v>297</v>
      </c>
      <c r="B130" s="20" t="s">
        <v>298</v>
      </c>
      <c r="C130" s="20" t="s">
        <v>196</v>
      </c>
      <c r="D130" s="20">
        <v>4</v>
      </c>
      <c r="E130" s="20"/>
      <c r="F130" s="20"/>
      <c r="G130" s="20">
        <v>2</v>
      </c>
      <c r="H130" s="20">
        <v>365</v>
      </c>
      <c r="I130" s="20">
        <v>140</v>
      </c>
      <c r="J130" s="20">
        <v>2</v>
      </c>
      <c r="K130" s="20">
        <v>161</v>
      </c>
      <c r="L130" s="20"/>
      <c r="M130" s="20">
        <v>670</v>
      </c>
      <c r="N130" s="21">
        <v>45.623880597014924</v>
      </c>
      <c r="O130" s="20" t="s">
        <v>267</v>
      </c>
      <c r="P130" s="20">
        <f t="shared" si="50"/>
        <v>161</v>
      </c>
      <c r="Q130" s="20">
        <f t="shared" si="51"/>
        <v>365</v>
      </c>
      <c r="R130" s="20">
        <f t="shared" si="33"/>
        <v>140</v>
      </c>
      <c r="S130" s="20">
        <f t="shared" si="52"/>
        <v>4</v>
      </c>
      <c r="T130" s="20">
        <f t="shared" si="53"/>
        <v>670</v>
      </c>
      <c r="U130" s="23">
        <f t="shared" si="54"/>
        <v>0.24029850746268658</v>
      </c>
      <c r="V130" s="23">
        <f t="shared" si="55"/>
        <v>0.54477611940298509</v>
      </c>
      <c r="W130" s="23">
        <f t="shared" si="56"/>
        <v>0.20895522388059701</v>
      </c>
      <c r="X130" s="23">
        <f t="shared" si="57"/>
        <v>5.9701492537313433E-3</v>
      </c>
      <c r="Y130" s="21">
        <f t="shared" si="58"/>
        <v>45.623880597014924</v>
      </c>
    </row>
    <row r="131" spans="1:25" x14ac:dyDescent="0.25">
      <c r="A131" s="20" t="s">
        <v>297</v>
      </c>
      <c r="B131" s="20" t="s">
        <v>298</v>
      </c>
      <c r="C131" s="20" t="s">
        <v>196</v>
      </c>
      <c r="D131" s="20">
        <v>5</v>
      </c>
      <c r="E131" s="20">
        <v>1</v>
      </c>
      <c r="F131" s="20"/>
      <c r="G131" s="20"/>
      <c r="H131" s="20">
        <v>313</v>
      </c>
      <c r="I131" s="20">
        <v>100</v>
      </c>
      <c r="J131" s="20">
        <v>1</v>
      </c>
      <c r="K131" s="20">
        <v>255</v>
      </c>
      <c r="L131" s="20"/>
      <c r="M131" s="20">
        <v>670</v>
      </c>
      <c r="N131" s="21">
        <v>34.949253731343283</v>
      </c>
      <c r="O131" s="20" t="s">
        <v>267</v>
      </c>
      <c r="P131" s="20">
        <f t="shared" si="50"/>
        <v>255</v>
      </c>
      <c r="Q131" s="20">
        <f t="shared" si="51"/>
        <v>313</v>
      </c>
      <c r="R131" s="20">
        <f t="shared" si="33"/>
        <v>100</v>
      </c>
      <c r="S131" s="20">
        <f t="shared" si="52"/>
        <v>2</v>
      </c>
      <c r="T131" s="20">
        <f t="shared" si="53"/>
        <v>670</v>
      </c>
      <c r="U131" s="23">
        <f t="shared" si="54"/>
        <v>0.38059701492537312</v>
      </c>
      <c r="V131" s="23">
        <f t="shared" si="55"/>
        <v>0.46716417910447761</v>
      </c>
      <c r="W131" s="23">
        <f t="shared" si="56"/>
        <v>0.14925373134328357</v>
      </c>
      <c r="X131" s="23">
        <f t="shared" si="57"/>
        <v>2.9850746268656717E-3</v>
      </c>
      <c r="Y131" s="21">
        <f t="shared" si="58"/>
        <v>34.949253731343283</v>
      </c>
    </row>
    <row r="132" spans="1:25" x14ac:dyDescent="0.25">
      <c r="A132" s="20" t="s">
        <v>297</v>
      </c>
      <c r="B132" s="20" t="s">
        <v>298</v>
      </c>
      <c r="C132" s="20" t="s">
        <v>196</v>
      </c>
      <c r="D132" s="20">
        <v>6</v>
      </c>
      <c r="E132" s="20">
        <v>1</v>
      </c>
      <c r="F132" s="20"/>
      <c r="G132" s="20"/>
      <c r="H132" s="20">
        <v>297</v>
      </c>
      <c r="I132" s="20">
        <v>121</v>
      </c>
      <c r="J132" s="20">
        <v>1</v>
      </c>
      <c r="K132" s="20">
        <v>252</v>
      </c>
      <c r="L132" s="20"/>
      <c r="M132" s="20">
        <v>672</v>
      </c>
      <c r="N132" s="21">
        <v>28.15029761904762</v>
      </c>
      <c r="O132" s="20" t="s">
        <v>267</v>
      </c>
      <c r="P132" s="20">
        <f t="shared" si="50"/>
        <v>252</v>
      </c>
      <c r="Q132" s="20">
        <f t="shared" si="51"/>
        <v>297</v>
      </c>
      <c r="R132" s="20">
        <f t="shared" si="33"/>
        <v>121</v>
      </c>
      <c r="S132" s="20">
        <f t="shared" si="52"/>
        <v>2</v>
      </c>
      <c r="T132" s="20">
        <f t="shared" si="53"/>
        <v>672</v>
      </c>
      <c r="U132" s="23">
        <f t="shared" si="54"/>
        <v>0.375</v>
      </c>
      <c r="V132" s="23">
        <f t="shared" si="55"/>
        <v>0.4419642857142857</v>
      </c>
      <c r="W132" s="23">
        <f t="shared" si="56"/>
        <v>0.18005952380952381</v>
      </c>
      <c r="X132" s="23">
        <f t="shared" si="57"/>
        <v>2.976190476190476E-3</v>
      </c>
      <c r="Y132" s="21">
        <f t="shared" si="58"/>
        <v>28.15029761904762</v>
      </c>
    </row>
    <row r="133" spans="1:25" x14ac:dyDescent="0.25">
      <c r="A133" s="20" t="s">
        <v>297</v>
      </c>
      <c r="B133" s="20" t="s">
        <v>298</v>
      </c>
      <c r="C133" s="20" t="s">
        <v>196</v>
      </c>
      <c r="D133" s="20">
        <v>7</v>
      </c>
      <c r="E133" s="20"/>
      <c r="F133" s="20"/>
      <c r="G133" s="20"/>
      <c r="H133" s="20">
        <v>306</v>
      </c>
      <c r="I133" s="20">
        <v>125</v>
      </c>
      <c r="J133" s="20"/>
      <c r="K133" s="20">
        <v>241</v>
      </c>
      <c r="L133" s="20"/>
      <c r="M133" s="20">
        <v>672</v>
      </c>
      <c r="N133" s="21">
        <v>24.055059523809526</v>
      </c>
      <c r="O133" s="20" t="s">
        <v>267</v>
      </c>
      <c r="P133" s="20">
        <f t="shared" si="50"/>
        <v>241</v>
      </c>
      <c r="Q133" s="20">
        <f t="shared" si="51"/>
        <v>306</v>
      </c>
      <c r="R133" s="20">
        <f t="shared" si="33"/>
        <v>125</v>
      </c>
      <c r="S133" s="20">
        <f t="shared" si="52"/>
        <v>0</v>
      </c>
      <c r="T133" s="20">
        <f t="shared" si="53"/>
        <v>672</v>
      </c>
      <c r="U133" s="23">
        <f t="shared" si="54"/>
        <v>0.35863095238095238</v>
      </c>
      <c r="V133" s="23">
        <f t="shared" si="55"/>
        <v>0.45535714285714285</v>
      </c>
      <c r="W133" s="23">
        <f t="shared" si="56"/>
        <v>0.18601190476190477</v>
      </c>
      <c r="X133" s="23">
        <f t="shared" si="57"/>
        <v>0</v>
      </c>
      <c r="Y133" s="21">
        <f t="shared" si="58"/>
        <v>24.055059523809526</v>
      </c>
    </row>
    <row r="134" spans="1:25" x14ac:dyDescent="0.25">
      <c r="A134" s="20" t="s">
        <v>297</v>
      </c>
      <c r="B134" s="20" t="s">
        <v>298</v>
      </c>
      <c r="C134" s="20" t="s">
        <v>196</v>
      </c>
      <c r="D134" s="20">
        <v>8</v>
      </c>
      <c r="E134" s="20"/>
      <c r="F134" s="20"/>
      <c r="G134" s="20"/>
      <c r="H134" s="20">
        <v>311</v>
      </c>
      <c r="I134" s="20">
        <v>98</v>
      </c>
      <c r="J134" s="20"/>
      <c r="K134" s="20">
        <v>263</v>
      </c>
      <c r="L134" s="20"/>
      <c r="M134" s="20">
        <v>672</v>
      </c>
      <c r="N134" s="21">
        <v>20.11904761904762</v>
      </c>
      <c r="O134" s="20" t="s">
        <v>267</v>
      </c>
      <c r="P134" s="20">
        <f t="shared" si="50"/>
        <v>263</v>
      </c>
      <c r="Q134" s="20">
        <f t="shared" si="51"/>
        <v>311</v>
      </c>
      <c r="R134" s="20">
        <f t="shared" si="33"/>
        <v>98</v>
      </c>
      <c r="S134" s="20">
        <f t="shared" si="52"/>
        <v>0</v>
      </c>
      <c r="T134" s="20">
        <f t="shared" si="53"/>
        <v>672</v>
      </c>
      <c r="U134" s="23">
        <f t="shared" si="54"/>
        <v>0.39136904761904762</v>
      </c>
      <c r="V134" s="23">
        <f t="shared" si="55"/>
        <v>0.46279761904761907</v>
      </c>
      <c r="W134" s="23">
        <f t="shared" si="56"/>
        <v>0.14583333333333334</v>
      </c>
      <c r="X134" s="23">
        <f t="shared" si="57"/>
        <v>0</v>
      </c>
      <c r="Y134" s="21">
        <f t="shared" si="58"/>
        <v>20.11904761904762</v>
      </c>
    </row>
    <row r="135" spans="1:25" x14ac:dyDescent="0.25">
      <c r="A135" s="20" t="s">
        <v>297</v>
      </c>
      <c r="B135" s="20" t="s">
        <v>298</v>
      </c>
      <c r="C135" s="20" t="s">
        <v>197</v>
      </c>
      <c r="D135" s="20">
        <v>1</v>
      </c>
      <c r="E135" s="20"/>
      <c r="F135" s="20">
        <v>1</v>
      </c>
      <c r="G135" s="20">
        <v>1</v>
      </c>
      <c r="H135" s="20">
        <v>162</v>
      </c>
      <c r="I135" s="20">
        <v>96</v>
      </c>
      <c r="J135" s="20">
        <v>6</v>
      </c>
      <c r="K135" s="20">
        <v>114</v>
      </c>
      <c r="L135" s="20"/>
      <c r="M135" s="20">
        <v>380</v>
      </c>
      <c r="N135" s="21">
        <v>69.102631578947367</v>
      </c>
      <c r="O135" s="20" t="s">
        <v>267</v>
      </c>
      <c r="P135" s="20">
        <f t="shared" si="50"/>
        <v>114</v>
      </c>
      <c r="Q135" s="20">
        <f t="shared" si="51"/>
        <v>162</v>
      </c>
      <c r="R135" s="20">
        <f t="shared" si="33"/>
        <v>96</v>
      </c>
      <c r="S135" s="20">
        <f t="shared" si="52"/>
        <v>8</v>
      </c>
      <c r="T135" s="20">
        <f t="shared" si="53"/>
        <v>380</v>
      </c>
      <c r="U135" s="23">
        <f t="shared" si="54"/>
        <v>0.3</v>
      </c>
      <c r="V135" s="23">
        <f t="shared" si="55"/>
        <v>0.4263157894736842</v>
      </c>
      <c r="W135" s="23">
        <f t="shared" si="56"/>
        <v>0.25263157894736843</v>
      </c>
      <c r="X135" s="23">
        <f t="shared" si="57"/>
        <v>2.1052631578947368E-2</v>
      </c>
      <c r="Y135" s="21">
        <f t="shared" si="58"/>
        <v>69.102631578947367</v>
      </c>
    </row>
    <row r="136" spans="1:25" x14ac:dyDescent="0.25">
      <c r="A136" s="20" t="s">
        <v>297</v>
      </c>
      <c r="B136" s="20" t="s">
        <v>298</v>
      </c>
      <c r="C136" s="20" t="s">
        <v>197</v>
      </c>
      <c r="D136" s="20">
        <v>2</v>
      </c>
      <c r="E136" s="20">
        <v>1</v>
      </c>
      <c r="F136" s="20"/>
      <c r="G136" s="20">
        <v>2</v>
      </c>
      <c r="H136" s="20">
        <v>168</v>
      </c>
      <c r="I136" s="20">
        <v>104</v>
      </c>
      <c r="J136" s="20">
        <v>8</v>
      </c>
      <c r="K136" s="20">
        <v>97</v>
      </c>
      <c r="L136" s="20"/>
      <c r="M136" s="20">
        <v>380</v>
      </c>
      <c r="N136" s="21">
        <v>61.165789473684214</v>
      </c>
      <c r="O136" s="20" t="s">
        <v>267</v>
      </c>
      <c r="P136" s="20">
        <f t="shared" si="50"/>
        <v>97</v>
      </c>
      <c r="Q136" s="20">
        <f t="shared" si="51"/>
        <v>168</v>
      </c>
      <c r="R136" s="20">
        <f t="shared" si="33"/>
        <v>104</v>
      </c>
      <c r="S136" s="20">
        <f t="shared" si="52"/>
        <v>11</v>
      </c>
      <c r="T136" s="20">
        <f t="shared" si="53"/>
        <v>380</v>
      </c>
      <c r="U136" s="23">
        <f t="shared" si="54"/>
        <v>0.25526315789473686</v>
      </c>
      <c r="V136" s="23">
        <f t="shared" si="55"/>
        <v>0.44210526315789472</v>
      </c>
      <c r="W136" s="23">
        <f t="shared" si="56"/>
        <v>0.27368421052631581</v>
      </c>
      <c r="X136" s="23">
        <f t="shared" si="57"/>
        <v>2.8947368421052631E-2</v>
      </c>
      <c r="Y136" s="21">
        <f t="shared" si="58"/>
        <v>61.165789473684214</v>
      </c>
    </row>
    <row r="137" spans="1:25" x14ac:dyDescent="0.25">
      <c r="A137" s="20" t="s">
        <v>297</v>
      </c>
      <c r="B137" s="20" t="s">
        <v>298</v>
      </c>
      <c r="C137" s="20" t="s">
        <v>197</v>
      </c>
      <c r="D137" s="20">
        <v>3</v>
      </c>
      <c r="E137" s="20"/>
      <c r="F137" s="20"/>
      <c r="G137" s="20">
        <v>1</v>
      </c>
      <c r="H137" s="20">
        <v>170</v>
      </c>
      <c r="I137" s="20">
        <v>82</v>
      </c>
      <c r="J137" s="20">
        <v>7</v>
      </c>
      <c r="K137" s="20">
        <v>120</v>
      </c>
      <c r="L137" s="20"/>
      <c r="M137" s="20">
        <v>380</v>
      </c>
      <c r="N137" s="21">
        <v>52.939473684210526</v>
      </c>
      <c r="O137" s="20" t="s">
        <v>267</v>
      </c>
      <c r="P137" s="20">
        <f t="shared" si="50"/>
        <v>120</v>
      </c>
      <c r="Q137" s="20">
        <f t="shared" si="51"/>
        <v>170</v>
      </c>
      <c r="R137" s="20">
        <f t="shared" si="33"/>
        <v>82</v>
      </c>
      <c r="S137" s="20">
        <f t="shared" si="52"/>
        <v>8</v>
      </c>
      <c r="T137" s="20">
        <f t="shared" si="53"/>
        <v>380</v>
      </c>
      <c r="U137" s="23">
        <f t="shared" si="54"/>
        <v>0.31578947368421051</v>
      </c>
      <c r="V137" s="23">
        <f t="shared" si="55"/>
        <v>0.44736842105263158</v>
      </c>
      <c r="W137" s="23">
        <f t="shared" si="56"/>
        <v>0.21578947368421053</v>
      </c>
      <c r="X137" s="23">
        <f t="shared" si="57"/>
        <v>2.1052631578947368E-2</v>
      </c>
      <c r="Y137" s="21">
        <f t="shared" si="58"/>
        <v>52.939473684210526</v>
      </c>
    </row>
    <row r="138" spans="1:25" x14ac:dyDescent="0.25">
      <c r="A138" s="20" t="s">
        <v>297</v>
      </c>
      <c r="B138" s="20" t="s">
        <v>298</v>
      </c>
      <c r="C138" s="20" t="s">
        <v>197</v>
      </c>
      <c r="D138" s="20">
        <v>4</v>
      </c>
      <c r="E138" s="20"/>
      <c r="F138" s="20">
        <v>1</v>
      </c>
      <c r="G138" s="20">
        <v>2</v>
      </c>
      <c r="H138" s="20">
        <v>254</v>
      </c>
      <c r="I138" s="20">
        <v>152</v>
      </c>
      <c r="J138" s="20">
        <v>4</v>
      </c>
      <c r="K138" s="20">
        <v>227</v>
      </c>
      <c r="L138" s="20"/>
      <c r="M138" s="20">
        <v>640</v>
      </c>
      <c r="N138" s="21">
        <v>43.081249999999997</v>
      </c>
      <c r="O138" s="20" t="s">
        <v>267</v>
      </c>
      <c r="P138" s="20">
        <f t="shared" si="50"/>
        <v>227</v>
      </c>
      <c r="Q138" s="20">
        <f t="shared" si="51"/>
        <v>254</v>
      </c>
      <c r="R138" s="20">
        <f t="shared" si="33"/>
        <v>152</v>
      </c>
      <c r="S138" s="20">
        <f t="shared" si="52"/>
        <v>7</v>
      </c>
      <c r="T138" s="20">
        <f t="shared" si="53"/>
        <v>640</v>
      </c>
      <c r="U138" s="23">
        <f t="shared" si="54"/>
        <v>0.35468749999999999</v>
      </c>
      <c r="V138" s="23">
        <f t="shared" si="55"/>
        <v>0.39687499999999998</v>
      </c>
      <c r="W138" s="23">
        <f t="shared" si="56"/>
        <v>0.23749999999999999</v>
      </c>
      <c r="X138" s="23">
        <f t="shared" si="57"/>
        <v>1.0937499999999999E-2</v>
      </c>
      <c r="Y138" s="21">
        <f t="shared" si="58"/>
        <v>43.081249999999997</v>
      </c>
    </row>
    <row r="139" spans="1:25" x14ac:dyDescent="0.25">
      <c r="A139" s="20" t="s">
        <v>297</v>
      </c>
      <c r="B139" s="20" t="s">
        <v>298</v>
      </c>
      <c r="C139" s="20" t="s">
        <v>197</v>
      </c>
      <c r="D139" s="20">
        <v>5</v>
      </c>
      <c r="E139" s="20"/>
      <c r="F139" s="20"/>
      <c r="G139" s="20">
        <v>2</v>
      </c>
      <c r="H139" s="20">
        <v>233</v>
      </c>
      <c r="I139" s="20">
        <v>119</v>
      </c>
      <c r="J139" s="20">
        <v>6</v>
      </c>
      <c r="K139" s="20">
        <v>280</v>
      </c>
      <c r="L139" s="20"/>
      <c r="M139" s="20">
        <v>640</v>
      </c>
      <c r="N139" s="21">
        <v>34.373437500000001</v>
      </c>
      <c r="O139" s="20" t="s">
        <v>267</v>
      </c>
      <c r="P139" s="20">
        <f t="shared" si="50"/>
        <v>280</v>
      </c>
      <c r="Q139" s="20">
        <f t="shared" si="51"/>
        <v>233</v>
      </c>
      <c r="R139" s="20">
        <f t="shared" si="33"/>
        <v>119</v>
      </c>
      <c r="S139" s="20">
        <f t="shared" si="52"/>
        <v>8</v>
      </c>
      <c r="T139" s="20">
        <f t="shared" si="53"/>
        <v>640</v>
      </c>
      <c r="U139" s="23">
        <f t="shared" si="54"/>
        <v>0.4375</v>
      </c>
      <c r="V139" s="23">
        <f t="shared" si="55"/>
        <v>0.36406250000000001</v>
      </c>
      <c r="W139" s="23">
        <f t="shared" si="56"/>
        <v>0.18593750000000001</v>
      </c>
      <c r="X139" s="23">
        <f t="shared" si="57"/>
        <v>1.2500000000000001E-2</v>
      </c>
      <c r="Y139" s="21">
        <f t="shared" si="58"/>
        <v>34.373437500000001</v>
      </c>
    </row>
    <row r="140" spans="1:25" x14ac:dyDescent="0.25">
      <c r="A140" s="20" t="s">
        <v>297</v>
      </c>
      <c r="B140" s="20" t="s">
        <v>298</v>
      </c>
      <c r="C140" s="20" t="s">
        <v>197</v>
      </c>
      <c r="D140" s="20">
        <v>6</v>
      </c>
      <c r="E140" s="20">
        <v>1</v>
      </c>
      <c r="F140" s="20"/>
      <c r="G140" s="20">
        <v>1</v>
      </c>
      <c r="H140" s="20">
        <v>232</v>
      </c>
      <c r="I140" s="20">
        <v>141</v>
      </c>
      <c r="J140" s="20">
        <v>7</v>
      </c>
      <c r="K140" s="20">
        <v>259</v>
      </c>
      <c r="L140" s="20"/>
      <c r="M140" s="20">
        <v>641</v>
      </c>
      <c r="N140" s="21">
        <v>28.533541341653667</v>
      </c>
      <c r="O140" s="20" t="s">
        <v>267</v>
      </c>
      <c r="P140" s="20">
        <f t="shared" si="50"/>
        <v>259</v>
      </c>
      <c r="Q140" s="20">
        <f t="shared" si="51"/>
        <v>232</v>
      </c>
      <c r="R140" s="20">
        <f t="shared" si="33"/>
        <v>141</v>
      </c>
      <c r="S140" s="20">
        <f t="shared" si="52"/>
        <v>9</v>
      </c>
      <c r="T140" s="20">
        <f t="shared" si="53"/>
        <v>641</v>
      </c>
      <c r="U140" s="23">
        <f t="shared" si="54"/>
        <v>0.40405616224648988</v>
      </c>
      <c r="V140" s="23">
        <f t="shared" si="55"/>
        <v>0.36193447737909518</v>
      </c>
      <c r="W140" s="23">
        <f t="shared" si="56"/>
        <v>0.21996879875195008</v>
      </c>
      <c r="X140" s="23">
        <f t="shared" si="57"/>
        <v>1.4040561622464899E-2</v>
      </c>
      <c r="Y140" s="21">
        <f t="shared" si="58"/>
        <v>28.533541341653667</v>
      </c>
    </row>
    <row r="141" spans="1:25" x14ac:dyDescent="0.25">
      <c r="A141" s="20" t="s">
        <v>297</v>
      </c>
      <c r="B141" s="20" t="s">
        <v>298</v>
      </c>
      <c r="C141" s="20" t="s">
        <v>197</v>
      </c>
      <c r="D141" s="20">
        <v>7</v>
      </c>
      <c r="E141" s="20"/>
      <c r="F141" s="20"/>
      <c r="G141" s="20">
        <v>3</v>
      </c>
      <c r="H141" s="20">
        <v>233</v>
      </c>
      <c r="I141" s="20">
        <v>103</v>
      </c>
      <c r="J141" s="20">
        <v>3</v>
      </c>
      <c r="K141" s="20">
        <v>299</v>
      </c>
      <c r="L141" s="20"/>
      <c r="M141" s="20">
        <v>641</v>
      </c>
      <c r="N141" s="21">
        <v>24.068642745709827</v>
      </c>
      <c r="O141" s="20" t="s">
        <v>267</v>
      </c>
      <c r="P141" s="20">
        <f t="shared" si="50"/>
        <v>299</v>
      </c>
      <c r="Q141" s="20">
        <f t="shared" si="51"/>
        <v>233</v>
      </c>
      <c r="R141" s="20">
        <f t="shared" si="33"/>
        <v>103</v>
      </c>
      <c r="S141" s="20">
        <f t="shared" si="52"/>
        <v>6</v>
      </c>
      <c r="T141" s="20">
        <f t="shared" si="53"/>
        <v>641</v>
      </c>
      <c r="U141" s="23">
        <f t="shared" si="54"/>
        <v>0.46645865834633388</v>
      </c>
      <c r="V141" s="23">
        <f t="shared" si="55"/>
        <v>0.36349453978159124</v>
      </c>
      <c r="W141" s="23">
        <f t="shared" si="56"/>
        <v>0.1606864274570983</v>
      </c>
      <c r="X141" s="23">
        <f t="shared" si="57"/>
        <v>9.3603744149765994E-3</v>
      </c>
      <c r="Y141" s="21">
        <f t="shared" si="58"/>
        <v>24.068642745709827</v>
      </c>
    </row>
    <row r="142" spans="1:25" x14ac:dyDescent="0.25">
      <c r="A142" s="20" t="s">
        <v>297</v>
      </c>
      <c r="B142" s="20" t="s">
        <v>298</v>
      </c>
      <c r="C142" s="20" t="s">
        <v>197</v>
      </c>
      <c r="D142" s="20">
        <v>8</v>
      </c>
      <c r="E142" s="20"/>
      <c r="F142" s="20"/>
      <c r="G142" s="20"/>
      <c r="H142" s="20">
        <v>235</v>
      </c>
      <c r="I142" s="20">
        <v>115</v>
      </c>
      <c r="J142" s="20">
        <v>3</v>
      </c>
      <c r="K142" s="20">
        <v>288</v>
      </c>
      <c r="L142" s="20"/>
      <c r="M142" s="20">
        <v>641</v>
      </c>
      <c r="N142" s="21">
        <v>19.975039001560063</v>
      </c>
      <c r="O142" s="20" t="s">
        <v>267</v>
      </c>
      <c r="P142" s="20">
        <f t="shared" si="50"/>
        <v>288</v>
      </c>
      <c r="Q142" s="20">
        <f t="shared" si="51"/>
        <v>235</v>
      </c>
      <c r="R142" s="20">
        <f t="shared" si="33"/>
        <v>115</v>
      </c>
      <c r="S142" s="20">
        <f t="shared" si="52"/>
        <v>3</v>
      </c>
      <c r="T142" s="20">
        <f t="shared" si="53"/>
        <v>641</v>
      </c>
      <c r="U142" s="23">
        <f t="shared" si="54"/>
        <v>0.44929797191887677</v>
      </c>
      <c r="V142" s="23">
        <f t="shared" si="55"/>
        <v>0.36661466458658348</v>
      </c>
      <c r="W142" s="23">
        <f t="shared" si="56"/>
        <v>0.1794071762870515</v>
      </c>
      <c r="X142" s="23">
        <f t="shared" si="57"/>
        <v>4.6801872074882997E-3</v>
      </c>
      <c r="Y142" s="21">
        <f t="shared" si="58"/>
        <v>19.975039001560063</v>
      </c>
    </row>
    <row r="143" spans="1:25" x14ac:dyDescent="0.25">
      <c r="A143" s="20" t="s">
        <v>297</v>
      </c>
      <c r="B143" s="20" t="s">
        <v>298</v>
      </c>
      <c r="C143" s="20" t="s">
        <v>198</v>
      </c>
      <c r="D143" s="20">
        <v>1</v>
      </c>
      <c r="E143" s="20"/>
      <c r="F143" s="20"/>
      <c r="G143" s="20"/>
      <c r="H143" s="20">
        <v>124</v>
      </c>
      <c r="I143" s="20">
        <v>67</v>
      </c>
      <c r="J143" s="20">
        <v>3</v>
      </c>
      <c r="K143" s="20">
        <v>176</v>
      </c>
      <c r="L143" s="20"/>
      <c r="M143" s="20">
        <v>370</v>
      </c>
      <c r="N143" s="21">
        <v>61.775675675675679</v>
      </c>
      <c r="O143" s="20" t="s">
        <v>267</v>
      </c>
      <c r="P143" s="20">
        <f t="shared" si="50"/>
        <v>176</v>
      </c>
      <c r="Q143" s="20">
        <f t="shared" si="51"/>
        <v>124</v>
      </c>
      <c r="R143" s="20">
        <f t="shared" si="33"/>
        <v>67</v>
      </c>
      <c r="S143" s="20">
        <f t="shared" si="52"/>
        <v>3</v>
      </c>
      <c r="T143" s="20">
        <f t="shared" si="53"/>
        <v>370</v>
      </c>
      <c r="U143" s="23">
        <f t="shared" si="54"/>
        <v>0.4756756756756757</v>
      </c>
      <c r="V143" s="23">
        <f t="shared" si="55"/>
        <v>0.33513513513513515</v>
      </c>
      <c r="W143" s="23">
        <f t="shared" si="56"/>
        <v>0.18108108108108109</v>
      </c>
      <c r="X143" s="23">
        <f t="shared" si="57"/>
        <v>8.1081081081081086E-3</v>
      </c>
      <c r="Y143" s="21">
        <f t="shared" si="58"/>
        <v>61.775675675675679</v>
      </c>
    </row>
    <row r="144" spans="1:25" x14ac:dyDescent="0.25">
      <c r="A144" s="20" t="s">
        <v>297</v>
      </c>
      <c r="B144" s="20" t="s">
        <v>298</v>
      </c>
      <c r="C144" s="20" t="s">
        <v>198</v>
      </c>
      <c r="D144" s="20">
        <v>2</v>
      </c>
      <c r="E144" s="20"/>
      <c r="F144" s="20"/>
      <c r="G144" s="20">
        <v>1</v>
      </c>
      <c r="H144" s="20">
        <v>168</v>
      </c>
      <c r="I144" s="20">
        <v>68</v>
      </c>
      <c r="J144" s="20">
        <v>2</v>
      </c>
      <c r="K144" s="20">
        <v>131</v>
      </c>
      <c r="L144" s="20"/>
      <c r="M144" s="20">
        <v>370</v>
      </c>
      <c r="N144" s="21">
        <v>50.859459459459458</v>
      </c>
      <c r="O144" s="20" t="s">
        <v>267</v>
      </c>
      <c r="P144" s="20">
        <f t="shared" si="50"/>
        <v>131</v>
      </c>
      <c r="Q144" s="20">
        <f t="shared" si="51"/>
        <v>168</v>
      </c>
      <c r="R144" s="20">
        <f t="shared" si="33"/>
        <v>68</v>
      </c>
      <c r="S144" s="20">
        <f t="shared" si="52"/>
        <v>3</v>
      </c>
      <c r="T144" s="20">
        <f t="shared" si="53"/>
        <v>370</v>
      </c>
      <c r="U144" s="23">
        <f t="shared" si="54"/>
        <v>0.35405405405405405</v>
      </c>
      <c r="V144" s="23">
        <f t="shared" si="55"/>
        <v>0.45405405405405408</v>
      </c>
      <c r="W144" s="23">
        <f t="shared" si="56"/>
        <v>0.18378378378378379</v>
      </c>
      <c r="X144" s="23">
        <f t="shared" si="57"/>
        <v>8.1081081081081086E-3</v>
      </c>
      <c r="Y144" s="21">
        <f t="shared" si="58"/>
        <v>50.859459459459458</v>
      </c>
    </row>
    <row r="145" spans="1:25" x14ac:dyDescent="0.25">
      <c r="A145" s="20" t="s">
        <v>297</v>
      </c>
      <c r="B145" s="20" t="s">
        <v>298</v>
      </c>
      <c r="C145" s="20" t="s">
        <v>198</v>
      </c>
      <c r="D145" s="20">
        <v>3</v>
      </c>
      <c r="E145" s="20">
        <v>1</v>
      </c>
      <c r="F145" s="20"/>
      <c r="G145" s="20">
        <v>2</v>
      </c>
      <c r="H145" s="20">
        <v>269</v>
      </c>
      <c r="I145" s="20">
        <v>94</v>
      </c>
      <c r="J145" s="20">
        <v>2</v>
      </c>
      <c r="K145" s="20">
        <v>198</v>
      </c>
      <c r="L145" s="20"/>
      <c r="M145" s="20">
        <v>566</v>
      </c>
      <c r="N145" s="21">
        <v>38.118374558303884</v>
      </c>
      <c r="O145" s="20" t="s">
        <v>267</v>
      </c>
      <c r="P145" s="20">
        <f t="shared" si="50"/>
        <v>198</v>
      </c>
      <c r="Q145" s="20">
        <f t="shared" si="51"/>
        <v>269</v>
      </c>
      <c r="R145" s="20">
        <f t="shared" si="33"/>
        <v>94</v>
      </c>
      <c r="S145" s="20">
        <f t="shared" si="52"/>
        <v>5</v>
      </c>
      <c r="T145" s="20">
        <f t="shared" si="53"/>
        <v>566</v>
      </c>
      <c r="U145" s="23">
        <f t="shared" si="54"/>
        <v>0.34982332155477031</v>
      </c>
      <c r="V145" s="23">
        <f t="shared" si="55"/>
        <v>0.47526501766784451</v>
      </c>
      <c r="W145" s="23">
        <f t="shared" si="56"/>
        <v>0.16607773851590105</v>
      </c>
      <c r="X145" s="23">
        <f t="shared" si="57"/>
        <v>8.8339222614840993E-3</v>
      </c>
      <c r="Y145" s="21">
        <f t="shared" si="58"/>
        <v>38.118374558303884</v>
      </c>
    </row>
    <row r="146" spans="1:25" x14ac:dyDescent="0.25">
      <c r="A146" s="20" t="s">
        <v>297</v>
      </c>
      <c r="B146" s="20" t="s">
        <v>298</v>
      </c>
      <c r="C146" s="20" t="s">
        <v>198</v>
      </c>
      <c r="D146" s="20">
        <v>4</v>
      </c>
      <c r="E146" s="20">
        <v>1</v>
      </c>
      <c r="F146" s="20"/>
      <c r="G146" s="20"/>
      <c r="H146" s="20">
        <v>234</v>
      </c>
      <c r="I146" s="20">
        <v>72</v>
      </c>
      <c r="J146" s="20">
        <v>2</v>
      </c>
      <c r="K146" s="20">
        <v>257</v>
      </c>
      <c r="L146" s="20"/>
      <c r="M146" s="20">
        <v>566</v>
      </c>
      <c r="N146" s="21">
        <v>28.632508833922262</v>
      </c>
      <c r="O146" s="20" t="s">
        <v>267</v>
      </c>
      <c r="P146" s="20">
        <f t="shared" si="50"/>
        <v>257</v>
      </c>
      <c r="Q146" s="20">
        <f t="shared" si="51"/>
        <v>234</v>
      </c>
      <c r="R146" s="20">
        <f t="shared" si="33"/>
        <v>72</v>
      </c>
      <c r="S146" s="20">
        <f t="shared" si="52"/>
        <v>3</v>
      </c>
      <c r="T146" s="20">
        <f t="shared" si="53"/>
        <v>566</v>
      </c>
      <c r="U146" s="23">
        <f t="shared" si="54"/>
        <v>0.45406360424028269</v>
      </c>
      <c r="V146" s="23">
        <f t="shared" si="55"/>
        <v>0.41342756183745583</v>
      </c>
      <c r="W146" s="23">
        <f t="shared" si="56"/>
        <v>0.12720848056537101</v>
      </c>
      <c r="X146" s="23">
        <f t="shared" si="57"/>
        <v>5.3003533568904597E-3</v>
      </c>
      <c r="Y146" s="21">
        <f t="shared" si="58"/>
        <v>28.632508833922262</v>
      </c>
    </row>
    <row r="147" spans="1:25" x14ac:dyDescent="0.25">
      <c r="A147" s="20" t="s">
        <v>297</v>
      </c>
      <c r="B147" s="20" t="s">
        <v>298</v>
      </c>
      <c r="C147" s="20" t="s">
        <v>198</v>
      </c>
      <c r="D147" s="20">
        <v>5</v>
      </c>
      <c r="E147" s="20"/>
      <c r="F147" s="20"/>
      <c r="G147" s="20"/>
      <c r="H147" s="20">
        <v>228</v>
      </c>
      <c r="I147" s="20">
        <v>76</v>
      </c>
      <c r="J147" s="20"/>
      <c r="K147" s="20">
        <v>262</v>
      </c>
      <c r="L147" s="20"/>
      <c r="M147" s="20">
        <v>566</v>
      </c>
      <c r="N147" s="21">
        <v>23.657243816254418</v>
      </c>
      <c r="O147" s="20" t="s">
        <v>267</v>
      </c>
      <c r="P147" s="20">
        <f t="shared" si="50"/>
        <v>262</v>
      </c>
      <c r="Q147" s="20">
        <f t="shared" si="51"/>
        <v>228</v>
      </c>
      <c r="R147" s="20">
        <f t="shared" si="33"/>
        <v>76</v>
      </c>
      <c r="S147" s="20">
        <f t="shared" si="52"/>
        <v>0</v>
      </c>
      <c r="T147" s="20">
        <f t="shared" si="53"/>
        <v>566</v>
      </c>
      <c r="U147" s="23">
        <f t="shared" si="54"/>
        <v>0.4628975265017668</v>
      </c>
      <c r="V147" s="23">
        <f t="shared" si="55"/>
        <v>0.40282685512367489</v>
      </c>
      <c r="W147" s="23">
        <f t="shared" si="56"/>
        <v>0.13427561837455831</v>
      </c>
      <c r="X147" s="23">
        <f t="shared" si="57"/>
        <v>0</v>
      </c>
      <c r="Y147" s="21">
        <f t="shared" si="58"/>
        <v>23.657243816254418</v>
      </c>
    </row>
    <row r="148" spans="1:25" x14ac:dyDescent="0.25">
      <c r="A148" s="20" t="s">
        <v>297</v>
      </c>
      <c r="B148" s="20" t="s">
        <v>298</v>
      </c>
      <c r="C148" s="20" t="s">
        <v>198</v>
      </c>
      <c r="D148" s="20">
        <v>6</v>
      </c>
      <c r="E148" s="20"/>
      <c r="F148" s="20"/>
      <c r="G148" s="20"/>
      <c r="H148" s="20">
        <v>221</v>
      </c>
      <c r="I148" s="20">
        <v>75</v>
      </c>
      <c r="J148" s="20"/>
      <c r="K148" s="20">
        <v>270</v>
      </c>
      <c r="L148" s="20"/>
      <c r="M148" s="20">
        <v>566</v>
      </c>
      <c r="N148" s="21">
        <v>19.514134275618375</v>
      </c>
      <c r="O148" s="20" t="s">
        <v>267</v>
      </c>
      <c r="P148" s="20">
        <f t="shared" si="50"/>
        <v>270</v>
      </c>
      <c r="Q148" s="20">
        <f t="shared" si="51"/>
        <v>221</v>
      </c>
      <c r="R148" s="20">
        <f t="shared" si="33"/>
        <v>75</v>
      </c>
      <c r="S148" s="20">
        <f t="shared" si="52"/>
        <v>0</v>
      </c>
      <c r="T148" s="20">
        <f t="shared" si="53"/>
        <v>566</v>
      </c>
      <c r="U148" s="23">
        <f t="shared" si="54"/>
        <v>0.47703180212014135</v>
      </c>
      <c r="V148" s="23">
        <f t="shared" si="55"/>
        <v>0.39045936395759717</v>
      </c>
      <c r="W148" s="23">
        <f t="shared" si="56"/>
        <v>0.13250883392226148</v>
      </c>
      <c r="X148" s="23">
        <f t="shared" si="57"/>
        <v>0</v>
      </c>
      <c r="Y148" s="21">
        <f t="shared" si="58"/>
        <v>19.514134275618375</v>
      </c>
    </row>
    <row r="149" spans="1:25" x14ac:dyDescent="0.25">
      <c r="A149" s="20" t="s">
        <v>297</v>
      </c>
      <c r="B149" s="20" t="s">
        <v>298</v>
      </c>
      <c r="C149" s="20" t="s">
        <v>199</v>
      </c>
      <c r="D149" s="20">
        <v>1</v>
      </c>
      <c r="E149" s="20"/>
      <c r="F149" s="20"/>
      <c r="G149" s="20"/>
      <c r="H149" s="20">
        <v>14</v>
      </c>
      <c r="I149" s="20">
        <v>28</v>
      </c>
      <c r="J149" s="20">
        <v>3</v>
      </c>
      <c r="K149" s="20">
        <v>305</v>
      </c>
      <c r="L149" s="20"/>
      <c r="M149" s="20">
        <v>350</v>
      </c>
      <c r="N149" s="21">
        <v>43.548571428571428</v>
      </c>
      <c r="O149" s="20" t="s">
        <v>267</v>
      </c>
      <c r="P149" s="20">
        <f t="shared" si="31"/>
        <v>305</v>
      </c>
      <c r="Q149" s="20">
        <f t="shared" si="32"/>
        <v>14</v>
      </c>
      <c r="R149" s="20">
        <f t="shared" si="33"/>
        <v>28</v>
      </c>
      <c r="S149" s="20">
        <f t="shared" si="34"/>
        <v>3</v>
      </c>
      <c r="T149" s="20">
        <f t="shared" si="35"/>
        <v>350</v>
      </c>
      <c r="U149" s="23">
        <f t="shared" si="36"/>
        <v>0.87142857142857144</v>
      </c>
      <c r="V149" s="23">
        <f t="shared" si="37"/>
        <v>0.04</v>
      </c>
      <c r="W149" s="23">
        <f t="shared" si="38"/>
        <v>0.08</v>
      </c>
      <c r="X149" s="23">
        <f t="shared" si="39"/>
        <v>8.5714285714285719E-3</v>
      </c>
      <c r="Y149" s="21">
        <f t="shared" si="40"/>
        <v>43.548571428571428</v>
      </c>
    </row>
    <row r="150" spans="1:25" x14ac:dyDescent="0.25">
      <c r="A150" s="20" t="s">
        <v>297</v>
      </c>
      <c r="B150" s="20" t="s">
        <v>298</v>
      </c>
      <c r="C150" s="20" t="s">
        <v>199</v>
      </c>
      <c r="D150" s="20">
        <v>2</v>
      </c>
      <c r="E150" s="20"/>
      <c r="F150" s="20"/>
      <c r="G150" s="20"/>
      <c r="H150" s="20">
        <v>6</v>
      </c>
      <c r="I150" s="20">
        <v>19</v>
      </c>
      <c r="J150" s="20"/>
      <c r="K150" s="20">
        <v>417</v>
      </c>
      <c r="L150" s="20"/>
      <c r="M150" s="20">
        <v>442</v>
      </c>
      <c r="N150" s="21">
        <v>22.70814479638009</v>
      </c>
      <c r="O150" s="20" t="s">
        <v>267</v>
      </c>
      <c r="P150" s="20">
        <f t="shared" si="31"/>
        <v>417</v>
      </c>
      <c r="Q150" s="20">
        <f t="shared" si="32"/>
        <v>6</v>
      </c>
      <c r="R150" s="20">
        <f t="shared" si="33"/>
        <v>19</v>
      </c>
      <c r="S150" s="20">
        <f t="shared" si="34"/>
        <v>0</v>
      </c>
      <c r="T150" s="20">
        <f t="shared" si="35"/>
        <v>442</v>
      </c>
      <c r="U150" s="23">
        <f t="shared" si="36"/>
        <v>0.9434389140271493</v>
      </c>
      <c r="V150" s="23">
        <f t="shared" si="37"/>
        <v>1.3574660633484163E-2</v>
      </c>
      <c r="W150" s="23">
        <f t="shared" si="38"/>
        <v>4.2986425339366516E-2</v>
      </c>
      <c r="X150" s="23">
        <f t="shared" si="39"/>
        <v>0</v>
      </c>
      <c r="Y150" s="21">
        <f t="shared" si="40"/>
        <v>22.70814479638009</v>
      </c>
    </row>
    <row r="151" spans="1:25" x14ac:dyDescent="0.25">
      <c r="A151" s="20" t="s">
        <v>299</v>
      </c>
      <c r="B151" s="20" t="s">
        <v>300</v>
      </c>
      <c r="C151" s="20" t="s">
        <v>201</v>
      </c>
      <c r="D151" s="20">
        <v>1</v>
      </c>
      <c r="E151" s="20"/>
      <c r="F151" s="20"/>
      <c r="G151" s="20"/>
      <c r="H151" s="20">
        <v>247</v>
      </c>
      <c r="I151" s="20">
        <v>29</v>
      </c>
      <c r="J151" s="20">
        <v>2</v>
      </c>
      <c r="K151" s="20">
        <v>12</v>
      </c>
      <c r="L151" s="20"/>
      <c r="M151" s="20">
        <v>290</v>
      </c>
      <c r="N151" s="21">
        <v>69.110344827586204</v>
      </c>
      <c r="O151" s="20" t="s">
        <v>267</v>
      </c>
      <c r="P151" s="20">
        <f t="shared" ref="P151:P181" si="59">K151</f>
        <v>12</v>
      </c>
      <c r="Q151" s="20">
        <f t="shared" ref="Q151:Q181" si="60">H151</f>
        <v>247</v>
      </c>
      <c r="R151" s="20">
        <f t="shared" ref="R151:R181" si="61">I151</f>
        <v>29</v>
      </c>
      <c r="S151" s="20">
        <f t="shared" ref="S151:S181" si="62">M151-SUM(P151:R151)</f>
        <v>2</v>
      </c>
      <c r="T151" s="20">
        <f t="shared" ref="T151:T181" si="63">SUM(P151:S151)</f>
        <v>290</v>
      </c>
      <c r="U151" s="23">
        <f t="shared" ref="U151:U181" si="64">P151/M151</f>
        <v>4.1379310344827586E-2</v>
      </c>
      <c r="V151" s="23">
        <f t="shared" ref="V151:V181" si="65">Q151/M151</f>
        <v>0.85172413793103452</v>
      </c>
      <c r="W151" s="23">
        <f t="shared" ref="W151:W181" si="66">R151/M151</f>
        <v>0.1</v>
      </c>
      <c r="X151" s="23">
        <f t="shared" ref="X151:X181" si="67">S151/M151</f>
        <v>6.8965517241379309E-3</v>
      </c>
      <c r="Y151" s="21">
        <f t="shared" ref="Y151:Y181" si="68">N151</f>
        <v>69.110344827586204</v>
      </c>
    </row>
    <row r="152" spans="1:25" x14ac:dyDescent="0.25">
      <c r="A152" s="20" t="s">
        <v>299</v>
      </c>
      <c r="B152" s="20" t="s">
        <v>300</v>
      </c>
      <c r="C152" s="20" t="s">
        <v>201</v>
      </c>
      <c r="D152" s="20">
        <v>2</v>
      </c>
      <c r="E152" s="20"/>
      <c r="F152" s="20"/>
      <c r="G152" s="20"/>
      <c r="H152" s="20">
        <v>189</v>
      </c>
      <c r="I152" s="20">
        <v>81</v>
      </c>
      <c r="J152" s="20"/>
      <c r="K152" s="20">
        <v>43</v>
      </c>
      <c r="L152" s="20"/>
      <c r="M152" s="20">
        <v>313</v>
      </c>
      <c r="N152" s="21">
        <v>39.482428115015978</v>
      </c>
      <c r="O152" s="20" t="s">
        <v>267</v>
      </c>
      <c r="P152" s="20">
        <f t="shared" si="59"/>
        <v>43</v>
      </c>
      <c r="Q152" s="20">
        <f t="shared" si="60"/>
        <v>189</v>
      </c>
      <c r="R152" s="20">
        <f t="shared" si="61"/>
        <v>81</v>
      </c>
      <c r="S152" s="20">
        <f t="shared" si="62"/>
        <v>0</v>
      </c>
      <c r="T152" s="20">
        <f t="shared" si="63"/>
        <v>313</v>
      </c>
      <c r="U152" s="23">
        <f t="shared" si="64"/>
        <v>0.13738019169329074</v>
      </c>
      <c r="V152" s="23">
        <f t="shared" si="65"/>
        <v>0.60383386581469645</v>
      </c>
      <c r="W152" s="23">
        <f t="shared" si="66"/>
        <v>0.25878594249201275</v>
      </c>
      <c r="X152" s="23">
        <f t="shared" si="67"/>
        <v>0</v>
      </c>
      <c r="Y152" s="21">
        <f t="shared" si="68"/>
        <v>39.482428115015978</v>
      </c>
    </row>
    <row r="153" spans="1:25" x14ac:dyDescent="0.25">
      <c r="A153" s="20" t="s">
        <v>301</v>
      </c>
      <c r="B153" s="20" t="s">
        <v>302</v>
      </c>
      <c r="C153" s="20" t="s">
        <v>203</v>
      </c>
      <c r="D153" s="20">
        <v>1</v>
      </c>
      <c r="E153" s="20"/>
      <c r="F153" s="20"/>
      <c r="G153" s="20"/>
      <c r="H153" s="20">
        <v>300</v>
      </c>
      <c r="I153" s="20">
        <v>56</v>
      </c>
      <c r="J153" s="20">
        <v>3</v>
      </c>
      <c r="K153" s="20">
        <v>11</v>
      </c>
      <c r="L153" s="20"/>
      <c r="M153" s="20">
        <v>370</v>
      </c>
      <c r="N153" s="21">
        <v>76.824324324324323</v>
      </c>
      <c r="O153" s="20" t="s">
        <v>267</v>
      </c>
      <c r="P153" s="20">
        <f t="shared" si="59"/>
        <v>11</v>
      </c>
      <c r="Q153" s="20">
        <f t="shared" si="60"/>
        <v>300</v>
      </c>
      <c r="R153" s="20">
        <f t="shared" si="61"/>
        <v>56</v>
      </c>
      <c r="S153" s="20">
        <f t="shared" si="62"/>
        <v>3</v>
      </c>
      <c r="T153" s="20">
        <f t="shared" si="63"/>
        <v>370</v>
      </c>
      <c r="U153" s="23">
        <f t="shared" si="64"/>
        <v>2.9729729729729731E-2</v>
      </c>
      <c r="V153" s="23">
        <f t="shared" si="65"/>
        <v>0.81081081081081086</v>
      </c>
      <c r="W153" s="23">
        <f t="shared" si="66"/>
        <v>0.15135135135135136</v>
      </c>
      <c r="X153" s="23">
        <f t="shared" si="67"/>
        <v>8.1081081081081086E-3</v>
      </c>
      <c r="Y153" s="21">
        <f t="shared" si="68"/>
        <v>76.824324324324323</v>
      </c>
    </row>
    <row r="154" spans="1:25" x14ac:dyDescent="0.25">
      <c r="A154" s="20" t="s">
        <v>301</v>
      </c>
      <c r="B154" s="20" t="s">
        <v>302</v>
      </c>
      <c r="C154" s="20" t="s">
        <v>203</v>
      </c>
      <c r="D154" s="20">
        <v>2</v>
      </c>
      <c r="E154" s="20"/>
      <c r="F154" s="20"/>
      <c r="G154" s="20">
        <v>1</v>
      </c>
      <c r="H154" s="20">
        <v>305</v>
      </c>
      <c r="I154" s="20">
        <v>47</v>
      </c>
      <c r="J154" s="20">
        <v>2</v>
      </c>
      <c r="K154" s="20">
        <v>15</v>
      </c>
      <c r="L154" s="20"/>
      <c r="M154" s="20">
        <v>370</v>
      </c>
      <c r="N154" s="21">
        <v>65.467567567567571</v>
      </c>
      <c r="O154" s="20" t="s">
        <v>267</v>
      </c>
      <c r="P154" s="20">
        <f t="shared" si="59"/>
        <v>15</v>
      </c>
      <c r="Q154" s="20">
        <f t="shared" si="60"/>
        <v>305</v>
      </c>
      <c r="R154" s="20">
        <f t="shared" si="61"/>
        <v>47</v>
      </c>
      <c r="S154" s="20">
        <f t="shared" si="62"/>
        <v>3</v>
      </c>
      <c r="T154" s="20">
        <f t="shared" si="63"/>
        <v>370</v>
      </c>
      <c r="U154" s="23">
        <f t="shared" si="64"/>
        <v>4.0540540540540543E-2</v>
      </c>
      <c r="V154" s="23">
        <f t="shared" si="65"/>
        <v>0.82432432432432434</v>
      </c>
      <c r="W154" s="23">
        <f t="shared" si="66"/>
        <v>0.12702702702702703</v>
      </c>
      <c r="X154" s="23">
        <f t="shared" si="67"/>
        <v>8.1081081081081086E-3</v>
      </c>
      <c r="Y154" s="21">
        <f t="shared" si="68"/>
        <v>65.467567567567571</v>
      </c>
    </row>
    <row r="155" spans="1:25" x14ac:dyDescent="0.25">
      <c r="A155" s="20" t="s">
        <v>301</v>
      </c>
      <c r="B155" s="20" t="s">
        <v>302</v>
      </c>
      <c r="C155" s="20" t="s">
        <v>203</v>
      </c>
      <c r="D155" s="20">
        <v>3</v>
      </c>
      <c r="E155" s="20"/>
      <c r="F155" s="20"/>
      <c r="G155" s="20"/>
      <c r="H155" s="20">
        <v>319</v>
      </c>
      <c r="I155" s="20">
        <v>82</v>
      </c>
      <c r="J155" s="20">
        <v>3</v>
      </c>
      <c r="K155" s="20">
        <v>92</v>
      </c>
      <c r="L155" s="20"/>
      <c r="M155" s="20">
        <v>496</v>
      </c>
      <c r="N155" s="21">
        <v>46.625</v>
      </c>
      <c r="O155" s="20" t="s">
        <v>267</v>
      </c>
      <c r="P155" s="20">
        <f t="shared" si="59"/>
        <v>92</v>
      </c>
      <c r="Q155" s="20">
        <f t="shared" si="60"/>
        <v>319</v>
      </c>
      <c r="R155" s="20">
        <f t="shared" si="61"/>
        <v>82</v>
      </c>
      <c r="S155" s="20">
        <f t="shared" si="62"/>
        <v>3</v>
      </c>
      <c r="T155" s="20">
        <f t="shared" si="63"/>
        <v>496</v>
      </c>
      <c r="U155" s="23">
        <f t="shared" si="64"/>
        <v>0.18548387096774194</v>
      </c>
      <c r="V155" s="23">
        <f t="shared" si="65"/>
        <v>0.64314516129032262</v>
      </c>
      <c r="W155" s="23">
        <f t="shared" si="66"/>
        <v>0.16532258064516128</v>
      </c>
      <c r="X155" s="23">
        <f t="shared" si="67"/>
        <v>6.0483870967741934E-3</v>
      </c>
      <c r="Y155" s="21">
        <f t="shared" si="68"/>
        <v>46.625</v>
      </c>
    </row>
    <row r="156" spans="1:25" x14ac:dyDescent="0.25">
      <c r="A156" s="20" t="s">
        <v>303</v>
      </c>
      <c r="B156" s="20" t="s">
        <v>304</v>
      </c>
      <c r="C156" s="20" t="s">
        <v>205</v>
      </c>
      <c r="D156" s="20">
        <v>1</v>
      </c>
      <c r="E156" s="20"/>
      <c r="F156" s="20"/>
      <c r="G156" s="20"/>
      <c r="H156" s="20">
        <v>232</v>
      </c>
      <c r="I156" s="20">
        <v>38</v>
      </c>
      <c r="J156" s="20">
        <v>4</v>
      </c>
      <c r="K156" s="20">
        <v>10</v>
      </c>
      <c r="L156" s="20"/>
      <c r="M156" s="20">
        <v>284</v>
      </c>
      <c r="N156" s="21">
        <v>72.852112676056336</v>
      </c>
      <c r="O156" s="20" t="s">
        <v>267</v>
      </c>
      <c r="P156" s="20">
        <f t="shared" si="59"/>
        <v>10</v>
      </c>
      <c r="Q156" s="20">
        <f t="shared" si="60"/>
        <v>232</v>
      </c>
      <c r="R156" s="20">
        <f t="shared" si="61"/>
        <v>38</v>
      </c>
      <c r="S156" s="20">
        <f t="shared" si="62"/>
        <v>4</v>
      </c>
      <c r="T156" s="20">
        <f t="shared" si="63"/>
        <v>284</v>
      </c>
      <c r="U156" s="23">
        <f t="shared" si="64"/>
        <v>3.5211267605633804E-2</v>
      </c>
      <c r="V156" s="23">
        <f t="shared" si="65"/>
        <v>0.81690140845070425</v>
      </c>
      <c r="W156" s="23">
        <f t="shared" si="66"/>
        <v>0.13380281690140844</v>
      </c>
      <c r="X156" s="23">
        <f t="shared" si="67"/>
        <v>1.4084507042253521E-2</v>
      </c>
      <c r="Y156" s="21">
        <f t="shared" si="68"/>
        <v>72.852112676056336</v>
      </c>
    </row>
    <row r="157" spans="1:25" x14ac:dyDescent="0.25">
      <c r="A157" s="20" t="s">
        <v>303</v>
      </c>
      <c r="B157" s="20" t="s">
        <v>304</v>
      </c>
      <c r="C157" s="20" t="s">
        <v>205</v>
      </c>
      <c r="D157" s="20">
        <v>2</v>
      </c>
      <c r="E157" s="20"/>
      <c r="F157" s="20">
        <v>1</v>
      </c>
      <c r="G157" s="20"/>
      <c r="H157" s="20">
        <v>195</v>
      </c>
      <c r="I157" s="20">
        <v>48</v>
      </c>
      <c r="J157" s="20">
        <v>1</v>
      </c>
      <c r="K157" s="20">
        <v>39</v>
      </c>
      <c r="L157" s="20"/>
      <c r="M157" s="20">
        <v>284</v>
      </c>
      <c r="N157" s="21">
        <v>46.742957746478872</v>
      </c>
      <c r="O157" s="20" t="s">
        <v>267</v>
      </c>
      <c r="P157" s="20">
        <f t="shared" si="59"/>
        <v>39</v>
      </c>
      <c r="Q157" s="20">
        <f t="shared" si="60"/>
        <v>195</v>
      </c>
      <c r="R157" s="20">
        <f t="shared" si="61"/>
        <v>48</v>
      </c>
      <c r="S157" s="20">
        <f t="shared" si="62"/>
        <v>2</v>
      </c>
      <c r="T157" s="20">
        <f t="shared" si="63"/>
        <v>284</v>
      </c>
      <c r="U157" s="23">
        <f t="shared" si="64"/>
        <v>0.13732394366197184</v>
      </c>
      <c r="V157" s="23">
        <f t="shared" si="65"/>
        <v>0.68661971830985913</v>
      </c>
      <c r="W157" s="23">
        <f t="shared" si="66"/>
        <v>0.16901408450704225</v>
      </c>
      <c r="X157" s="23">
        <f t="shared" si="67"/>
        <v>7.0422535211267607E-3</v>
      </c>
      <c r="Y157" s="21">
        <f t="shared" si="68"/>
        <v>46.742957746478872</v>
      </c>
    </row>
    <row r="158" spans="1:25" x14ac:dyDescent="0.25">
      <c r="A158" s="20" t="s">
        <v>305</v>
      </c>
      <c r="B158" s="20" t="s">
        <v>306</v>
      </c>
      <c r="C158" s="20" t="s">
        <v>207</v>
      </c>
      <c r="D158" s="20">
        <v>1</v>
      </c>
      <c r="E158" s="20"/>
      <c r="F158" s="20"/>
      <c r="G158" s="20"/>
      <c r="H158" s="20">
        <v>191</v>
      </c>
      <c r="I158" s="20">
        <v>142</v>
      </c>
      <c r="J158" s="20">
        <v>22</v>
      </c>
      <c r="K158" s="20">
        <v>25</v>
      </c>
      <c r="L158" s="20"/>
      <c r="M158" s="20">
        <v>380</v>
      </c>
      <c r="N158" s="21">
        <v>82.786842105263162</v>
      </c>
      <c r="O158" s="20" t="s">
        <v>267</v>
      </c>
      <c r="P158" s="20">
        <f t="shared" si="59"/>
        <v>25</v>
      </c>
      <c r="Q158" s="20">
        <f t="shared" si="60"/>
        <v>191</v>
      </c>
      <c r="R158" s="20">
        <f t="shared" si="61"/>
        <v>142</v>
      </c>
      <c r="S158" s="20">
        <f t="shared" si="62"/>
        <v>22</v>
      </c>
      <c r="T158" s="20">
        <f t="shared" si="63"/>
        <v>380</v>
      </c>
      <c r="U158" s="23">
        <f t="shared" si="64"/>
        <v>6.5789473684210523E-2</v>
      </c>
      <c r="V158" s="23">
        <f t="shared" si="65"/>
        <v>0.50263157894736843</v>
      </c>
      <c r="W158" s="23">
        <f t="shared" si="66"/>
        <v>0.37368421052631579</v>
      </c>
      <c r="X158" s="23">
        <f t="shared" si="67"/>
        <v>5.7894736842105263E-2</v>
      </c>
      <c r="Y158" s="21">
        <f t="shared" si="68"/>
        <v>82.786842105263162</v>
      </c>
    </row>
    <row r="159" spans="1:25" x14ac:dyDescent="0.25">
      <c r="A159" s="20" t="s">
        <v>305</v>
      </c>
      <c r="B159" s="20" t="s">
        <v>306</v>
      </c>
      <c r="C159" s="20" t="s">
        <v>207</v>
      </c>
      <c r="D159" s="20">
        <v>2</v>
      </c>
      <c r="E159" s="20"/>
      <c r="F159" s="20"/>
      <c r="G159" s="20"/>
      <c r="H159" s="20">
        <v>199</v>
      </c>
      <c r="I159" s="20">
        <v>144</v>
      </c>
      <c r="J159" s="20">
        <v>13</v>
      </c>
      <c r="K159" s="20">
        <v>24</v>
      </c>
      <c r="L159" s="20"/>
      <c r="M159" s="20">
        <v>380</v>
      </c>
      <c r="N159" s="21">
        <v>74.589473684210532</v>
      </c>
      <c r="O159" s="20" t="s">
        <v>267</v>
      </c>
      <c r="P159" s="20">
        <f t="shared" si="59"/>
        <v>24</v>
      </c>
      <c r="Q159" s="20">
        <f t="shared" si="60"/>
        <v>199</v>
      </c>
      <c r="R159" s="20">
        <f t="shared" si="61"/>
        <v>144</v>
      </c>
      <c r="S159" s="20">
        <f t="shared" si="62"/>
        <v>13</v>
      </c>
      <c r="T159" s="20">
        <f t="shared" si="63"/>
        <v>380</v>
      </c>
      <c r="U159" s="23">
        <f t="shared" si="64"/>
        <v>6.3157894736842107E-2</v>
      </c>
      <c r="V159" s="23">
        <f t="shared" si="65"/>
        <v>0.52368421052631575</v>
      </c>
      <c r="W159" s="23">
        <f t="shared" si="66"/>
        <v>0.37894736842105264</v>
      </c>
      <c r="X159" s="23">
        <f t="shared" si="67"/>
        <v>3.4210526315789476E-2</v>
      </c>
      <c r="Y159" s="21">
        <f t="shared" si="68"/>
        <v>74.589473684210532</v>
      </c>
    </row>
    <row r="160" spans="1:25" x14ac:dyDescent="0.25">
      <c r="A160" s="20" t="s">
        <v>305</v>
      </c>
      <c r="B160" s="20" t="s">
        <v>306</v>
      </c>
      <c r="C160" s="20" t="s">
        <v>207</v>
      </c>
      <c r="D160" s="20">
        <v>3</v>
      </c>
      <c r="E160" s="20"/>
      <c r="F160" s="20"/>
      <c r="G160" s="20"/>
      <c r="H160" s="20">
        <v>198</v>
      </c>
      <c r="I160" s="20">
        <v>135</v>
      </c>
      <c r="J160" s="20">
        <v>8</v>
      </c>
      <c r="K160" s="20">
        <v>39</v>
      </c>
      <c r="L160" s="20"/>
      <c r="M160" s="20">
        <v>380</v>
      </c>
      <c r="N160" s="21">
        <v>67.418421052631572</v>
      </c>
      <c r="O160" s="20" t="s">
        <v>267</v>
      </c>
      <c r="P160" s="20">
        <f t="shared" si="59"/>
        <v>39</v>
      </c>
      <c r="Q160" s="20">
        <f t="shared" si="60"/>
        <v>198</v>
      </c>
      <c r="R160" s="20">
        <f t="shared" si="61"/>
        <v>135</v>
      </c>
      <c r="S160" s="20">
        <f t="shared" si="62"/>
        <v>8</v>
      </c>
      <c r="T160" s="20">
        <f t="shared" si="63"/>
        <v>380</v>
      </c>
      <c r="U160" s="23">
        <f t="shared" si="64"/>
        <v>0.10263157894736842</v>
      </c>
      <c r="V160" s="23">
        <f t="shared" si="65"/>
        <v>0.52105263157894732</v>
      </c>
      <c r="W160" s="23">
        <f t="shared" si="66"/>
        <v>0.35526315789473684</v>
      </c>
      <c r="X160" s="23">
        <f t="shared" si="67"/>
        <v>2.1052631578947368E-2</v>
      </c>
      <c r="Y160" s="21">
        <f t="shared" si="68"/>
        <v>67.418421052631572</v>
      </c>
    </row>
    <row r="161" spans="1:25" x14ac:dyDescent="0.25">
      <c r="A161" s="20" t="s">
        <v>305</v>
      </c>
      <c r="B161" s="20" t="s">
        <v>306</v>
      </c>
      <c r="C161" s="20" t="s">
        <v>207</v>
      </c>
      <c r="D161" s="20">
        <v>4</v>
      </c>
      <c r="E161" s="20"/>
      <c r="F161" s="20"/>
      <c r="G161" s="20"/>
      <c r="H161" s="20">
        <v>180</v>
      </c>
      <c r="I161" s="20">
        <v>149</v>
      </c>
      <c r="J161" s="20">
        <v>8</v>
      </c>
      <c r="K161" s="20">
        <v>43</v>
      </c>
      <c r="L161" s="20"/>
      <c r="M161" s="20">
        <v>380</v>
      </c>
      <c r="N161" s="21">
        <v>60.778947368421051</v>
      </c>
      <c r="O161" s="20" t="s">
        <v>267</v>
      </c>
      <c r="P161" s="20">
        <f t="shared" si="59"/>
        <v>43</v>
      </c>
      <c r="Q161" s="20">
        <f t="shared" si="60"/>
        <v>180</v>
      </c>
      <c r="R161" s="20">
        <f t="shared" si="61"/>
        <v>149</v>
      </c>
      <c r="S161" s="20">
        <f t="shared" si="62"/>
        <v>8</v>
      </c>
      <c r="T161" s="20">
        <f t="shared" si="63"/>
        <v>380</v>
      </c>
      <c r="U161" s="23">
        <f t="shared" si="64"/>
        <v>0.11315789473684211</v>
      </c>
      <c r="V161" s="23">
        <f t="shared" si="65"/>
        <v>0.47368421052631576</v>
      </c>
      <c r="W161" s="23">
        <f t="shared" si="66"/>
        <v>0.39210526315789473</v>
      </c>
      <c r="X161" s="23">
        <f t="shared" si="67"/>
        <v>2.1052631578947368E-2</v>
      </c>
      <c r="Y161" s="21">
        <f t="shared" si="68"/>
        <v>60.778947368421051</v>
      </c>
    </row>
    <row r="162" spans="1:25" x14ac:dyDescent="0.25">
      <c r="A162" s="20" t="s">
        <v>305</v>
      </c>
      <c r="B162" s="20" t="s">
        <v>306</v>
      </c>
      <c r="C162" s="20" t="s">
        <v>207</v>
      </c>
      <c r="D162" s="20">
        <v>5</v>
      </c>
      <c r="E162" s="20"/>
      <c r="F162" s="20"/>
      <c r="G162" s="20">
        <v>2</v>
      </c>
      <c r="H162" s="20">
        <v>244</v>
      </c>
      <c r="I162" s="20">
        <v>205</v>
      </c>
      <c r="J162" s="20">
        <v>11</v>
      </c>
      <c r="K162" s="20">
        <v>80</v>
      </c>
      <c r="L162" s="20"/>
      <c r="M162" s="20">
        <v>542</v>
      </c>
      <c r="N162" s="21">
        <v>52.230627306273064</v>
      </c>
      <c r="O162" s="20" t="s">
        <v>267</v>
      </c>
      <c r="P162" s="20">
        <f t="shared" si="59"/>
        <v>80</v>
      </c>
      <c r="Q162" s="20">
        <f t="shared" si="60"/>
        <v>244</v>
      </c>
      <c r="R162" s="20">
        <f t="shared" si="61"/>
        <v>205</v>
      </c>
      <c r="S162" s="20">
        <f t="shared" si="62"/>
        <v>13</v>
      </c>
      <c r="T162" s="20">
        <f t="shared" si="63"/>
        <v>542</v>
      </c>
      <c r="U162" s="23">
        <f t="shared" si="64"/>
        <v>0.14760147601476015</v>
      </c>
      <c r="V162" s="23">
        <f t="shared" si="65"/>
        <v>0.45018450184501846</v>
      </c>
      <c r="W162" s="23">
        <f t="shared" si="66"/>
        <v>0.37822878228782286</v>
      </c>
      <c r="X162" s="23">
        <f t="shared" si="67"/>
        <v>2.3985239852398525E-2</v>
      </c>
      <c r="Y162" s="21">
        <f t="shared" si="68"/>
        <v>52.230627306273064</v>
      </c>
    </row>
    <row r="163" spans="1:25" x14ac:dyDescent="0.25">
      <c r="A163" s="20" t="s">
        <v>305</v>
      </c>
      <c r="B163" s="20" t="s">
        <v>306</v>
      </c>
      <c r="C163" s="20" t="s">
        <v>207</v>
      </c>
      <c r="D163" s="20">
        <v>6</v>
      </c>
      <c r="E163" s="20"/>
      <c r="F163" s="20"/>
      <c r="G163" s="20"/>
      <c r="H163" s="20">
        <v>220</v>
      </c>
      <c r="I163" s="20">
        <v>221</v>
      </c>
      <c r="J163" s="20">
        <v>1</v>
      </c>
      <c r="K163" s="20">
        <v>100</v>
      </c>
      <c r="L163" s="20"/>
      <c r="M163" s="20">
        <v>542</v>
      </c>
      <c r="N163" s="21">
        <v>39.76568265682657</v>
      </c>
      <c r="O163" s="20" t="s">
        <v>267</v>
      </c>
      <c r="P163" s="20">
        <f t="shared" si="59"/>
        <v>100</v>
      </c>
      <c r="Q163" s="20">
        <f t="shared" si="60"/>
        <v>220</v>
      </c>
      <c r="R163" s="20">
        <f t="shared" si="61"/>
        <v>221</v>
      </c>
      <c r="S163" s="20">
        <f t="shared" si="62"/>
        <v>1</v>
      </c>
      <c r="T163" s="20">
        <f t="shared" si="63"/>
        <v>542</v>
      </c>
      <c r="U163" s="23">
        <f t="shared" si="64"/>
        <v>0.18450184501845018</v>
      </c>
      <c r="V163" s="23">
        <f t="shared" si="65"/>
        <v>0.4059040590405904</v>
      </c>
      <c r="W163" s="23">
        <f t="shared" si="66"/>
        <v>0.40774907749077488</v>
      </c>
      <c r="X163" s="23">
        <f t="shared" si="67"/>
        <v>1.8450184501845018E-3</v>
      </c>
      <c r="Y163" s="21">
        <f t="shared" si="68"/>
        <v>39.76568265682657</v>
      </c>
    </row>
    <row r="164" spans="1:25" x14ac:dyDescent="0.25">
      <c r="A164" s="20" t="s">
        <v>305</v>
      </c>
      <c r="B164" s="20" t="s">
        <v>306</v>
      </c>
      <c r="C164" s="20" t="s">
        <v>207</v>
      </c>
      <c r="D164" s="20">
        <v>7</v>
      </c>
      <c r="E164" s="20"/>
      <c r="F164" s="20"/>
      <c r="G164" s="20">
        <v>1</v>
      </c>
      <c r="H164" s="20">
        <v>189</v>
      </c>
      <c r="I164" s="20">
        <v>228</v>
      </c>
      <c r="J164" s="20">
        <v>1</v>
      </c>
      <c r="K164" s="20">
        <v>123</v>
      </c>
      <c r="L164" s="20"/>
      <c r="M164" s="20">
        <v>542</v>
      </c>
      <c r="N164" s="21">
        <v>26.06088560885609</v>
      </c>
      <c r="O164" s="20" t="s">
        <v>267</v>
      </c>
      <c r="P164" s="20">
        <f t="shared" si="59"/>
        <v>123</v>
      </c>
      <c r="Q164" s="20">
        <f t="shared" si="60"/>
        <v>189</v>
      </c>
      <c r="R164" s="20">
        <f t="shared" si="61"/>
        <v>228</v>
      </c>
      <c r="S164" s="20">
        <f t="shared" si="62"/>
        <v>2</v>
      </c>
      <c r="T164" s="20">
        <f t="shared" si="63"/>
        <v>542</v>
      </c>
      <c r="U164" s="23">
        <f t="shared" si="64"/>
        <v>0.22693726937269373</v>
      </c>
      <c r="V164" s="23">
        <f t="shared" si="65"/>
        <v>0.34870848708487084</v>
      </c>
      <c r="W164" s="23">
        <f t="shared" si="66"/>
        <v>0.42066420664206644</v>
      </c>
      <c r="X164" s="23">
        <f t="shared" si="67"/>
        <v>3.6900369003690036E-3</v>
      </c>
      <c r="Y164" s="21">
        <f t="shared" si="68"/>
        <v>26.06088560885609</v>
      </c>
    </row>
    <row r="165" spans="1:25" x14ac:dyDescent="0.25">
      <c r="A165" s="20" t="s">
        <v>307</v>
      </c>
      <c r="B165" s="20" t="s">
        <v>308</v>
      </c>
      <c r="C165" s="20" t="s">
        <v>209</v>
      </c>
      <c r="D165" s="20">
        <v>1</v>
      </c>
      <c r="E165" s="20"/>
      <c r="F165" s="20"/>
      <c r="G165" s="20"/>
      <c r="H165" s="20">
        <v>364</v>
      </c>
      <c r="I165" s="20">
        <v>11</v>
      </c>
      <c r="J165" s="20">
        <v>2</v>
      </c>
      <c r="K165" s="20">
        <v>3</v>
      </c>
      <c r="L165" s="20"/>
      <c r="M165" s="20">
        <v>380</v>
      </c>
      <c r="N165" s="21">
        <v>76.205263157894734</v>
      </c>
      <c r="O165" s="20" t="s">
        <v>267</v>
      </c>
      <c r="P165" s="20">
        <f t="shared" si="59"/>
        <v>3</v>
      </c>
      <c r="Q165" s="20">
        <f t="shared" si="60"/>
        <v>364</v>
      </c>
      <c r="R165" s="20">
        <f t="shared" si="61"/>
        <v>11</v>
      </c>
      <c r="S165" s="20">
        <f t="shared" si="62"/>
        <v>2</v>
      </c>
      <c r="T165" s="20">
        <f t="shared" si="63"/>
        <v>380</v>
      </c>
      <c r="U165" s="23">
        <f t="shared" si="64"/>
        <v>7.8947368421052634E-3</v>
      </c>
      <c r="V165" s="23">
        <f t="shared" si="65"/>
        <v>0.95789473684210524</v>
      </c>
      <c r="W165" s="23">
        <f t="shared" si="66"/>
        <v>2.8947368421052631E-2</v>
      </c>
      <c r="X165" s="23">
        <f t="shared" si="67"/>
        <v>5.263157894736842E-3</v>
      </c>
      <c r="Y165" s="21">
        <f t="shared" si="68"/>
        <v>76.205263157894734</v>
      </c>
    </row>
    <row r="166" spans="1:25" x14ac:dyDescent="0.25">
      <c r="A166" s="20" t="s">
        <v>307</v>
      </c>
      <c r="B166" s="20" t="s">
        <v>308</v>
      </c>
      <c r="C166" s="20" t="s">
        <v>209</v>
      </c>
      <c r="D166" s="20">
        <v>2</v>
      </c>
      <c r="E166" s="20"/>
      <c r="F166" s="20"/>
      <c r="G166" s="20"/>
      <c r="H166" s="20">
        <v>360</v>
      </c>
      <c r="I166" s="20">
        <v>16</v>
      </c>
      <c r="J166" s="20">
        <v>2</v>
      </c>
      <c r="K166" s="20">
        <v>2</v>
      </c>
      <c r="L166" s="20"/>
      <c r="M166" s="20">
        <v>380</v>
      </c>
      <c r="N166" s="21">
        <v>71.118421052631575</v>
      </c>
      <c r="O166" s="20" t="s">
        <v>267</v>
      </c>
      <c r="P166" s="20">
        <f t="shared" si="59"/>
        <v>2</v>
      </c>
      <c r="Q166" s="20">
        <f t="shared" si="60"/>
        <v>360</v>
      </c>
      <c r="R166" s="20">
        <f t="shared" si="61"/>
        <v>16</v>
      </c>
      <c r="S166" s="20">
        <f t="shared" si="62"/>
        <v>2</v>
      </c>
      <c r="T166" s="20">
        <f t="shared" si="63"/>
        <v>380</v>
      </c>
      <c r="U166" s="23">
        <f t="shared" si="64"/>
        <v>5.263157894736842E-3</v>
      </c>
      <c r="V166" s="23">
        <f t="shared" si="65"/>
        <v>0.94736842105263153</v>
      </c>
      <c r="W166" s="23">
        <f t="shared" si="66"/>
        <v>4.2105263157894736E-2</v>
      </c>
      <c r="X166" s="23">
        <f t="shared" si="67"/>
        <v>5.263157894736842E-3</v>
      </c>
      <c r="Y166" s="21">
        <f t="shared" si="68"/>
        <v>71.118421052631575</v>
      </c>
    </row>
    <row r="167" spans="1:25" x14ac:dyDescent="0.25">
      <c r="A167" s="20" t="s">
        <v>307</v>
      </c>
      <c r="B167" s="20" t="s">
        <v>308</v>
      </c>
      <c r="C167" s="20" t="s">
        <v>209</v>
      </c>
      <c r="D167" s="20">
        <v>3</v>
      </c>
      <c r="E167" s="20"/>
      <c r="F167" s="20"/>
      <c r="G167" s="20"/>
      <c r="H167" s="20">
        <v>358</v>
      </c>
      <c r="I167" s="20">
        <v>19</v>
      </c>
      <c r="J167" s="20">
        <v>2</v>
      </c>
      <c r="K167" s="20">
        <v>1</v>
      </c>
      <c r="L167" s="20"/>
      <c r="M167" s="20">
        <v>380</v>
      </c>
      <c r="N167" s="21">
        <v>64</v>
      </c>
      <c r="O167" s="20" t="s">
        <v>267</v>
      </c>
      <c r="P167" s="20">
        <f t="shared" si="59"/>
        <v>1</v>
      </c>
      <c r="Q167" s="20">
        <f t="shared" si="60"/>
        <v>358</v>
      </c>
      <c r="R167" s="20">
        <f t="shared" si="61"/>
        <v>19</v>
      </c>
      <c r="S167" s="20">
        <f t="shared" si="62"/>
        <v>2</v>
      </c>
      <c r="T167" s="20">
        <f t="shared" si="63"/>
        <v>380</v>
      </c>
      <c r="U167" s="23">
        <f t="shared" si="64"/>
        <v>2.631578947368421E-3</v>
      </c>
      <c r="V167" s="23">
        <f t="shared" si="65"/>
        <v>0.94210526315789478</v>
      </c>
      <c r="W167" s="23">
        <f t="shared" si="66"/>
        <v>0.05</v>
      </c>
      <c r="X167" s="23">
        <f t="shared" si="67"/>
        <v>5.263157894736842E-3</v>
      </c>
      <c r="Y167" s="21">
        <f t="shared" si="68"/>
        <v>64</v>
      </c>
    </row>
    <row r="168" spans="1:25" x14ac:dyDescent="0.25">
      <c r="A168" s="20" t="s">
        <v>307</v>
      </c>
      <c r="B168" s="20" t="s">
        <v>308</v>
      </c>
      <c r="C168" s="20" t="s">
        <v>209</v>
      </c>
      <c r="D168" s="20">
        <v>4</v>
      </c>
      <c r="E168" s="20"/>
      <c r="F168" s="20"/>
      <c r="G168" s="20"/>
      <c r="H168" s="20">
        <v>361</v>
      </c>
      <c r="I168" s="20">
        <v>10</v>
      </c>
      <c r="J168" s="20">
        <v>1</v>
      </c>
      <c r="K168" s="20">
        <v>8</v>
      </c>
      <c r="L168" s="20"/>
      <c r="M168" s="20">
        <v>380</v>
      </c>
      <c r="N168" s="21">
        <v>58.797368421052632</v>
      </c>
      <c r="O168" s="20" t="s">
        <v>267</v>
      </c>
      <c r="P168" s="20">
        <f t="shared" si="59"/>
        <v>8</v>
      </c>
      <c r="Q168" s="20">
        <f t="shared" si="60"/>
        <v>361</v>
      </c>
      <c r="R168" s="20">
        <f t="shared" si="61"/>
        <v>10</v>
      </c>
      <c r="S168" s="20">
        <f t="shared" si="62"/>
        <v>1</v>
      </c>
      <c r="T168" s="20">
        <f t="shared" si="63"/>
        <v>380</v>
      </c>
      <c r="U168" s="23">
        <f t="shared" si="64"/>
        <v>2.1052631578947368E-2</v>
      </c>
      <c r="V168" s="23">
        <f t="shared" si="65"/>
        <v>0.95</v>
      </c>
      <c r="W168" s="23">
        <f t="shared" si="66"/>
        <v>2.6315789473684209E-2</v>
      </c>
      <c r="X168" s="23">
        <f t="shared" si="67"/>
        <v>2.631578947368421E-3</v>
      </c>
      <c r="Y168" s="21">
        <f t="shared" si="68"/>
        <v>58.797368421052632</v>
      </c>
    </row>
    <row r="169" spans="1:25" x14ac:dyDescent="0.25">
      <c r="A169" s="20" t="s">
        <v>307</v>
      </c>
      <c r="B169" s="20" t="s">
        <v>308</v>
      </c>
      <c r="C169" s="20" t="s">
        <v>209</v>
      </c>
      <c r="D169" s="20">
        <v>5</v>
      </c>
      <c r="E169" s="20"/>
      <c r="F169" s="20"/>
      <c r="G169" s="20"/>
      <c r="H169" s="20">
        <v>621</v>
      </c>
      <c r="I169" s="20">
        <v>18</v>
      </c>
      <c r="J169" s="20">
        <v>1</v>
      </c>
      <c r="K169" s="20">
        <v>5</v>
      </c>
      <c r="L169" s="20"/>
      <c r="M169" s="20">
        <v>645</v>
      </c>
      <c r="N169" s="21">
        <v>52.096124031007754</v>
      </c>
      <c r="O169" s="20" t="s">
        <v>267</v>
      </c>
      <c r="P169" s="20">
        <f t="shared" si="59"/>
        <v>5</v>
      </c>
      <c r="Q169" s="20">
        <f t="shared" si="60"/>
        <v>621</v>
      </c>
      <c r="R169" s="20">
        <f t="shared" si="61"/>
        <v>18</v>
      </c>
      <c r="S169" s="20">
        <f t="shared" si="62"/>
        <v>1</v>
      </c>
      <c r="T169" s="20">
        <f t="shared" si="63"/>
        <v>645</v>
      </c>
      <c r="U169" s="23">
        <f t="shared" si="64"/>
        <v>7.7519379844961239E-3</v>
      </c>
      <c r="V169" s="23">
        <f t="shared" si="65"/>
        <v>0.96279069767441861</v>
      </c>
      <c r="W169" s="23">
        <f t="shared" si="66"/>
        <v>2.7906976744186046E-2</v>
      </c>
      <c r="X169" s="23">
        <f t="shared" si="67"/>
        <v>1.5503875968992248E-3</v>
      </c>
      <c r="Y169" s="21">
        <f t="shared" si="68"/>
        <v>52.096124031007754</v>
      </c>
    </row>
    <row r="170" spans="1:25" x14ac:dyDescent="0.25">
      <c r="A170" s="20" t="s">
        <v>307</v>
      </c>
      <c r="B170" s="20" t="s">
        <v>308</v>
      </c>
      <c r="C170" s="20" t="s">
        <v>209</v>
      </c>
      <c r="D170" s="20">
        <v>6</v>
      </c>
      <c r="E170" s="20"/>
      <c r="F170" s="20"/>
      <c r="G170" s="20"/>
      <c r="H170" s="20">
        <v>607</v>
      </c>
      <c r="I170" s="20">
        <v>26</v>
      </c>
      <c r="J170" s="20"/>
      <c r="K170" s="20">
        <v>12</v>
      </c>
      <c r="L170" s="20"/>
      <c r="M170" s="20">
        <v>645</v>
      </c>
      <c r="N170" s="21">
        <v>42.181395348837206</v>
      </c>
      <c r="O170" s="20" t="s">
        <v>267</v>
      </c>
      <c r="P170" s="20">
        <f t="shared" si="59"/>
        <v>12</v>
      </c>
      <c r="Q170" s="20">
        <f t="shared" si="60"/>
        <v>607</v>
      </c>
      <c r="R170" s="20">
        <f t="shared" si="61"/>
        <v>26</v>
      </c>
      <c r="S170" s="20">
        <f t="shared" si="62"/>
        <v>0</v>
      </c>
      <c r="T170" s="20">
        <f t="shared" si="63"/>
        <v>645</v>
      </c>
      <c r="U170" s="23">
        <f t="shared" si="64"/>
        <v>1.8604651162790697E-2</v>
      </c>
      <c r="V170" s="23">
        <f t="shared" si="65"/>
        <v>0.94108527131782949</v>
      </c>
      <c r="W170" s="23">
        <f t="shared" si="66"/>
        <v>4.0310077519379844E-2</v>
      </c>
      <c r="X170" s="23">
        <f t="shared" si="67"/>
        <v>0</v>
      </c>
      <c r="Y170" s="21">
        <f t="shared" si="68"/>
        <v>42.181395348837206</v>
      </c>
    </row>
    <row r="171" spans="1:25" x14ac:dyDescent="0.25">
      <c r="A171" s="20" t="s">
        <v>307</v>
      </c>
      <c r="B171" s="20" t="s">
        <v>308</v>
      </c>
      <c r="C171" s="20" t="s">
        <v>209</v>
      </c>
      <c r="D171" s="20">
        <v>7</v>
      </c>
      <c r="E171" s="20"/>
      <c r="F171" s="20"/>
      <c r="G171" s="20"/>
      <c r="H171" s="20">
        <v>562</v>
      </c>
      <c r="I171" s="20">
        <v>39</v>
      </c>
      <c r="J171" s="20">
        <v>1</v>
      </c>
      <c r="K171" s="20">
        <v>43</v>
      </c>
      <c r="L171" s="20"/>
      <c r="M171" s="20">
        <v>645</v>
      </c>
      <c r="N171" s="21">
        <v>27.190697674418605</v>
      </c>
      <c r="O171" s="20" t="s">
        <v>267</v>
      </c>
      <c r="P171" s="20">
        <f t="shared" si="59"/>
        <v>43</v>
      </c>
      <c r="Q171" s="20">
        <f t="shared" si="60"/>
        <v>562</v>
      </c>
      <c r="R171" s="20">
        <f t="shared" si="61"/>
        <v>39</v>
      </c>
      <c r="S171" s="20">
        <f t="shared" si="62"/>
        <v>1</v>
      </c>
      <c r="T171" s="20">
        <f t="shared" si="63"/>
        <v>645</v>
      </c>
      <c r="U171" s="23">
        <f t="shared" si="64"/>
        <v>6.6666666666666666E-2</v>
      </c>
      <c r="V171" s="23">
        <f t="shared" si="65"/>
        <v>0.87131782945736436</v>
      </c>
      <c r="W171" s="23">
        <f t="shared" si="66"/>
        <v>6.0465116279069767E-2</v>
      </c>
      <c r="X171" s="23">
        <f t="shared" si="67"/>
        <v>1.5503875968992248E-3</v>
      </c>
      <c r="Y171" s="21">
        <f t="shared" si="68"/>
        <v>27.190697674418605</v>
      </c>
    </row>
    <row r="172" spans="1:25" x14ac:dyDescent="0.25">
      <c r="A172" s="20" t="s">
        <v>309</v>
      </c>
      <c r="B172" s="20" t="s">
        <v>310</v>
      </c>
      <c r="C172" s="20" t="s">
        <v>211</v>
      </c>
      <c r="D172" s="20">
        <v>1</v>
      </c>
      <c r="E172" s="20"/>
      <c r="F172" s="20"/>
      <c r="G172" s="20"/>
      <c r="H172" s="20">
        <v>45</v>
      </c>
      <c r="I172" s="20">
        <v>39</v>
      </c>
      <c r="J172" s="20">
        <v>2</v>
      </c>
      <c r="K172" s="20">
        <v>233</v>
      </c>
      <c r="L172" s="20">
        <v>1</v>
      </c>
      <c r="M172" s="20">
        <v>320</v>
      </c>
      <c r="N172" s="21">
        <v>69.915625000000006</v>
      </c>
      <c r="O172" s="20" t="s">
        <v>267</v>
      </c>
      <c r="P172" s="20">
        <f>K172</f>
        <v>233</v>
      </c>
      <c r="Q172" s="20">
        <f t="shared" ref="Q172:R176" si="69">H172</f>
        <v>45</v>
      </c>
      <c r="R172" s="20">
        <f t="shared" si="69"/>
        <v>39</v>
      </c>
      <c r="S172" s="20">
        <f>M172-SUM(P172:R172)</f>
        <v>3</v>
      </c>
      <c r="T172" s="20">
        <f>SUM(P172:S172)</f>
        <v>320</v>
      </c>
      <c r="U172" s="23">
        <f>P172/M172</f>
        <v>0.72812500000000002</v>
      </c>
      <c r="V172" s="23">
        <f>Q172/M172</f>
        <v>0.140625</v>
      </c>
      <c r="W172" s="23">
        <f>R172/M172</f>
        <v>0.121875</v>
      </c>
      <c r="X172" s="23">
        <f>S172/M172</f>
        <v>9.3749999999999997E-3</v>
      </c>
      <c r="Y172" s="21">
        <f>N172</f>
        <v>69.915625000000006</v>
      </c>
    </row>
    <row r="173" spans="1:25" x14ac:dyDescent="0.25">
      <c r="A173" s="20" t="s">
        <v>309</v>
      </c>
      <c r="B173" s="20" t="s">
        <v>310</v>
      </c>
      <c r="C173" s="20" t="s">
        <v>211</v>
      </c>
      <c r="D173" s="20">
        <v>2</v>
      </c>
      <c r="E173" s="20"/>
      <c r="F173" s="20">
        <v>3</v>
      </c>
      <c r="G173" s="20"/>
      <c r="H173" s="20">
        <v>28</v>
      </c>
      <c r="I173" s="20">
        <v>26</v>
      </c>
      <c r="J173" s="20"/>
      <c r="K173" s="20">
        <v>263</v>
      </c>
      <c r="L173" s="20"/>
      <c r="M173" s="20">
        <v>320</v>
      </c>
      <c r="N173" s="21">
        <v>61.565624999999997</v>
      </c>
      <c r="O173" s="20" t="s">
        <v>267</v>
      </c>
      <c r="P173" s="20">
        <f>K173</f>
        <v>263</v>
      </c>
      <c r="Q173" s="20">
        <f t="shared" si="69"/>
        <v>28</v>
      </c>
      <c r="R173" s="20">
        <f t="shared" si="69"/>
        <v>26</v>
      </c>
      <c r="S173" s="20">
        <f>M173-SUM(P173:R173)</f>
        <v>3</v>
      </c>
      <c r="T173" s="20">
        <f>SUM(P173:S173)</f>
        <v>320</v>
      </c>
      <c r="U173" s="23">
        <f>P173/M173</f>
        <v>0.82187500000000002</v>
      </c>
      <c r="V173" s="23">
        <f>Q173/M173</f>
        <v>8.7499999999999994E-2</v>
      </c>
      <c r="W173" s="23">
        <f>R173/M173</f>
        <v>8.1250000000000003E-2</v>
      </c>
      <c r="X173" s="23">
        <f>S173/M173</f>
        <v>9.3749999999999997E-3</v>
      </c>
      <c r="Y173" s="21">
        <f>N173</f>
        <v>61.565624999999997</v>
      </c>
    </row>
    <row r="174" spans="1:25" x14ac:dyDescent="0.25">
      <c r="A174" s="20" t="s">
        <v>309</v>
      </c>
      <c r="B174" s="20" t="s">
        <v>310</v>
      </c>
      <c r="C174" s="20" t="s">
        <v>211</v>
      </c>
      <c r="D174" s="20">
        <v>3</v>
      </c>
      <c r="E174" s="20"/>
      <c r="F174" s="20">
        <v>1</v>
      </c>
      <c r="G174" s="20"/>
      <c r="H174" s="20">
        <v>76</v>
      </c>
      <c r="I174" s="20">
        <v>59</v>
      </c>
      <c r="J174" s="20">
        <v>1</v>
      </c>
      <c r="K174" s="20">
        <v>441</v>
      </c>
      <c r="L174" s="20"/>
      <c r="M174" s="20">
        <v>578</v>
      </c>
      <c r="N174" s="21">
        <v>45.673010380622834</v>
      </c>
      <c r="O174" s="20" t="s">
        <v>267</v>
      </c>
      <c r="P174" s="20">
        <f>K174</f>
        <v>441</v>
      </c>
      <c r="Q174" s="20">
        <f t="shared" si="69"/>
        <v>76</v>
      </c>
      <c r="R174" s="20">
        <f t="shared" si="69"/>
        <v>59</v>
      </c>
      <c r="S174" s="20">
        <f>M174-SUM(P174:R174)</f>
        <v>2</v>
      </c>
      <c r="T174" s="20">
        <f>SUM(P174:S174)</f>
        <v>578</v>
      </c>
      <c r="U174" s="23">
        <f>P174/M174</f>
        <v>0.76297577854671284</v>
      </c>
      <c r="V174" s="23">
        <f>Q174/M174</f>
        <v>0.13148788927335639</v>
      </c>
      <c r="W174" s="23">
        <f>R174/M174</f>
        <v>0.10207612456747404</v>
      </c>
      <c r="X174" s="23">
        <f>S174/M174</f>
        <v>3.4602076124567475E-3</v>
      </c>
      <c r="Y174" s="21">
        <f>N174</f>
        <v>45.673010380622834</v>
      </c>
    </row>
    <row r="175" spans="1:25" x14ac:dyDescent="0.25">
      <c r="A175" s="20" t="s">
        <v>309</v>
      </c>
      <c r="B175" s="20" t="s">
        <v>310</v>
      </c>
      <c r="C175" s="20" t="s">
        <v>211</v>
      </c>
      <c r="D175" s="20">
        <v>4</v>
      </c>
      <c r="E175" s="20"/>
      <c r="F175" s="20"/>
      <c r="G175" s="20"/>
      <c r="H175" s="20">
        <v>30</v>
      </c>
      <c r="I175" s="20">
        <v>34</v>
      </c>
      <c r="J175" s="20"/>
      <c r="K175" s="20">
        <v>514</v>
      </c>
      <c r="L175" s="20"/>
      <c r="M175" s="20">
        <v>578</v>
      </c>
      <c r="N175" s="21">
        <v>36.463667820069205</v>
      </c>
      <c r="O175" s="20" t="s">
        <v>267</v>
      </c>
      <c r="P175" s="20">
        <f>K175</f>
        <v>514</v>
      </c>
      <c r="Q175" s="20">
        <f t="shared" si="69"/>
        <v>30</v>
      </c>
      <c r="R175" s="20">
        <f t="shared" si="69"/>
        <v>34</v>
      </c>
      <c r="S175" s="20">
        <f>M175-SUM(P175:R175)</f>
        <v>0</v>
      </c>
      <c r="T175" s="20">
        <f>SUM(P175:S175)</f>
        <v>578</v>
      </c>
      <c r="U175" s="23">
        <f>P175/M175</f>
        <v>0.88927335640138405</v>
      </c>
      <c r="V175" s="23">
        <f>Q175/M175</f>
        <v>5.1903114186851208E-2</v>
      </c>
      <c r="W175" s="23">
        <f>R175/M175</f>
        <v>5.8823529411764705E-2</v>
      </c>
      <c r="X175" s="23">
        <f>S175/M175</f>
        <v>0</v>
      </c>
      <c r="Y175" s="21">
        <f>N175</f>
        <v>36.463667820069205</v>
      </c>
    </row>
    <row r="176" spans="1:25" x14ac:dyDescent="0.25">
      <c r="A176" s="20" t="s">
        <v>309</v>
      </c>
      <c r="B176" s="20" t="s">
        <v>310</v>
      </c>
      <c r="C176" s="20" t="s">
        <v>211</v>
      </c>
      <c r="D176" s="20">
        <v>5</v>
      </c>
      <c r="E176" s="20"/>
      <c r="F176" s="20"/>
      <c r="G176" s="20"/>
      <c r="H176" s="20">
        <v>57</v>
      </c>
      <c r="I176" s="20">
        <v>45</v>
      </c>
      <c r="J176" s="20">
        <v>1</v>
      </c>
      <c r="K176" s="20">
        <v>476</v>
      </c>
      <c r="L176" s="20"/>
      <c r="M176" s="20">
        <v>579</v>
      </c>
      <c r="N176" s="21">
        <v>25.511226252158895</v>
      </c>
      <c r="O176" s="20" t="s">
        <v>267</v>
      </c>
      <c r="P176" s="20">
        <f>K176</f>
        <v>476</v>
      </c>
      <c r="Q176" s="20">
        <f t="shared" si="69"/>
        <v>57</v>
      </c>
      <c r="R176" s="20">
        <f t="shared" si="69"/>
        <v>45</v>
      </c>
      <c r="S176" s="20">
        <f>M176-SUM(P176:R176)</f>
        <v>1</v>
      </c>
      <c r="T176" s="20">
        <f>SUM(P176:S176)</f>
        <v>579</v>
      </c>
      <c r="U176" s="23">
        <f>P176/M176</f>
        <v>0.82210708117443865</v>
      </c>
      <c r="V176" s="23">
        <f>Q176/M176</f>
        <v>9.8445595854922283E-2</v>
      </c>
      <c r="W176" s="23">
        <f>R176/M176</f>
        <v>7.7720207253886009E-2</v>
      </c>
      <c r="X176" s="23">
        <f>S176/M176</f>
        <v>1.7271157167530224E-3</v>
      </c>
      <c r="Y176" s="21">
        <f>N176</f>
        <v>25.511226252158895</v>
      </c>
    </row>
    <row r="177" spans="1:25" x14ac:dyDescent="0.25">
      <c r="A177" s="20" t="s">
        <v>309</v>
      </c>
      <c r="B177" s="20" t="s">
        <v>310</v>
      </c>
      <c r="C177" s="20" t="s">
        <v>212</v>
      </c>
      <c r="D177" s="20">
        <v>1</v>
      </c>
      <c r="E177" s="20"/>
      <c r="F177" s="20">
        <v>1</v>
      </c>
      <c r="G177" s="20"/>
      <c r="H177" s="20">
        <v>65</v>
      </c>
      <c r="I177" s="20">
        <v>77</v>
      </c>
      <c r="J177" s="20">
        <v>2</v>
      </c>
      <c r="K177" s="20">
        <v>171</v>
      </c>
      <c r="L177" s="20"/>
      <c r="M177" s="20">
        <v>316</v>
      </c>
      <c r="N177" s="21">
        <v>48.566455696202532</v>
      </c>
      <c r="O177" s="20" t="s">
        <v>267</v>
      </c>
      <c r="P177" s="20">
        <f t="shared" si="59"/>
        <v>171</v>
      </c>
      <c r="Q177" s="20">
        <f t="shared" si="60"/>
        <v>65</v>
      </c>
      <c r="R177" s="20">
        <f t="shared" si="61"/>
        <v>77</v>
      </c>
      <c r="S177" s="20">
        <f t="shared" si="62"/>
        <v>3</v>
      </c>
      <c r="T177" s="20">
        <f t="shared" si="63"/>
        <v>316</v>
      </c>
      <c r="U177" s="23">
        <f t="shared" si="64"/>
        <v>0.54113924050632911</v>
      </c>
      <c r="V177" s="23">
        <f t="shared" si="65"/>
        <v>0.20569620253164558</v>
      </c>
      <c r="W177" s="23">
        <f t="shared" si="66"/>
        <v>0.24367088607594936</v>
      </c>
      <c r="X177" s="23">
        <f t="shared" si="67"/>
        <v>9.4936708860759497E-3</v>
      </c>
      <c r="Y177" s="21">
        <f t="shared" si="68"/>
        <v>48.566455696202532</v>
      </c>
    </row>
    <row r="178" spans="1:25" x14ac:dyDescent="0.25">
      <c r="A178" s="20" t="s">
        <v>309</v>
      </c>
      <c r="B178" s="20" t="s">
        <v>310</v>
      </c>
      <c r="C178" s="20" t="s">
        <v>212</v>
      </c>
      <c r="D178" s="20">
        <v>2</v>
      </c>
      <c r="E178" s="20"/>
      <c r="F178" s="20"/>
      <c r="G178" s="20"/>
      <c r="H178" s="20">
        <v>59</v>
      </c>
      <c r="I178" s="20">
        <v>47</v>
      </c>
      <c r="J178" s="20"/>
      <c r="K178" s="20">
        <v>211</v>
      </c>
      <c r="L178" s="20"/>
      <c r="M178" s="20">
        <v>317</v>
      </c>
      <c r="N178" s="21">
        <v>25.050473186119874</v>
      </c>
      <c r="O178" s="20" t="s">
        <v>267</v>
      </c>
      <c r="P178" s="20">
        <f t="shared" si="59"/>
        <v>211</v>
      </c>
      <c r="Q178" s="20">
        <f t="shared" si="60"/>
        <v>59</v>
      </c>
      <c r="R178" s="20">
        <f t="shared" si="61"/>
        <v>47</v>
      </c>
      <c r="S178" s="20">
        <f t="shared" si="62"/>
        <v>0</v>
      </c>
      <c r="T178" s="20">
        <f t="shared" si="63"/>
        <v>317</v>
      </c>
      <c r="U178" s="23">
        <f t="shared" si="64"/>
        <v>0.66561514195583593</v>
      </c>
      <c r="V178" s="23">
        <f t="shared" si="65"/>
        <v>0.18611987381703471</v>
      </c>
      <c r="W178" s="23">
        <f t="shared" si="66"/>
        <v>0.14826498422712933</v>
      </c>
      <c r="X178" s="23">
        <f t="shared" si="67"/>
        <v>0</v>
      </c>
      <c r="Y178" s="21">
        <f t="shared" si="68"/>
        <v>25.050473186119874</v>
      </c>
    </row>
    <row r="179" spans="1:25" x14ac:dyDescent="0.25">
      <c r="A179" s="20" t="s">
        <v>311</v>
      </c>
      <c r="B179" s="20" t="s">
        <v>312</v>
      </c>
      <c r="C179" s="20" t="s">
        <v>214</v>
      </c>
      <c r="D179" s="20">
        <v>1</v>
      </c>
      <c r="E179" s="20"/>
      <c r="F179" s="20"/>
      <c r="G179" s="20">
        <v>1</v>
      </c>
      <c r="H179" s="20">
        <v>135</v>
      </c>
      <c r="I179" s="20">
        <v>144</v>
      </c>
      <c r="J179" s="20">
        <v>13</v>
      </c>
      <c r="K179" s="20">
        <v>27</v>
      </c>
      <c r="L179" s="20"/>
      <c r="M179" s="20">
        <v>320</v>
      </c>
      <c r="N179" s="21">
        <v>73.478125000000006</v>
      </c>
      <c r="O179" s="20" t="s">
        <v>267</v>
      </c>
      <c r="P179" s="20">
        <f t="shared" si="59"/>
        <v>27</v>
      </c>
      <c r="Q179" s="20">
        <f t="shared" si="60"/>
        <v>135</v>
      </c>
      <c r="R179" s="20">
        <f t="shared" si="61"/>
        <v>144</v>
      </c>
      <c r="S179" s="20">
        <f t="shared" si="62"/>
        <v>14</v>
      </c>
      <c r="T179" s="20">
        <f t="shared" si="63"/>
        <v>320</v>
      </c>
      <c r="U179" s="23">
        <f t="shared" si="64"/>
        <v>8.4375000000000006E-2</v>
      </c>
      <c r="V179" s="23">
        <f t="shared" si="65"/>
        <v>0.421875</v>
      </c>
      <c r="W179" s="23">
        <f t="shared" si="66"/>
        <v>0.45</v>
      </c>
      <c r="X179" s="23">
        <f t="shared" si="67"/>
        <v>4.3749999999999997E-2</v>
      </c>
      <c r="Y179" s="21">
        <f t="shared" si="68"/>
        <v>73.478125000000006</v>
      </c>
    </row>
    <row r="180" spans="1:25" x14ac:dyDescent="0.25">
      <c r="A180" s="20" t="s">
        <v>311</v>
      </c>
      <c r="B180" s="20" t="s">
        <v>312</v>
      </c>
      <c r="C180" s="20" t="s">
        <v>214</v>
      </c>
      <c r="D180" s="20">
        <v>2</v>
      </c>
      <c r="E180" s="20"/>
      <c r="F180" s="20"/>
      <c r="G180" s="20"/>
      <c r="H180" s="20">
        <v>128</v>
      </c>
      <c r="I180" s="20">
        <v>136</v>
      </c>
      <c r="J180" s="20">
        <v>18</v>
      </c>
      <c r="K180" s="20">
        <v>38</v>
      </c>
      <c r="L180" s="20"/>
      <c r="M180" s="20">
        <v>320</v>
      </c>
      <c r="N180" s="21">
        <v>55.353124999999999</v>
      </c>
      <c r="O180" s="20" t="s">
        <v>267</v>
      </c>
      <c r="P180" s="20">
        <f t="shared" si="59"/>
        <v>38</v>
      </c>
      <c r="Q180" s="20">
        <f t="shared" si="60"/>
        <v>128</v>
      </c>
      <c r="R180" s="20">
        <f t="shared" si="61"/>
        <v>136</v>
      </c>
      <c r="S180" s="20">
        <f t="shared" si="62"/>
        <v>18</v>
      </c>
      <c r="T180" s="20">
        <f t="shared" si="63"/>
        <v>320</v>
      </c>
      <c r="U180" s="23">
        <f t="shared" si="64"/>
        <v>0.11874999999999999</v>
      </c>
      <c r="V180" s="23">
        <f t="shared" si="65"/>
        <v>0.4</v>
      </c>
      <c r="W180" s="23">
        <f t="shared" si="66"/>
        <v>0.42499999999999999</v>
      </c>
      <c r="X180" s="23">
        <f t="shared" si="67"/>
        <v>5.6250000000000001E-2</v>
      </c>
      <c r="Y180" s="21">
        <f t="shared" si="68"/>
        <v>55.353124999999999</v>
      </c>
    </row>
    <row r="181" spans="1:25" x14ac:dyDescent="0.25">
      <c r="A181" s="20" t="s">
        <v>311</v>
      </c>
      <c r="B181" s="20" t="s">
        <v>312</v>
      </c>
      <c r="C181" s="20" t="s">
        <v>214</v>
      </c>
      <c r="D181" s="20">
        <v>3</v>
      </c>
      <c r="E181" s="20"/>
      <c r="F181" s="20"/>
      <c r="G181" s="20"/>
      <c r="H181" s="20">
        <v>174</v>
      </c>
      <c r="I181" s="20">
        <v>175</v>
      </c>
      <c r="J181" s="20">
        <v>5</v>
      </c>
      <c r="K181" s="20">
        <v>77</v>
      </c>
      <c r="L181" s="20">
        <v>1</v>
      </c>
      <c r="M181" s="20">
        <v>432</v>
      </c>
      <c r="N181" s="21">
        <v>37.807870370370374</v>
      </c>
      <c r="O181" s="20" t="s">
        <v>267</v>
      </c>
      <c r="P181" s="20">
        <f t="shared" si="59"/>
        <v>77</v>
      </c>
      <c r="Q181" s="20">
        <f t="shared" si="60"/>
        <v>174</v>
      </c>
      <c r="R181" s="20">
        <f t="shared" si="61"/>
        <v>175</v>
      </c>
      <c r="S181" s="20">
        <f t="shared" si="62"/>
        <v>6</v>
      </c>
      <c r="T181" s="20">
        <f t="shared" si="63"/>
        <v>432</v>
      </c>
      <c r="U181" s="23">
        <f t="shared" si="64"/>
        <v>0.17824074074074073</v>
      </c>
      <c r="V181" s="23">
        <f t="shared" si="65"/>
        <v>0.40277777777777779</v>
      </c>
      <c r="W181" s="23">
        <f t="shared" si="66"/>
        <v>0.40509259259259262</v>
      </c>
      <c r="X181" s="23">
        <f t="shared" si="67"/>
        <v>1.3888888888888888E-2</v>
      </c>
      <c r="Y181" s="21">
        <f t="shared" si="68"/>
        <v>37.807870370370374</v>
      </c>
    </row>
    <row r="182" spans="1:25" x14ac:dyDescent="0.25">
      <c r="A182" s="20" t="s">
        <v>313</v>
      </c>
      <c r="B182" s="20" t="s">
        <v>314</v>
      </c>
      <c r="C182" s="20" t="s">
        <v>216</v>
      </c>
      <c r="D182" s="20">
        <v>1</v>
      </c>
      <c r="E182" s="20"/>
      <c r="F182" s="20"/>
      <c r="G182" s="20"/>
      <c r="H182" s="20">
        <v>251</v>
      </c>
      <c r="I182" s="20">
        <v>94</v>
      </c>
      <c r="J182" s="20">
        <v>8</v>
      </c>
      <c r="K182" s="20">
        <v>27</v>
      </c>
      <c r="L182" s="20"/>
      <c r="M182" s="20">
        <v>380</v>
      </c>
      <c r="N182" s="21">
        <v>76.184210526315795</v>
      </c>
      <c r="O182" s="20" t="s">
        <v>267</v>
      </c>
      <c r="P182" s="20">
        <f t="shared" ref="P182:P247" si="70">K182</f>
        <v>27</v>
      </c>
      <c r="Q182" s="20">
        <f t="shared" ref="Q182:Q247" si="71">H182</f>
        <v>251</v>
      </c>
      <c r="R182" s="20">
        <f t="shared" ref="R182:R247" si="72">I182</f>
        <v>94</v>
      </c>
      <c r="S182" s="20">
        <f t="shared" ref="S182:S247" si="73">M182-SUM(P182:R182)</f>
        <v>8</v>
      </c>
      <c r="T182" s="20">
        <f t="shared" ref="T182:T247" si="74">SUM(P182:S182)</f>
        <v>380</v>
      </c>
      <c r="U182" s="23">
        <f t="shared" ref="U182:U247" si="75">P182/M182</f>
        <v>7.1052631578947367E-2</v>
      </c>
      <c r="V182" s="23">
        <f t="shared" ref="V182:V247" si="76">Q182/M182</f>
        <v>0.66052631578947374</v>
      </c>
      <c r="W182" s="23">
        <f t="shared" ref="W182:W247" si="77">R182/M182</f>
        <v>0.24736842105263157</v>
      </c>
      <c r="X182" s="23">
        <f t="shared" ref="X182:X247" si="78">S182/M182</f>
        <v>2.1052631578947368E-2</v>
      </c>
      <c r="Y182" s="21">
        <f t="shared" ref="Y182:Y247" si="79">N182</f>
        <v>76.184210526315795</v>
      </c>
    </row>
    <row r="183" spans="1:25" x14ac:dyDescent="0.25">
      <c r="A183" s="20" t="s">
        <v>313</v>
      </c>
      <c r="B183" s="20" t="s">
        <v>314</v>
      </c>
      <c r="C183" s="20" t="s">
        <v>216</v>
      </c>
      <c r="D183" s="20">
        <v>2</v>
      </c>
      <c r="E183" s="20"/>
      <c r="F183" s="20"/>
      <c r="G183" s="20"/>
      <c r="H183" s="20">
        <v>239</v>
      </c>
      <c r="I183" s="20">
        <v>93</v>
      </c>
      <c r="J183" s="20">
        <v>6</v>
      </c>
      <c r="K183" s="20">
        <v>42</v>
      </c>
      <c r="L183" s="20"/>
      <c r="M183" s="20">
        <v>380</v>
      </c>
      <c r="N183" s="21">
        <v>63.478947368421053</v>
      </c>
      <c r="O183" s="20" t="s">
        <v>267</v>
      </c>
      <c r="P183" s="20">
        <f t="shared" si="70"/>
        <v>42</v>
      </c>
      <c r="Q183" s="20">
        <f t="shared" si="71"/>
        <v>239</v>
      </c>
      <c r="R183" s="20">
        <f t="shared" si="72"/>
        <v>93</v>
      </c>
      <c r="S183" s="20">
        <f t="shared" si="73"/>
        <v>6</v>
      </c>
      <c r="T183" s="20">
        <f t="shared" si="74"/>
        <v>380</v>
      </c>
      <c r="U183" s="23">
        <f t="shared" si="75"/>
        <v>0.11052631578947368</v>
      </c>
      <c r="V183" s="23">
        <f t="shared" si="76"/>
        <v>0.62894736842105259</v>
      </c>
      <c r="W183" s="23">
        <f t="shared" si="77"/>
        <v>0.24473684210526317</v>
      </c>
      <c r="X183" s="23">
        <f t="shared" si="78"/>
        <v>1.5789473684210527E-2</v>
      </c>
      <c r="Y183" s="21">
        <f t="shared" si="79"/>
        <v>63.478947368421053</v>
      </c>
    </row>
    <row r="184" spans="1:25" x14ac:dyDescent="0.25">
      <c r="A184" s="20" t="s">
        <v>313</v>
      </c>
      <c r="B184" s="20" t="s">
        <v>314</v>
      </c>
      <c r="C184" s="20" t="s">
        <v>216</v>
      </c>
      <c r="D184" s="20">
        <v>3</v>
      </c>
      <c r="E184" s="20"/>
      <c r="F184" s="20"/>
      <c r="G184" s="20"/>
      <c r="H184" s="20">
        <v>276</v>
      </c>
      <c r="I184" s="20">
        <v>101</v>
      </c>
      <c r="J184" s="20">
        <v>13</v>
      </c>
      <c r="K184" s="20">
        <v>45</v>
      </c>
      <c r="L184" s="20"/>
      <c r="M184" s="20">
        <v>435</v>
      </c>
      <c r="N184" s="21">
        <v>52.793103448275865</v>
      </c>
      <c r="O184" s="20" t="s">
        <v>267</v>
      </c>
      <c r="P184" s="20">
        <f t="shared" si="70"/>
        <v>45</v>
      </c>
      <c r="Q184" s="20">
        <f t="shared" si="71"/>
        <v>276</v>
      </c>
      <c r="R184" s="20">
        <f t="shared" si="72"/>
        <v>101</v>
      </c>
      <c r="S184" s="20">
        <f t="shared" si="73"/>
        <v>13</v>
      </c>
      <c r="T184" s="20">
        <f t="shared" si="74"/>
        <v>435</v>
      </c>
      <c r="U184" s="23">
        <f t="shared" si="75"/>
        <v>0.10344827586206896</v>
      </c>
      <c r="V184" s="23">
        <f t="shared" si="76"/>
        <v>0.6344827586206897</v>
      </c>
      <c r="W184" s="23">
        <f t="shared" si="77"/>
        <v>0.23218390804597702</v>
      </c>
      <c r="X184" s="23">
        <f t="shared" si="78"/>
        <v>2.9885057471264367E-2</v>
      </c>
      <c r="Y184" s="21">
        <f t="shared" si="79"/>
        <v>52.793103448275865</v>
      </c>
    </row>
    <row r="185" spans="1:25" x14ac:dyDescent="0.25">
      <c r="A185" s="20" t="s">
        <v>313</v>
      </c>
      <c r="B185" s="20" t="s">
        <v>314</v>
      </c>
      <c r="C185" s="20" t="s">
        <v>216</v>
      </c>
      <c r="D185" s="20">
        <v>4</v>
      </c>
      <c r="E185" s="20"/>
      <c r="F185" s="20"/>
      <c r="G185" s="20"/>
      <c r="H185" s="20">
        <v>258</v>
      </c>
      <c r="I185" s="20">
        <v>105</v>
      </c>
      <c r="J185" s="20">
        <v>7</v>
      </c>
      <c r="K185" s="20">
        <v>66</v>
      </c>
      <c r="L185" s="20"/>
      <c r="M185" s="20">
        <v>436</v>
      </c>
      <c r="N185" s="21">
        <v>39.199541284403672</v>
      </c>
      <c r="O185" s="20" t="s">
        <v>267</v>
      </c>
      <c r="P185" s="20">
        <f t="shared" si="70"/>
        <v>66</v>
      </c>
      <c r="Q185" s="20">
        <f t="shared" si="71"/>
        <v>258</v>
      </c>
      <c r="R185" s="20">
        <f t="shared" si="72"/>
        <v>105</v>
      </c>
      <c r="S185" s="20">
        <f t="shared" si="73"/>
        <v>7</v>
      </c>
      <c r="T185" s="20">
        <f t="shared" si="74"/>
        <v>436</v>
      </c>
      <c r="U185" s="23">
        <f t="shared" si="75"/>
        <v>0.15137614678899083</v>
      </c>
      <c r="V185" s="23">
        <f t="shared" si="76"/>
        <v>0.59174311926605505</v>
      </c>
      <c r="W185" s="23">
        <f t="shared" si="77"/>
        <v>0.24082568807339449</v>
      </c>
      <c r="X185" s="23">
        <f t="shared" si="78"/>
        <v>1.6055045871559634E-2</v>
      </c>
      <c r="Y185" s="21">
        <f t="shared" si="79"/>
        <v>39.199541284403672</v>
      </c>
    </row>
    <row r="186" spans="1:25" x14ac:dyDescent="0.25">
      <c r="A186" s="20" t="s">
        <v>313</v>
      </c>
      <c r="B186" s="20" t="s">
        <v>314</v>
      </c>
      <c r="C186" s="20" t="s">
        <v>216</v>
      </c>
      <c r="D186" s="20">
        <v>5</v>
      </c>
      <c r="E186" s="20"/>
      <c r="F186" s="20"/>
      <c r="G186" s="20"/>
      <c r="H186" s="20">
        <v>215</v>
      </c>
      <c r="I186" s="20">
        <v>85</v>
      </c>
      <c r="J186" s="20">
        <v>11</v>
      </c>
      <c r="K186" s="20">
        <v>125</v>
      </c>
      <c r="L186" s="20"/>
      <c r="M186" s="20">
        <v>436</v>
      </c>
      <c r="N186" s="21">
        <v>26.522935779816514</v>
      </c>
      <c r="O186" s="20" t="s">
        <v>267</v>
      </c>
      <c r="P186" s="20">
        <f t="shared" si="70"/>
        <v>125</v>
      </c>
      <c r="Q186" s="20">
        <f t="shared" si="71"/>
        <v>215</v>
      </c>
      <c r="R186" s="20">
        <f t="shared" si="72"/>
        <v>85</v>
      </c>
      <c r="S186" s="20">
        <f t="shared" si="73"/>
        <v>11</v>
      </c>
      <c r="T186" s="20">
        <f t="shared" si="74"/>
        <v>436</v>
      </c>
      <c r="U186" s="23">
        <f t="shared" si="75"/>
        <v>0.28669724770642202</v>
      </c>
      <c r="V186" s="23">
        <f t="shared" si="76"/>
        <v>0.49311926605504586</v>
      </c>
      <c r="W186" s="23">
        <f t="shared" si="77"/>
        <v>0.19495412844036697</v>
      </c>
      <c r="X186" s="23">
        <f t="shared" si="78"/>
        <v>2.5229357798165139E-2</v>
      </c>
      <c r="Y186" s="21">
        <f t="shared" si="79"/>
        <v>26.522935779816514</v>
      </c>
    </row>
    <row r="187" spans="1:25" x14ac:dyDescent="0.25">
      <c r="A187" s="20" t="s">
        <v>315</v>
      </c>
      <c r="B187" s="20" t="s">
        <v>316</v>
      </c>
      <c r="C187" s="20" t="s">
        <v>218</v>
      </c>
      <c r="D187" s="20">
        <v>1</v>
      </c>
      <c r="E187" s="20"/>
      <c r="F187" s="20"/>
      <c r="G187" s="20">
        <v>1</v>
      </c>
      <c r="H187" s="20">
        <v>126</v>
      </c>
      <c r="I187" s="20">
        <v>180</v>
      </c>
      <c r="J187" s="20">
        <v>7</v>
      </c>
      <c r="K187" s="20">
        <v>66</v>
      </c>
      <c r="L187" s="20"/>
      <c r="M187" s="20">
        <v>380</v>
      </c>
      <c r="N187" s="21">
        <v>72.284210526315789</v>
      </c>
      <c r="O187" s="20" t="s">
        <v>267</v>
      </c>
      <c r="P187" s="20">
        <f t="shared" si="70"/>
        <v>66</v>
      </c>
      <c r="Q187" s="20">
        <f t="shared" si="71"/>
        <v>126</v>
      </c>
      <c r="R187" s="20">
        <f t="shared" si="72"/>
        <v>180</v>
      </c>
      <c r="S187" s="20">
        <f t="shared" si="73"/>
        <v>8</v>
      </c>
      <c r="T187" s="20">
        <f t="shared" si="74"/>
        <v>380</v>
      </c>
      <c r="U187" s="23">
        <f t="shared" si="75"/>
        <v>0.1736842105263158</v>
      </c>
      <c r="V187" s="23">
        <f t="shared" si="76"/>
        <v>0.33157894736842103</v>
      </c>
      <c r="W187" s="23">
        <f t="shared" si="77"/>
        <v>0.47368421052631576</v>
      </c>
      <c r="X187" s="23">
        <f t="shared" si="78"/>
        <v>2.1052631578947368E-2</v>
      </c>
      <c r="Y187" s="21">
        <f t="shared" si="79"/>
        <v>72.284210526315789</v>
      </c>
    </row>
    <row r="188" spans="1:25" x14ac:dyDescent="0.25">
      <c r="A188" s="20" t="s">
        <v>315</v>
      </c>
      <c r="B188" s="20" t="s">
        <v>316</v>
      </c>
      <c r="C188" s="20" t="s">
        <v>218</v>
      </c>
      <c r="D188" s="20">
        <v>2</v>
      </c>
      <c r="E188" s="20"/>
      <c r="F188" s="20"/>
      <c r="G188" s="20"/>
      <c r="H188" s="20">
        <v>91</v>
      </c>
      <c r="I188" s="20">
        <v>204</v>
      </c>
      <c r="J188" s="20">
        <v>8</v>
      </c>
      <c r="K188" s="20">
        <v>77</v>
      </c>
      <c r="L188" s="20"/>
      <c r="M188" s="20">
        <v>380</v>
      </c>
      <c r="N188" s="21">
        <v>65.305263157894743</v>
      </c>
      <c r="O188" s="20" t="s">
        <v>267</v>
      </c>
      <c r="P188" s="20">
        <f t="shared" si="70"/>
        <v>77</v>
      </c>
      <c r="Q188" s="20">
        <f t="shared" si="71"/>
        <v>91</v>
      </c>
      <c r="R188" s="20">
        <f t="shared" si="72"/>
        <v>204</v>
      </c>
      <c r="S188" s="20">
        <f t="shared" si="73"/>
        <v>8</v>
      </c>
      <c r="T188" s="20">
        <f t="shared" si="74"/>
        <v>380</v>
      </c>
      <c r="U188" s="23">
        <f t="shared" si="75"/>
        <v>0.20263157894736841</v>
      </c>
      <c r="V188" s="23">
        <f t="shared" si="76"/>
        <v>0.23947368421052631</v>
      </c>
      <c r="W188" s="23">
        <f t="shared" si="77"/>
        <v>0.5368421052631579</v>
      </c>
      <c r="X188" s="23">
        <f t="shared" si="78"/>
        <v>2.1052631578947368E-2</v>
      </c>
      <c r="Y188" s="21">
        <f t="shared" si="79"/>
        <v>65.305263157894743</v>
      </c>
    </row>
    <row r="189" spans="1:25" x14ac:dyDescent="0.25">
      <c r="A189" s="20" t="s">
        <v>315</v>
      </c>
      <c r="B189" s="20" t="s">
        <v>316</v>
      </c>
      <c r="C189" s="20" t="s">
        <v>218</v>
      </c>
      <c r="D189" s="20">
        <v>3</v>
      </c>
      <c r="E189" s="20"/>
      <c r="F189" s="20">
        <v>1</v>
      </c>
      <c r="G189" s="20">
        <v>1</v>
      </c>
      <c r="H189" s="20">
        <v>82</v>
      </c>
      <c r="I189" s="20">
        <v>195</v>
      </c>
      <c r="J189" s="20">
        <v>8</v>
      </c>
      <c r="K189" s="20">
        <v>92</v>
      </c>
      <c r="L189" s="20">
        <v>1</v>
      </c>
      <c r="M189" s="20">
        <v>380</v>
      </c>
      <c r="N189" s="21">
        <v>56.873684210526314</v>
      </c>
      <c r="O189" s="20" t="s">
        <v>267</v>
      </c>
      <c r="P189" s="20">
        <f t="shared" si="70"/>
        <v>92</v>
      </c>
      <c r="Q189" s="20">
        <f t="shared" si="71"/>
        <v>82</v>
      </c>
      <c r="R189" s="20">
        <f t="shared" si="72"/>
        <v>195</v>
      </c>
      <c r="S189" s="20">
        <f t="shared" si="73"/>
        <v>11</v>
      </c>
      <c r="T189" s="20">
        <f t="shared" si="74"/>
        <v>380</v>
      </c>
      <c r="U189" s="23">
        <f t="shared" si="75"/>
        <v>0.24210526315789474</v>
      </c>
      <c r="V189" s="23">
        <f t="shared" si="76"/>
        <v>0.21578947368421053</v>
      </c>
      <c r="W189" s="23">
        <f t="shared" si="77"/>
        <v>0.51315789473684215</v>
      </c>
      <c r="X189" s="23">
        <f t="shared" si="78"/>
        <v>2.8947368421052631E-2</v>
      </c>
      <c r="Y189" s="21">
        <f t="shared" si="79"/>
        <v>56.873684210526314</v>
      </c>
    </row>
    <row r="190" spans="1:25" x14ac:dyDescent="0.25">
      <c r="A190" s="20" t="s">
        <v>315</v>
      </c>
      <c r="B190" s="20" t="s">
        <v>316</v>
      </c>
      <c r="C190" s="20" t="s">
        <v>218</v>
      </c>
      <c r="D190" s="20">
        <v>4</v>
      </c>
      <c r="E190" s="20"/>
      <c r="F190" s="20">
        <v>4</v>
      </c>
      <c r="G190" s="20">
        <v>4</v>
      </c>
      <c r="H190" s="20">
        <v>135</v>
      </c>
      <c r="I190" s="20">
        <v>173</v>
      </c>
      <c r="J190" s="20">
        <v>5</v>
      </c>
      <c r="K190" s="20">
        <v>276</v>
      </c>
      <c r="L190" s="20"/>
      <c r="M190" s="20">
        <v>597</v>
      </c>
      <c r="N190" s="21">
        <v>49.077051926298161</v>
      </c>
      <c r="O190" s="20" t="s">
        <v>267</v>
      </c>
      <c r="P190" s="20">
        <f t="shared" si="70"/>
        <v>276</v>
      </c>
      <c r="Q190" s="20">
        <f t="shared" si="71"/>
        <v>135</v>
      </c>
      <c r="R190" s="20">
        <f t="shared" si="72"/>
        <v>173</v>
      </c>
      <c r="S190" s="20">
        <f t="shared" si="73"/>
        <v>13</v>
      </c>
      <c r="T190" s="20">
        <f t="shared" si="74"/>
        <v>597</v>
      </c>
      <c r="U190" s="23">
        <f t="shared" si="75"/>
        <v>0.46231155778894473</v>
      </c>
      <c r="V190" s="23">
        <f t="shared" si="76"/>
        <v>0.22613065326633167</v>
      </c>
      <c r="W190" s="23">
        <f t="shared" si="77"/>
        <v>0.2897822445561139</v>
      </c>
      <c r="X190" s="23">
        <f t="shared" si="78"/>
        <v>2.1775544388609715E-2</v>
      </c>
      <c r="Y190" s="21">
        <f t="shared" si="79"/>
        <v>49.077051926298161</v>
      </c>
    </row>
    <row r="191" spans="1:25" x14ac:dyDescent="0.25">
      <c r="A191" s="20" t="s">
        <v>315</v>
      </c>
      <c r="B191" s="20" t="s">
        <v>316</v>
      </c>
      <c r="C191" s="20" t="s">
        <v>218</v>
      </c>
      <c r="D191" s="20">
        <v>5</v>
      </c>
      <c r="E191" s="20"/>
      <c r="F191" s="20">
        <v>1</v>
      </c>
      <c r="G191" s="20">
        <v>5</v>
      </c>
      <c r="H191" s="20">
        <v>99</v>
      </c>
      <c r="I191" s="20">
        <v>224</v>
      </c>
      <c r="J191" s="20">
        <v>7</v>
      </c>
      <c r="K191" s="20">
        <v>261</v>
      </c>
      <c r="L191" s="20"/>
      <c r="M191" s="20">
        <v>597</v>
      </c>
      <c r="N191" s="21">
        <v>41.825795644891123</v>
      </c>
      <c r="O191" s="20" t="s">
        <v>267</v>
      </c>
      <c r="P191" s="20">
        <f t="shared" si="70"/>
        <v>261</v>
      </c>
      <c r="Q191" s="20">
        <f t="shared" si="71"/>
        <v>99</v>
      </c>
      <c r="R191" s="20">
        <f t="shared" si="72"/>
        <v>224</v>
      </c>
      <c r="S191" s="20">
        <f t="shared" si="73"/>
        <v>13</v>
      </c>
      <c r="T191" s="20">
        <f t="shared" si="74"/>
        <v>597</v>
      </c>
      <c r="U191" s="23">
        <f t="shared" si="75"/>
        <v>0.43718592964824121</v>
      </c>
      <c r="V191" s="23">
        <f t="shared" si="76"/>
        <v>0.16582914572864321</v>
      </c>
      <c r="W191" s="23">
        <f t="shared" si="77"/>
        <v>0.37520938023450584</v>
      </c>
      <c r="X191" s="23">
        <f t="shared" si="78"/>
        <v>2.1775544388609715E-2</v>
      </c>
      <c r="Y191" s="21">
        <f t="shared" si="79"/>
        <v>41.825795644891123</v>
      </c>
    </row>
    <row r="192" spans="1:25" x14ac:dyDescent="0.25">
      <c r="A192" s="20" t="s">
        <v>315</v>
      </c>
      <c r="B192" s="20" t="s">
        <v>316</v>
      </c>
      <c r="C192" s="20" t="s">
        <v>218</v>
      </c>
      <c r="D192" s="20">
        <v>6</v>
      </c>
      <c r="E192" s="20"/>
      <c r="F192" s="20">
        <v>1</v>
      </c>
      <c r="G192" s="20">
        <v>6</v>
      </c>
      <c r="H192" s="20">
        <v>82</v>
      </c>
      <c r="I192" s="20">
        <v>238</v>
      </c>
      <c r="J192" s="20">
        <v>3</v>
      </c>
      <c r="K192" s="20">
        <v>268</v>
      </c>
      <c r="L192" s="20"/>
      <c r="M192" s="20">
        <v>598</v>
      </c>
      <c r="N192" s="21">
        <v>35.449832775919731</v>
      </c>
      <c r="O192" s="20" t="s">
        <v>267</v>
      </c>
      <c r="P192" s="20">
        <f t="shared" si="70"/>
        <v>268</v>
      </c>
      <c r="Q192" s="20">
        <f t="shared" si="71"/>
        <v>82</v>
      </c>
      <c r="R192" s="20">
        <f t="shared" si="72"/>
        <v>238</v>
      </c>
      <c r="S192" s="20">
        <f t="shared" si="73"/>
        <v>10</v>
      </c>
      <c r="T192" s="20">
        <f t="shared" si="74"/>
        <v>598</v>
      </c>
      <c r="U192" s="23">
        <f t="shared" si="75"/>
        <v>0.44816053511705684</v>
      </c>
      <c r="V192" s="23">
        <f t="shared" si="76"/>
        <v>0.13712374581939799</v>
      </c>
      <c r="W192" s="23">
        <f t="shared" si="77"/>
        <v>0.39799331103678931</v>
      </c>
      <c r="X192" s="23">
        <f t="shared" si="78"/>
        <v>1.6722408026755852E-2</v>
      </c>
      <c r="Y192" s="21">
        <f t="shared" si="79"/>
        <v>35.449832775919731</v>
      </c>
    </row>
    <row r="193" spans="1:25" x14ac:dyDescent="0.25">
      <c r="A193" s="20" t="s">
        <v>315</v>
      </c>
      <c r="B193" s="20" t="s">
        <v>316</v>
      </c>
      <c r="C193" s="20" t="s">
        <v>218</v>
      </c>
      <c r="D193" s="20">
        <v>7</v>
      </c>
      <c r="E193" s="20"/>
      <c r="F193" s="20"/>
      <c r="G193" s="20"/>
      <c r="H193" s="20">
        <v>87</v>
      </c>
      <c r="I193" s="20">
        <v>301</v>
      </c>
      <c r="J193" s="20"/>
      <c r="K193" s="20">
        <v>210</v>
      </c>
      <c r="L193" s="20"/>
      <c r="M193" s="20">
        <v>598</v>
      </c>
      <c r="N193" s="21">
        <v>25.008361204013379</v>
      </c>
      <c r="O193" s="20" t="s">
        <v>267</v>
      </c>
      <c r="P193" s="20">
        <f t="shared" si="70"/>
        <v>210</v>
      </c>
      <c r="Q193" s="20">
        <f t="shared" si="71"/>
        <v>87</v>
      </c>
      <c r="R193" s="20">
        <f t="shared" si="72"/>
        <v>301</v>
      </c>
      <c r="S193" s="20">
        <f t="shared" si="73"/>
        <v>0</v>
      </c>
      <c r="T193" s="20">
        <f t="shared" si="74"/>
        <v>598</v>
      </c>
      <c r="U193" s="23">
        <f t="shared" si="75"/>
        <v>0.3511705685618729</v>
      </c>
      <c r="V193" s="23">
        <f t="shared" si="76"/>
        <v>0.14548494983277591</v>
      </c>
      <c r="W193" s="23">
        <f t="shared" si="77"/>
        <v>0.50334448160535117</v>
      </c>
      <c r="X193" s="23">
        <f t="shared" si="78"/>
        <v>0</v>
      </c>
      <c r="Y193" s="21">
        <f t="shared" si="79"/>
        <v>25.008361204013379</v>
      </c>
    </row>
    <row r="194" spans="1:25" x14ac:dyDescent="0.25">
      <c r="A194" s="20" t="s">
        <v>317</v>
      </c>
      <c r="B194" s="20" t="s">
        <v>318</v>
      </c>
      <c r="C194" s="20" t="s">
        <v>220</v>
      </c>
      <c r="D194" s="20">
        <v>1</v>
      </c>
      <c r="E194" s="20"/>
      <c r="F194" s="20"/>
      <c r="G194" s="20"/>
      <c r="H194" s="20">
        <v>279</v>
      </c>
      <c r="I194" s="20">
        <v>54</v>
      </c>
      <c r="J194" s="20">
        <v>1</v>
      </c>
      <c r="K194" s="20">
        <v>46</v>
      </c>
      <c r="L194" s="20"/>
      <c r="M194" s="20">
        <v>380</v>
      </c>
      <c r="N194" s="21">
        <v>69.815789473684205</v>
      </c>
      <c r="O194" s="20" t="s">
        <v>267</v>
      </c>
      <c r="P194" s="20">
        <f t="shared" ref="P194:P199" si="80">K194</f>
        <v>46</v>
      </c>
      <c r="Q194" s="20">
        <f t="shared" ref="Q194:R199" si="81">H194</f>
        <v>279</v>
      </c>
      <c r="R194" s="20">
        <f t="shared" si="81"/>
        <v>54</v>
      </c>
      <c r="S194" s="20">
        <f t="shared" ref="S194:S199" si="82">M194-SUM(P194:R194)</f>
        <v>1</v>
      </c>
      <c r="T194" s="20">
        <f t="shared" ref="T194:T199" si="83">SUM(P194:S194)</f>
        <v>380</v>
      </c>
      <c r="U194" s="23">
        <f t="shared" ref="U194:U199" si="84">P194/M194</f>
        <v>0.12105263157894737</v>
      </c>
      <c r="V194" s="23">
        <f t="shared" ref="V194:V199" si="85">Q194/M194</f>
        <v>0.73421052631578942</v>
      </c>
      <c r="W194" s="23">
        <f t="shared" ref="W194:W199" si="86">R194/M194</f>
        <v>0.14210526315789473</v>
      </c>
      <c r="X194" s="23">
        <f t="shared" ref="X194:X199" si="87">S194/M194</f>
        <v>2.631578947368421E-3</v>
      </c>
      <c r="Y194" s="21">
        <f t="shared" ref="Y194:Y199" si="88">N194</f>
        <v>69.815789473684205</v>
      </c>
    </row>
    <row r="195" spans="1:25" x14ac:dyDescent="0.25">
      <c r="A195" s="20" t="s">
        <v>317</v>
      </c>
      <c r="B195" s="20" t="s">
        <v>318</v>
      </c>
      <c r="C195" s="20" t="s">
        <v>220</v>
      </c>
      <c r="D195" s="20">
        <v>2</v>
      </c>
      <c r="E195" s="20"/>
      <c r="F195" s="20"/>
      <c r="G195" s="20"/>
      <c r="H195" s="20">
        <v>305</v>
      </c>
      <c r="I195" s="20">
        <v>27</v>
      </c>
      <c r="J195" s="20"/>
      <c r="K195" s="20">
        <v>48</v>
      </c>
      <c r="L195" s="20"/>
      <c r="M195" s="20">
        <v>380</v>
      </c>
      <c r="N195" s="21">
        <v>62.042105263157893</v>
      </c>
      <c r="O195" s="20" t="s">
        <v>267</v>
      </c>
      <c r="P195" s="20">
        <f t="shared" si="80"/>
        <v>48</v>
      </c>
      <c r="Q195" s="20">
        <f t="shared" si="81"/>
        <v>305</v>
      </c>
      <c r="R195" s="20">
        <f t="shared" si="81"/>
        <v>27</v>
      </c>
      <c r="S195" s="20">
        <f t="shared" si="82"/>
        <v>0</v>
      </c>
      <c r="T195" s="20">
        <f t="shared" si="83"/>
        <v>380</v>
      </c>
      <c r="U195" s="23">
        <f t="shared" si="84"/>
        <v>0.12631578947368421</v>
      </c>
      <c r="V195" s="23">
        <f t="shared" si="85"/>
        <v>0.80263157894736847</v>
      </c>
      <c r="W195" s="23">
        <f t="shared" si="86"/>
        <v>7.1052631578947367E-2</v>
      </c>
      <c r="X195" s="23">
        <f t="shared" si="87"/>
        <v>0</v>
      </c>
      <c r="Y195" s="21">
        <f t="shared" si="88"/>
        <v>62.042105263157893</v>
      </c>
    </row>
    <row r="196" spans="1:25" x14ac:dyDescent="0.25">
      <c r="A196" s="20" t="s">
        <v>317</v>
      </c>
      <c r="B196" s="20" t="s">
        <v>318</v>
      </c>
      <c r="C196" s="20" t="s">
        <v>220</v>
      </c>
      <c r="D196" s="20">
        <v>3</v>
      </c>
      <c r="E196" s="20"/>
      <c r="F196" s="20">
        <v>1</v>
      </c>
      <c r="G196" s="20"/>
      <c r="H196" s="20">
        <v>305</v>
      </c>
      <c r="I196" s="20">
        <v>32</v>
      </c>
      <c r="J196" s="20">
        <v>2</v>
      </c>
      <c r="K196" s="20">
        <v>40</v>
      </c>
      <c r="L196" s="20"/>
      <c r="M196" s="20">
        <v>380</v>
      </c>
      <c r="N196" s="21">
        <v>54.976315789473681</v>
      </c>
      <c r="O196" s="20" t="s">
        <v>267</v>
      </c>
      <c r="P196" s="20">
        <f t="shared" si="80"/>
        <v>40</v>
      </c>
      <c r="Q196" s="20">
        <f t="shared" si="81"/>
        <v>305</v>
      </c>
      <c r="R196" s="20">
        <f t="shared" si="81"/>
        <v>32</v>
      </c>
      <c r="S196" s="20">
        <f t="shared" si="82"/>
        <v>3</v>
      </c>
      <c r="T196" s="20">
        <f t="shared" si="83"/>
        <v>380</v>
      </c>
      <c r="U196" s="23">
        <f t="shared" si="84"/>
        <v>0.10526315789473684</v>
      </c>
      <c r="V196" s="23">
        <f t="shared" si="85"/>
        <v>0.80263157894736847</v>
      </c>
      <c r="W196" s="23">
        <f t="shared" si="86"/>
        <v>8.4210526315789472E-2</v>
      </c>
      <c r="X196" s="23">
        <f t="shared" si="87"/>
        <v>7.8947368421052634E-3</v>
      </c>
      <c r="Y196" s="21">
        <f t="shared" si="88"/>
        <v>54.976315789473681</v>
      </c>
    </row>
    <row r="197" spans="1:25" x14ac:dyDescent="0.25">
      <c r="A197" s="20" t="s">
        <v>317</v>
      </c>
      <c r="B197" s="20" t="s">
        <v>318</v>
      </c>
      <c r="C197" s="20" t="s">
        <v>220</v>
      </c>
      <c r="D197" s="20">
        <v>4</v>
      </c>
      <c r="E197" s="20"/>
      <c r="F197" s="20">
        <v>1</v>
      </c>
      <c r="G197" s="20"/>
      <c r="H197" s="20">
        <v>482</v>
      </c>
      <c r="I197" s="20">
        <v>85</v>
      </c>
      <c r="J197" s="20"/>
      <c r="K197" s="20">
        <v>52</v>
      </c>
      <c r="L197" s="20"/>
      <c r="M197" s="20">
        <v>620</v>
      </c>
      <c r="N197" s="21">
        <v>47.196774193548386</v>
      </c>
      <c r="O197" s="20" t="s">
        <v>267</v>
      </c>
      <c r="P197" s="20">
        <f t="shared" si="80"/>
        <v>52</v>
      </c>
      <c r="Q197" s="20">
        <f t="shared" si="81"/>
        <v>482</v>
      </c>
      <c r="R197" s="20">
        <f t="shared" si="81"/>
        <v>85</v>
      </c>
      <c r="S197" s="20">
        <f t="shared" si="82"/>
        <v>1</v>
      </c>
      <c r="T197" s="20">
        <f t="shared" si="83"/>
        <v>620</v>
      </c>
      <c r="U197" s="23">
        <f t="shared" si="84"/>
        <v>8.387096774193549E-2</v>
      </c>
      <c r="V197" s="23">
        <f t="shared" si="85"/>
        <v>0.77741935483870972</v>
      </c>
      <c r="W197" s="23">
        <f t="shared" si="86"/>
        <v>0.13709677419354838</v>
      </c>
      <c r="X197" s="23">
        <f t="shared" si="87"/>
        <v>1.6129032258064516E-3</v>
      </c>
      <c r="Y197" s="21">
        <f t="shared" si="88"/>
        <v>47.196774193548386</v>
      </c>
    </row>
    <row r="198" spans="1:25" x14ac:dyDescent="0.25">
      <c r="A198" s="20" t="s">
        <v>317</v>
      </c>
      <c r="B198" s="20" t="s">
        <v>318</v>
      </c>
      <c r="C198" s="20" t="s">
        <v>220</v>
      </c>
      <c r="D198" s="20">
        <v>5</v>
      </c>
      <c r="E198" s="20"/>
      <c r="F198" s="20"/>
      <c r="G198" s="20"/>
      <c r="H198" s="20">
        <v>444</v>
      </c>
      <c r="I198" s="20">
        <v>112</v>
      </c>
      <c r="J198" s="20"/>
      <c r="K198" s="20">
        <v>65</v>
      </c>
      <c r="L198" s="20"/>
      <c r="M198" s="20">
        <v>621</v>
      </c>
      <c r="N198" s="21">
        <v>37.122383252818032</v>
      </c>
      <c r="O198" s="20" t="s">
        <v>267</v>
      </c>
      <c r="P198" s="20">
        <f t="shared" si="80"/>
        <v>65</v>
      </c>
      <c r="Q198" s="20">
        <f t="shared" si="81"/>
        <v>444</v>
      </c>
      <c r="R198" s="20">
        <f t="shared" si="81"/>
        <v>112</v>
      </c>
      <c r="S198" s="20">
        <f t="shared" si="82"/>
        <v>0</v>
      </c>
      <c r="T198" s="20">
        <f t="shared" si="83"/>
        <v>621</v>
      </c>
      <c r="U198" s="23">
        <f t="shared" si="84"/>
        <v>0.10466988727858294</v>
      </c>
      <c r="V198" s="23">
        <f t="shared" si="85"/>
        <v>0.71497584541062797</v>
      </c>
      <c r="W198" s="23">
        <f t="shared" si="86"/>
        <v>0.18035426731078905</v>
      </c>
      <c r="X198" s="23">
        <f t="shared" si="87"/>
        <v>0</v>
      </c>
      <c r="Y198" s="21">
        <f t="shared" si="88"/>
        <v>37.122383252818032</v>
      </c>
    </row>
    <row r="199" spans="1:25" x14ac:dyDescent="0.25">
      <c r="A199" s="20" t="s">
        <v>317</v>
      </c>
      <c r="B199" s="20" t="s">
        <v>318</v>
      </c>
      <c r="C199" s="20" t="s">
        <v>220</v>
      </c>
      <c r="D199" s="20">
        <v>6</v>
      </c>
      <c r="E199" s="20"/>
      <c r="F199" s="20"/>
      <c r="G199" s="20">
        <v>1</v>
      </c>
      <c r="H199" s="20">
        <v>400</v>
      </c>
      <c r="I199" s="20">
        <v>138</v>
      </c>
      <c r="J199" s="20"/>
      <c r="K199" s="20">
        <v>82</v>
      </c>
      <c r="L199" s="20"/>
      <c r="M199" s="20">
        <v>621</v>
      </c>
      <c r="N199" s="21">
        <v>24.62962962962963</v>
      </c>
      <c r="O199" s="20" t="s">
        <v>267</v>
      </c>
      <c r="P199" s="20">
        <f t="shared" si="80"/>
        <v>82</v>
      </c>
      <c r="Q199" s="20">
        <f t="shared" si="81"/>
        <v>400</v>
      </c>
      <c r="R199" s="20">
        <f t="shared" si="81"/>
        <v>138</v>
      </c>
      <c r="S199" s="20">
        <f t="shared" si="82"/>
        <v>1</v>
      </c>
      <c r="T199" s="20">
        <f t="shared" si="83"/>
        <v>621</v>
      </c>
      <c r="U199" s="23">
        <f t="shared" si="84"/>
        <v>0.1320450885668277</v>
      </c>
      <c r="V199" s="23">
        <f t="shared" si="85"/>
        <v>0.64412238325281801</v>
      </c>
      <c r="W199" s="23">
        <f t="shared" si="86"/>
        <v>0.22222222222222221</v>
      </c>
      <c r="X199" s="23">
        <f t="shared" si="87"/>
        <v>1.6103059581320451E-3</v>
      </c>
      <c r="Y199" s="21">
        <f t="shared" si="88"/>
        <v>24.62962962962963</v>
      </c>
    </row>
    <row r="200" spans="1:25" x14ac:dyDescent="0.25">
      <c r="A200" s="20" t="s">
        <v>317</v>
      </c>
      <c r="B200" s="20" t="s">
        <v>318</v>
      </c>
      <c r="C200" s="20" t="s">
        <v>221</v>
      </c>
      <c r="D200" s="20">
        <v>1</v>
      </c>
      <c r="E200" s="20"/>
      <c r="F200" s="20">
        <v>1</v>
      </c>
      <c r="G200" s="20"/>
      <c r="H200" s="20">
        <v>123</v>
      </c>
      <c r="I200" s="20">
        <v>56</v>
      </c>
      <c r="J200" s="20">
        <v>1</v>
      </c>
      <c r="K200" s="20">
        <v>189</v>
      </c>
      <c r="L200" s="20"/>
      <c r="M200" s="20">
        <v>370</v>
      </c>
      <c r="N200" s="21">
        <v>65.248648648648654</v>
      </c>
      <c r="O200" s="20" t="s">
        <v>267</v>
      </c>
      <c r="P200" s="20">
        <f t="shared" si="70"/>
        <v>189</v>
      </c>
      <c r="Q200" s="20">
        <f t="shared" si="71"/>
        <v>123</v>
      </c>
      <c r="R200" s="20">
        <f t="shared" si="72"/>
        <v>56</v>
      </c>
      <c r="S200" s="20">
        <f t="shared" si="73"/>
        <v>2</v>
      </c>
      <c r="T200" s="20">
        <f t="shared" si="74"/>
        <v>370</v>
      </c>
      <c r="U200" s="23">
        <f t="shared" si="75"/>
        <v>0.51081081081081081</v>
      </c>
      <c r="V200" s="23">
        <f t="shared" si="76"/>
        <v>0.33243243243243242</v>
      </c>
      <c r="W200" s="23">
        <f t="shared" si="77"/>
        <v>0.15135135135135136</v>
      </c>
      <c r="X200" s="23">
        <f t="shared" si="78"/>
        <v>5.4054054054054057E-3</v>
      </c>
      <c r="Y200" s="21">
        <f t="shared" si="79"/>
        <v>65.248648648648654</v>
      </c>
    </row>
    <row r="201" spans="1:25" x14ac:dyDescent="0.25">
      <c r="A201" s="20" t="s">
        <v>317</v>
      </c>
      <c r="B201" s="20" t="s">
        <v>318</v>
      </c>
      <c r="C201" s="20" t="s">
        <v>221</v>
      </c>
      <c r="D201" s="20">
        <v>2</v>
      </c>
      <c r="E201" s="20"/>
      <c r="F201" s="20">
        <v>1</v>
      </c>
      <c r="G201" s="20">
        <v>1</v>
      </c>
      <c r="H201" s="20">
        <v>157</v>
      </c>
      <c r="I201" s="20">
        <v>80</v>
      </c>
      <c r="J201" s="20"/>
      <c r="K201" s="20">
        <v>190</v>
      </c>
      <c r="L201" s="20"/>
      <c r="M201" s="20">
        <v>429</v>
      </c>
      <c r="N201" s="21">
        <v>44.694638694638698</v>
      </c>
      <c r="O201" s="20" t="s">
        <v>267</v>
      </c>
      <c r="P201" s="20">
        <f t="shared" si="70"/>
        <v>190</v>
      </c>
      <c r="Q201" s="20">
        <f t="shared" si="71"/>
        <v>157</v>
      </c>
      <c r="R201" s="20">
        <f t="shared" si="72"/>
        <v>80</v>
      </c>
      <c r="S201" s="20">
        <f t="shared" si="73"/>
        <v>2</v>
      </c>
      <c r="T201" s="20">
        <f t="shared" si="74"/>
        <v>429</v>
      </c>
      <c r="U201" s="23">
        <f t="shared" si="75"/>
        <v>0.44289044289044288</v>
      </c>
      <c r="V201" s="23">
        <f t="shared" si="76"/>
        <v>0.36596736596736595</v>
      </c>
      <c r="W201" s="23">
        <f t="shared" si="77"/>
        <v>0.18648018648018649</v>
      </c>
      <c r="X201" s="23">
        <f t="shared" si="78"/>
        <v>4.662004662004662E-3</v>
      </c>
      <c r="Y201" s="21">
        <f t="shared" si="79"/>
        <v>44.694638694638698</v>
      </c>
    </row>
    <row r="202" spans="1:25" x14ac:dyDescent="0.25">
      <c r="A202" s="20" t="s">
        <v>317</v>
      </c>
      <c r="B202" s="20" t="s">
        <v>318</v>
      </c>
      <c r="C202" s="20" t="s">
        <v>221</v>
      </c>
      <c r="D202" s="20">
        <v>3</v>
      </c>
      <c r="E202" s="20"/>
      <c r="F202" s="20"/>
      <c r="G202" s="20"/>
      <c r="H202" s="20">
        <v>51</v>
      </c>
      <c r="I202" s="20">
        <v>22</v>
      </c>
      <c r="J202" s="20"/>
      <c r="K202" s="20">
        <v>356</v>
      </c>
      <c r="L202" s="20"/>
      <c r="M202" s="20">
        <v>429</v>
      </c>
      <c r="N202" s="21">
        <v>27.547785547785548</v>
      </c>
      <c r="O202" s="20" t="s">
        <v>267</v>
      </c>
      <c r="P202" s="20">
        <f t="shared" si="70"/>
        <v>356</v>
      </c>
      <c r="Q202" s="20">
        <f t="shared" si="71"/>
        <v>51</v>
      </c>
      <c r="R202" s="20">
        <f t="shared" si="72"/>
        <v>22</v>
      </c>
      <c r="S202" s="20">
        <f t="shared" si="73"/>
        <v>0</v>
      </c>
      <c r="T202" s="20">
        <f t="shared" si="74"/>
        <v>429</v>
      </c>
      <c r="U202" s="23">
        <f t="shared" si="75"/>
        <v>0.82983682983682983</v>
      </c>
      <c r="V202" s="23">
        <f t="shared" si="76"/>
        <v>0.11888111888111888</v>
      </c>
      <c r="W202" s="23">
        <f t="shared" si="77"/>
        <v>5.128205128205128E-2</v>
      </c>
      <c r="X202" s="23">
        <f t="shared" si="78"/>
        <v>0</v>
      </c>
      <c r="Y202" s="21">
        <f t="shared" si="79"/>
        <v>27.547785547785548</v>
      </c>
    </row>
    <row r="203" spans="1:25" x14ac:dyDescent="0.25">
      <c r="A203" s="20" t="s">
        <v>319</v>
      </c>
      <c r="B203" s="20" t="s">
        <v>320</v>
      </c>
      <c r="C203" s="20" t="s">
        <v>223</v>
      </c>
      <c r="D203" s="20">
        <v>1</v>
      </c>
      <c r="E203" s="20"/>
      <c r="F203" s="20"/>
      <c r="G203" s="20">
        <v>1</v>
      </c>
      <c r="H203" s="20">
        <v>142</v>
      </c>
      <c r="I203" s="20">
        <v>172</v>
      </c>
      <c r="J203" s="20">
        <v>14</v>
      </c>
      <c r="K203" s="20">
        <v>51</v>
      </c>
      <c r="L203" s="20"/>
      <c r="M203" s="20">
        <v>380</v>
      </c>
      <c r="N203" s="21">
        <v>70.95</v>
      </c>
      <c r="O203" s="20" t="s">
        <v>267</v>
      </c>
      <c r="P203" s="20">
        <f t="shared" si="70"/>
        <v>51</v>
      </c>
      <c r="Q203" s="20">
        <f t="shared" si="71"/>
        <v>142</v>
      </c>
      <c r="R203" s="20">
        <f t="shared" si="72"/>
        <v>172</v>
      </c>
      <c r="S203" s="20">
        <f t="shared" si="73"/>
        <v>15</v>
      </c>
      <c r="T203" s="20">
        <f t="shared" si="74"/>
        <v>380</v>
      </c>
      <c r="U203" s="23">
        <f t="shared" si="75"/>
        <v>0.13421052631578947</v>
      </c>
      <c r="V203" s="23">
        <f t="shared" si="76"/>
        <v>0.37368421052631579</v>
      </c>
      <c r="W203" s="23">
        <f t="shared" si="77"/>
        <v>0.45263157894736844</v>
      </c>
      <c r="X203" s="23">
        <f t="shared" si="78"/>
        <v>3.9473684210526314E-2</v>
      </c>
      <c r="Y203" s="21">
        <f t="shared" si="79"/>
        <v>70.95</v>
      </c>
    </row>
    <row r="204" spans="1:25" x14ac:dyDescent="0.25">
      <c r="A204" s="20" t="s">
        <v>319</v>
      </c>
      <c r="B204" s="20" t="s">
        <v>320</v>
      </c>
      <c r="C204" s="20" t="s">
        <v>223</v>
      </c>
      <c r="D204" s="20">
        <v>2</v>
      </c>
      <c r="E204" s="20"/>
      <c r="F204" s="20"/>
      <c r="G204" s="20"/>
      <c r="H204" s="20">
        <v>153</v>
      </c>
      <c r="I204" s="20">
        <v>181</v>
      </c>
      <c r="J204" s="20">
        <v>8</v>
      </c>
      <c r="K204" s="20">
        <v>38</v>
      </c>
      <c r="L204" s="20"/>
      <c r="M204" s="20">
        <v>380</v>
      </c>
      <c r="N204" s="21">
        <v>64.297368421052639</v>
      </c>
      <c r="O204" s="20" t="s">
        <v>267</v>
      </c>
      <c r="P204" s="20">
        <f t="shared" si="70"/>
        <v>38</v>
      </c>
      <c r="Q204" s="20">
        <f t="shared" si="71"/>
        <v>153</v>
      </c>
      <c r="R204" s="20">
        <f t="shared" si="72"/>
        <v>181</v>
      </c>
      <c r="S204" s="20">
        <f t="shared" si="73"/>
        <v>8</v>
      </c>
      <c r="T204" s="20">
        <f t="shared" si="74"/>
        <v>380</v>
      </c>
      <c r="U204" s="23">
        <f t="shared" si="75"/>
        <v>0.1</v>
      </c>
      <c r="V204" s="23">
        <f t="shared" si="76"/>
        <v>0.4026315789473684</v>
      </c>
      <c r="W204" s="23">
        <f t="shared" si="77"/>
        <v>0.47631578947368419</v>
      </c>
      <c r="X204" s="23">
        <f t="shared" si="78"/>
        <v>2.1052631578947368E-2</v>
      </c>
      <c r="Y204" s="21">
        <f t="shared" si="79"/>
        <v>64.297368421052639</v>
      </c>
    </row>
    <row r="205" spans="1:25" x14ac:dyDescent="0.25">
      <c r="A205" s="20" t="s">
        <v>319</v>
      </c>
      <c r="B205" s="20" t="s">
        <v>320</v>
      </c>
      <c r="C205" s="20" t="s">
        <v>223</v>
      </c>
      <c r="D205" s="20">
        <v>3</v>
      </c>
      <c r="E205" s="20"/>
      <c r="F205" s="20"/>
      <c r="G205" s="20">
        <v>1</v>
      </c>
      <c r="H205" s="20">
        <v>155</v>
      </c>
      <c r="I205" s="20">
        <v>176</v>
      </c>
      <c r="J205" s="20">
        <v>8</v>
      </c>
      <c r="K205" s="20">
        <v>40</v>
      </c>
      <c r="L205" s="20"/>
      <c r="M205" s="20">
        <v>380</v>
      </c>
      <c r="N205" s="21">
        <v>55.381578947368418</v>
      </c>
      <c r="O205" s="20" t="s">
        <v>267</v>
      </c>
      <c r="P205" s="20">
        <f t="shared" si="70"/>
        <v>40</v>
      </c>
      <c r="Q205" s="20">
        <f t="shared" si="71"/>
        <v>155</v>
      </c>
      <c r="R205" s="20">
        <f t="shared" si="72"/>
        <v>176</v>
      </c>
      <c r="S205" s="20">
        <f t="shared" si="73"/>
        <v>9</v>
      </c>
      <c r="T205" s="20">
        <f t="shared" si="74"/>
        <v>380</v>
      </c>
      <c r="U205" s="23">
        <f t="shared" si="75"/>
        <v>0.10526315789473684</v>
      </c>
      <c r="V205" s="23">
        <f t="shared" si="76"/>
        <v>0.40789473684210525</v>
      </c>
      <c r="W205" s="23">
        <f t="shared" si="77"/>
        <v>0.4631578947368421</v>
      </c>
      <c r="X205" s="23">
        <f t="shared" si="78"/>
        <v>2.368421052631579E-2</v>
      </c>
      <c r="Y205" s="21">
        <f t="shared" si="79"/>
        <v>55.381578947368418</v>
      </c>
    </row>
    <row r="206" spans="1:25" x14ac:dyDescent="0.25">
      <c r="A206" s="20" t="s">
        <v>319</v>
      </c>
      <c r="B206" s="20" t="s">
        <v>320</v>
      </c>
      <c r="C206" s="20" t="s">
        <v>223</v>
      </c>
      <c r="D206" s="20">
        <v>4</v>
      </c>
      <c r="E206" s="20"/>
      <c r="F206" s="20">
        <v>2</v>
      </c>
      <c r="G206" s="20">
        <v>2</v>
      </c>
      <c r="H206" s="20">
        <v>260</v>
      </c>
      <c r="I206" s="20">
        <v>242</v>
      </c>
      <c r="J206" s="20">
        <v>10</v>
      </c>
      <c r="K206" s="20">
        <v>74</v>
      </c>
      <c r="L206" s="20"/>
      <c r="M206" s="20">
        <v>590</v>
      </c>
      <c r="N206" s="21">
        <v>45.538983050847456</v>
      </c>
      <c r="O206" s="20" t="s">
        <v>267</v>
      </c>
      <c r="P206" s="20">
        <f t="shared" si="70"/>
        <v>74</v>
      </c>
      <c r="Q206" s="20">
        <f t="shared" si="71"/>
        <v>260</v>
      </c>
      <c r="R206" s="20">
        <f t="shared" si="72"/>
        <v>242</v>
      </c>
      <c r="S206" s="20">
        <f t="shared" si="73"/>
        <v>14</v>
      </c>
      <c r="T206" s="20">
        <f t="shared" si="74"/>
        <v>590</v>
      </c>
      <c r="U206" s="23">
        <f t="shared" si="75"/>
        <v>0.12542372881355932</v>
      </c>
      <c r="V206" s="23">
        <f t="shared" si="76"/>
        <v>0.44067796610169491</v>
      </c>
      <c r="W206" s="23">
        <f t="shared" si="77"/>
        <v>0.4101694915254237</v>
      </c>
      <c r="X206" s="23">
        <f t="shared" si="78"/>
        <v>2.3728813559322035E-2</v>
      </c>
      <c r="Y206" s="21">
        <f t="shared" si="79"/>
        <v>45.538983050847456</v>
      </c>
    </row>
    <row r="207" spans="1:25" x14ac:dyDescent="0.25">
      <c r="A207" s="20" t="s">
        <v>319</v>
      </c>
      <c r="B207" s="20" t="s">
        <v>320</v>
      </c>
      <c r="C207" s="20" t="s">
        <v>223</v>
      </c>
      <c r="D207" s="20">
        <v>5</v>
      </c>
      <c r="E207" s="20"/>
      <c r="F207" s="20">
        <v>1</v>
      </c>
      <c r="G207" s="20">
        <v>2</v>
      </c>
      <c r="H207" s="20">
        <v>256</v>
      </c>
      <c r="I207" s="20">
        <v>245</v>
      </c>
      <c r="J207" s="20">
        <v>3</v>
      </c>
      <c r="K207" s="20">
        <v>81</v>
      </c>
      <c r="L207" s="20">
        <v>2</v>
      </c>
      <c r="M207" s="20">
        <v>590</v>
      </c>
      <c r="N207" s="21">
        <v>35.537288135593222</v>
      </c>
      <c r="O207" s="20" t="s">
        <v>267</v>
      </c>
      <c r="P207" s="20">
        <f t="shared" si="70"/>
        <v>81</v>
      </c>
      <c r="Q207" s="20">
        <f t="shared" si="71"/>
        <v>256</v>
      </c>
      <c r="R207" s="20">
        <f t="shared" si="72"/>
        <v>245</v>
      </c>
      <c r="S207" s="20">
        <f t="shared" si="73"/>
        <v>8</v>
      </c>
      <c r="T207" s="20">
        <f t="shared" si="74"/>
        <v>590</v>
      </c>
      <c r="U207" s="23">
        <f t="shared" si="75"/>
        <v>0.13728813559322034</v>
      </c>
      <c r="V207" s="23">
        <f t="shared" si="76"/>
        <v>0.43389830508474575</v>
      </c>
      <c r="W207" s="23">
        <f t="shared" si="77"/>
        <v>0.4152542372881356</v>
      </c>
      <c r="X207" s="23">
        <f t="shared" si="78"/>
        <v>1.3559322033898305E-2</v>
      </c>
      <c r="Y207" s="21">
        <f t="shared" si="79"/>
        <v>35.537288135593222</v>
      </c>
    </row>
    <row r="208" spans="1:25" x14ac:dyDescent="0.25">
      <c r="A208" s="20" t="s">
        <v>319</v>
      </c>
      <c r="B208" s="20" t="s">
        <v>320</v>
      </c>
      <c r="C208" s="20" t="s">
        <v>223</v>
      </c>
      <c r="D208" s="20">
        <v>6</v>
      </c>
      <c r="E208" s="20"/>
      <c r="F208" s="20"/>
      <c r="G208" s="20">
        <v>3</v>
      </c>
      <c r="H208" s="20">
        <v>218</v>
      </c>
      <c r="I208" s="20">
        <v>280</v>
      </c>
      <c r="J208" s="20">
        <v>4</v>
      </c>
      <c r="K208" s="20">
        <v>85</v>
      </c>
      <c r="L208" s="20"/>
      <c r="M208" s="20">
        <v>590</v>
      </c>
      <c r="N208" s="21">
        <v>24.349152542372881</v>
      </c>
      <c r="O208" s="20" t="s">
        <v>267</v>
      </c>
      <c r="P208" s="20">
        <f t="shared" si="70"/>
        <v>85</v>
      </c>
      <c r="Q208" s="20">
        <f t="shared" si="71"/>
        <v>218</v>
      </c>
      <c r="R208" s="20">
        <f t="shared" si="72"/>
        <v>280</v>
      </c>
      <c r="S208" s="20">
        <f t="shared" si="73"/>
        <v>7</v>
      </c>
      <c r="T208" s="20">
        <f t="shared" si="74"/>
        <v>590</v>
      </c>
      <c r="U208" s="23">
        <f t="shared" si="75"/>
        <v>0.1440677966101695</v>
      </c>
      <c r="V208" s="23">
        <f t="shared" si="76"/>
        <v>0.36949152542372882</v>
      </c>
      <c r="W208" s="23">
        <f t="shared" si="77"/>
        <v>0.47457627118644069</v>
      </c>
      <c r="X208" s="23">
        <f t="shared" si="78"/>
        <v>1.1864406779661017E-2</v>
      </c>
      <c r="Y208" s="21">
        <f t="shared" si="79"/>
        <v>24.349152542372881</v>
      </c>
    </row>
    <row r="209" spans="1:25" x14ac:dyDescent="0.25">
      <c r="A209" s="20" t="s">
        <v>321</v>
      </c>
      <c r="B209" s="20" t="s">
        <v>322</v>
      </c>
      <c r="C209" s="20" t="s">
        <v>225</v>
      </c>
      <c r="D209" s="20">
        <v>1</v>
      </c>
      <c r="E209" s="20"/>
      <c r="F209" s="20">
        <v>1</v>
      </c>
      <c r="G209" s="20"/>
      <c r="H209" s="20">
        <v>314</v>
      </c>
      <c r="I209" s="20">
        <v>51</v>
      </c>
      <c r="J209" s="20">
        <v>1</v>
      </c>
      <c r="K209" s="20">
        <v>33</v>
      </c>
      <c r="L209" s="20"/>
      <c r="M209" s="20">
        <v>400</v>
      </c>
      <c r="N209" s="21">
        <v>69.075000000000003</v>
      </c>
      <c r="O209" s="20" t="s">
        <v>267</v>
      </c>
      <c r="P209" s="20">
        <f t="shared" si="70"/>
        <v>33</v>
      </c>
      <c r="Q209" s="20">
        <f t="shared" si="71"/>
        <v>314</v>
      </c>
      <c r="R209" s="20">
        <f t="shared" si="72"/>
        <v>51</v>
      </c>
      <c r="S209" s="20">
        <f t="shared" si="73"/>
        <v>2</v>
      </c>
      <c r="T209" s="20">
        <f t="shared" si="74"/>
        <v>400</v>
      </c>
      <c r="U209" s="23">
        <f t="shared" si="75"/>
        <v>8.2500000000000004E-2</v>
      </c>
      <c r="V209" s="23">
        <f t="shared" si="76"/>
        <v>0.78500000000000003</v>
      </c>
      <c r="W209" s="23">
        <f t="shared" si="77"/>
        <v>0.1275</v>
      </c>
      <c r="X209" s="23">
        <f t="shared" si="78"/>
        <v>5.0000000000000001E-3</v>
      </c>
      <c r="Y209" s="21">
        <f t="shared" si="79"/>
        <v>69.075000000000003</v>
      </c>
    </row>
    <row r="210" spans="1:25" x14ac:dyDescent="0.25">
      <c r="A210" s="20" t="s">
        <v>321</v>
      </c>
      <c r="B210" s="20" t="s">
        <v>322</v>
      </c>
      <c r="C210" s="20" t="s">
        <v>225</v>
      </c>
      <c r="D210" s="20">
        <v>2</v>
      </c>
      <c r="E210" s="20"/>
      <c r="F210" s="20"/>
      <c r="G210" s="20"/>
      <c r="H210" s="20">
        <v>369</v>
      </c>
      <c r="I210" s="20">
        <v>89</v>
      </c>
      <c r="J210" s="20"/>
      <c r="K210" s="20">
        <v>146</v>
      </c>
      <c r="L210" s="20"/>
      <c r="M210" s="20">
        <v>604</v>
      </c>
      <c r="N210" s="21">
        <v>32.602649006622514</v>
      </c>
      <c r="O210" s="20" t="s">
        <v>267</v>
      </c>
      <c r="P210" s="20">
        <f t="shared" si="70"/>
        <v>146</v>
      </c>
      <c r="Q210" s="20">
        <f t="shared" si="71"/>
        <v>369</v>
      </c>
      <c r="R210" s="20">
        <f t="shared" si="72"/>
        <v>89</v>
      </c>
      <c r="S210" s="20">
        <f t="shared" si="73"/>
        <v>0</v>
      </c>
      <c r="T210" s="20">
        <f t="shared" si="74"/>
        <v>604</v>
      </c>
      <c r="U210" s="23">
        <f t="shared" si="75"/>
        <v>0.24172185430463577</v>
      </c>
      <c r="V210" s="23">
        <f t="shared" si="76"/>
        <v>0.61092715231788075</v>
      </c>
      <c r="W210" s="23">
        <f t="shared" si="77"/>
        <v>0.14735099337748345</v>
      </c>
      <c r="X210" s="23">
        <f t="shared" si="78"/>
        <v>0</v>
      </c>
      <c r="Y210" s="21">
        <f t="shared" si="79"/>
        <v>32.602649006622514</v>
      </c>
    </row>
    <row r="211" spans="1:25" x14ac:dyDescent="0.25">
      <c r="A211" s="20" t="s">
        <v>323</v>
      </c>
      <c r="B211" s="20" t="s">
        <v>324</v>
      </c>
      <c r="C211" s="20" t="s">
        <v>227</v>
      </c>
      <c r="D211" s="20">
        <v>1</v>
      </c>
      <c r="E211" s="20"/>
      <c r="F211" s="20"/>
      <c r="G211" s="20"/>
      <c r="H211" s="20">
        <v>182</v>
      </c>
      <c r="I211" s="20">
        <v>126</v>
      </c>
      <c r="J211" s="20">
        <v>8</v>
      </c>
      <c r="K211" s="20">
        <v>54</v>
      </c>
      <c r="L211" s="20"/>
      <c r="M211" s="20">
        <v>370</v>
      </c>
      <c r="N211" s="21">
        <v>68.781081081081084</v>
      </c>
      <c r="O211" s="20" t="s">
        <v>267</v>
      </c>
      <c r="P211" s="20">
        <f t="shared" si="70"/>
        <v>54</v>
      </c>
      <c r="Q211" s="20">
        <f t="shared" si="71"/>
        <v>182</v>
      </c>
      <c r="R211" s="20">
        <f t="shared" si="72"/>
        <v>126</v>
      </c>
      <c r="S211" s="20">
        <f t="shared" si="73"/>
        <v>8</v>
      </c>
      <c r="T211" s="20">
        <f t="shared" si="74"/>
        <v>370</v>
      </c>
      <c r="U211" s="23">
        <f t="shared" si="75"/>
        <v>0.14594594594594595</v>
      </c>
      <c r="V211" s="23">
        <f t="shared" si="76"/>
        <v>0.49189189189189192</v>
      </c>
      <c r="W211" s="23">
        <f t="shared" si="77"/>
        <v>0.34054054054054056</v>
      </c>
      <c r="X211" s="23">
        <f t="shared" si="78"/>
        <v>2.1621621621621623E-2</v>
      </c>
      <c r="Y211" s="21">
        <f t="shared" si="79"/>
        <v>68.781081081081084</v>
      </c>
    </row>
    <row r="212" spans="1:25" x14ac:dyDescent="0.25">
      <c r="A212" s="20" t="s">
        <v>323</v>
      </c>
      <c r="B212" s="20" t="s">
        <v>324</v>
      </c>
      <c r="C212" s="20" t="s">
        <v>227</v>
      </c>
      <c r="D212" s="20">
        <v>2</v>
      </c>
      <c r="E212" s="20"/>
      <c r="F212" s="20"/>
      <c r="G212" s="20"/>
      <c r="H212" s="20">
        <v>211</v>
      </c>
      <c r="I212" s="20">
        <v>105</v>
      </c>
      <c r="J212" s="20">
        <v>3</v>
      </c>
      <c r="K212" s="20">
        <v>51</v>
      </c>
      <c r="L212" s="20"/>
      <c r="M212" s="20">
        <v>370</v>
      </c>
      <c r="N212" s="21">
        <v>74.697297297297297</v>
      </c>
      <c r="O212" s="20" t="s">
        <v>267</v>
      </c>
      <c r="P212" s="20">
        <f t="shared" si="70"/>
        <v>51</v>
      </c>
      <c r="Q212" s="20">
        <f t="shared" si="71"/>
        <v>211</v>
      </c>
      <c r="R212" s="20">
        <f t="shared" si="72"/>
        <v>105</v>
      </c>
      <c r="S212" s="20">
        <f t="shared" si="73"/>
        <v>3</v>
      </c>
      <c r="T212" s="20">
        <f t="shared" si="74"/>
        <v>370</v>
      </c>
      <c r="U212" s="23">
        <f t="shared" si="75"/>
        <v>0.13783783783783785</v>
      </c>
      <c r="V212" s="23">
        <f t="shared" si="76"/>
        <v>0.57027027027027022</v>
      </c>
      <c r="W212" s="23">
        <f t="shared" si="77"/>
        <v>0.28378378378378377</v>
      </c>
      <c r="X212" s="23">
        <f t="shared" si="78"/>
        <v>8.1081081081081086E-3</v>
      </c>
      <c r="Y212" s="21">
        <f t="shared" si="79"/>
        <v>74.697297297297297</v>
      </c>
    </row>
    <row r="213" spans="1:25" x14ac:dyDescent="0.25">
      <c r="A213" s="20" t="s">
        <v>323</v>
      </c>
      <c r="B213" s="20" t="s">
        <v>324</v>
      </c>
      <c r="C213" s="20" t="s">
        <v>227</v>
      </c>
      <c r="D213" s="20">
        <v>3</v>
      </c>
      <c r="E213" s="20"/>
      <c r="F213" s="20"/>
      <c r="G213" s="20">
        <v>1</v>
      </c>
      <c r="H213" s="20">
        <v>185</v>
      </c>
      <c r="I213" s="20">
        <v>111</v>
      </c>
      <c r="J213" s="20">
        <v>4</v>
      </c>
      <c r="K213" s="20">
        <v>69</v>
      </c>
      <c r="L213" s="20"/>
      <c r="M213" s="20">
        <v>370</v>
      </c>
      <c r="N213" s="21">
        <v>70.413513513513507</v>
      </c>
      <c r="O213" s="20" t="s">
        <v>267</v>
      </c>
      <c r="P213" s="20">
        <f t="shared" si="70"/>
        <v>69</v>
      </c>
      <c r="Q213" s="20">
        <f t="shared" si="71"/>
        <v>185</v>
      </c>
      <c r="R213" s="20">
        <f t="shared" si="72"/>
        <v>111</v>
      </c>
      <c r="S213" s="20">
        <f t="shared" si="73"/>
        <v>5</v>
      </c>
      <c r="T213" s="20">
        <f t="shared" si="74"/>
        <v>370</v>
      </c>
      <c r="U213" s="23">
        <f t="shared" si="75"/>
        <v>0.1864864864864865</v>
      </c>
      <c r="V213" s="23">
        <f t="shared" si="76"/>
        <v>0.5</v>
      </c>
      <c r="W213" s="23">
        <f t="shared" si="77"/>
        <v>0.3</v>
      </c>
      <c r="X213" s="23">
        <f t="shared" si="78"/>
        <v>1.3513513513513514E-2</v>
      </c>
      <c r="Y213" s="21">
        <f t="shared" si="79"/>
        <v>70.413513513513507</v>
      </c>
    </row>
    <row r="214" spans="1:25" x14ac:dyDescent="0.25">
      <c r="A214" s="20" t="s">
        <v>323</v>
      </c>
      <c r="B214" s="20" t="s">
        <v>324</v>
      </c>
      <c r="C214" s="20" t="s">
        <v>227</v>
      </c>
      <c r="D214" s="20">
        <v>4</v>
      </c>
      <c r="E214" s="20"/>
      <c r="F214" s="20">
        <v>1</v>
      </c>
      <c r="G214" s="20">
        <v>1</v>
      </c>
      <c r="H214" s="20">
        <v>182</v>
      </c>
      <c r="I214" s="20">
        <v>97</v>
      </c>
      <c r="J214" s="20">
        <v>6</v>
      </c>
      <c r="K214" s="20">
        <v>83</v>
      </c>
      <c r="L214" s="20"/>
      <c r="M214" s="20">
        <v>370</v>
      </c>
      <c r="N214" s="21">
        <v>67.402702702702697</v>
      </c>
      <c r="O214" s="20" t="s">
        <v>267</v>
      </c>
      <c r="P214" s="20">
        <f t="shared" si="70"/>
        <v>83</v>
      </c>
      <c r="Q214" s="20">
        <f t="shared" si="71"/>
        <v>182</v>
      </c>
      <c r="R214" s="20">
        <f t="shared" si="72"/>
        <v>97</v>
      </c>
      <c r="S214" s="20">
        <f t="shared" si="73"/>
        <v>8</v>
      </c>
      <c r="T214" s="20">
        <f t="shared" si="74"/>
        <v>370</v>
      </c>
      <c r="U214" s="23">
        <f t="shared" si="75"/>
        <v>0.22432432432432434</v>
      </c>
      <c r="V214" s="23">
        <f t="shared" si="76"/>
        <v>0.49189189189189192</v>
      </c>
      <c r="W214" s="23">
        <f t="shared" si="77"/>
        <v>0.26216216216216215</v>
      </c>
      <c r="X214" s="23">
        <f t="shared" si="78"/>
        <v>2.1621621621621623E-2</v>
      </c>
      <c r="Y214" s="21">
        <f t="shared" si="79"/>
        <v>67.402702702702697</v>
      </c>
    </row>
    <row r="215" spans="1:25" x14ac:dyDescent="0.25">
      <c r="A215" s="20" t="s">
        <v>323</v>
      </c>
      <c r="B215" s="20" t="s">
        <v>324</v>
      </c>
      <c r="C215" s="20" t="s">
        <v>227</v>
      </c>
      <c r="D215" s="20">
        <v>5</v>
      </c>
      <c r="E215" s="20"/>
      <c r="F215" s="20"/>
      <c r="G215" s="20"/>
      <c r="H215" s="20">
        <v>222</v>
      </c>
      <c r="I215" s="20">
        <v>96</v>
      </c>
      <c r="J215" s="20">
        <v>3</v>
      </c>
      <c r="K215" s="20">
        <v>49</v>
      </c>
      <c r="L215" s="20"/>
      <c r="M215" s="20">
        <v>370</v>
      </c>
      <c r="N215" s="21">
        <v>64.708108108108107</v>
      </c>
      <c r="O215" s="20" t="s">
        <v>267</v>
      </c>
      <c r="P215" s="20">
        <f t="shared" si="70"/>
        <v>49</v>
      </c>
      <c r="Q215" s="20">
        <f t="shared" si="71"/>
        <v>222</v>
      </c>
      <c r="R215" s="20">
        <f t="shared" si="72"/>
        <v>96</v>
      </c>
      <c r="S215" s="20">
        <f t="shared" si="73"/>
        <v>3</v>
      </c>
      <c r="T215" s="20">
        <f t="shared" si="74"/>
        <v>370</v>
      </c>
      <c r="U215" s="23">
        <f t="shared" si="75"/>
        <v>0.13243243243243244</v>
      </c>
      <c r="V215" s="23">
        <f t="shared" si="76"/>
        <v>0.6</v>
      </c>
      <c r="W215" s="23">
        <f t="shared" si="77"/>
        <v>0.25945945945945947</v>
      </c>
      <c r="X215" s="23">
        <f t="shared" si="78"/>
        <v>8.1081081081081086E-3</v>
      </c>
      <c r="Y215" s="21">
        <f t="shared" si="79"/>
        <v>64.708108108108107</v>
      </c>
    </row>
    <row r="216" spans="1:25" x14ac:dyDescent="0.25">
      <c r="A216" s="20" t="s">
        <v>323</v>
      </c>
      <c r="B216" s="20" t="s">
        <v>324</v>
      </c>
      <c r="C216" s="20" t="s">
        <v>227</v>
      </c>
      <c r="D216" s="20">
        <v>6</v>
      </c>
      <c r="E216" s="20"/>
      <c r="F216" s="20"/>
      <c r="G216" s="20"/>
      <c r="H216" s="20">
        <v>208</v>
      </c>
      <c r="I216" s="20">
        <v>98</v>
      </c>
      <c r="J216" s="20">
        <v>5</v>
      </c>
      <c r="K216" s="20">
        <v>59</v>
      </c>
      <c r="L216" s="20"/>
      <c r="M216" s="20">
        <v>370</v>
      </c>
      <c r="N216" s="21">
        <v>62.116216216216216</v>
      </c>
      <c r="O216" s="20" t="s">
        <v>267</v>
      </c>
      <c r="P216" s="20">
        <f t="shared" si="70"/>
        <v>59</v>
      </c>
      <c r="Q216" s="20">
        <f t="shared" si="71"/>
        <v>208</v>
      </c>
      <c r="R216" s="20">
        <f t="shared" si="72"/>
        <v>98</v>
      </c>
      <c r="S216" s="20">
        <f t="shared" si="73"/>
        <v>5</v>
      </c>
      <c r="T216" s="20">
        <f t="shared" si="74"/>
        <v>370</v>
      </c>
      <c r="U216" s="23">
        <f t="shared" si="75"/>
        <v>0.15945945945945947</v>
      </c>
      <c r="V216" s="23">
        <f t="shared" si="76"/>
        <v>0.56216216216216219</v>
      </c>
      <c r="W216" s="23">
        <f t="shared" si="77"/>
        <v>0.26486486486486488</v>
      </c>
      <c r="X216" s="23">
        <f t="shared" si="78"/>
        <v>1.3513513513513514E-2</v>
      </c>
      <c r="Y216" s="21">
        <f t="shared" si="79"/>
        <v>62.116216216216216</v>
      </c>
    </row>
    <row r="217" spans="1:25" x14ac:dyDescent="0.25">
      <c r="A217" s="20" t="s">
        <v>323</v>
      </c>
      <c r="B217" s="20" t="s">
        <v>324</v>
      </c>
      <c r="C217" s="20" t="s">
        <v>227</v>
      </c>
      <c r="D217" s="20">
        <v>7</v>
      </c>
      <c r="E217" s="20"/>
      <c r="F217" s="20">
        <v>1</v>
      </c>
      <c r="G217" s="20">
        <v>1</v>
      </c>
      <c r="H217" s="20">
        <v>227</v>
      </c>
      <c r="I217" s="20">
        <v>94</v>
      </c>
      <c r="J217" s="20">
        <v>6</v>
      </c>
      <c r="K217" s="20">
        <v>41</v>
      </c>
      <c r="L217" s="20"/>
      <c r="M217" s="20">
        <v>370</v>
      </c>
      <c r="N217" s="21">
        <v>59.645945945945947</v>
      </c>
      <c r="O217" s="20" t="s">
        <v>267</v>
      </c>
      <c r="P217" s="20">
        <f t="shared" si="70"/>
        <v>41</v>
      </c>
      <c r="Q217" s="20">
        <f t="shared" si="71"/>
        <v>227</v>
      </c>
      <c r="R217" s="20">
        <f t="shared" si="72"/>
        <v>94</v>
      </c>
      <c r="S217" s="20">
        <f t="shared" si="73"/>
        <v>8</v>
      </c>
      <c r="T217" s="20">
        <f t="shared" si="74"/>
        <v>370</v>
      </c>
      <c r="U217" s="23">
        <f t="shared" si="75"/>
        <v>0.11081081081081082</v>
      </c>
      <c r="V217" s="23">
        <f t="shared" si="76"/>
        <v>0.61351351351351346</v>
      </c>
      <c r="W217" s="23">
        <f t="shared" si="77"/>
        <v>0.25405405405405407</v>
      </c>
      <c r="X217" s="23">
        <f t="shared" si="78"/>
        <v>2.1621621621621623E-2</v>
      </c>
      <c r="Y217" s="21">
        <f t="shared" si="79"/>
        <v>59.645945945945947</v>
      </c>
    </row>
    <row r="218" spans="1:25" x14ac:dyDescent="0.25">
      <c r="A218" s="20" t="s">
        <v>323</v>
      </c>
      <c r="B218" s="20" t="s">
        <v>324</v>
      </c>
      <c r="C218" s="20" t="s">
        <v>227</v>
      </c>
      <c r="D218" s="20">
        <v>8</v>
      </c>
      <c r="E218" s="20"/>
      <c r="F218" s="20"/>
      <c r="G218" s="20"/>
      <c r="H218" s="20">
        <v>331</v>
      </c>
      <c r="I218" s="20">
        <v>149</v>
      </c>
      <c r="J218" s="20">
        <v>7</v>
      </c>
      <c r="K218" s="20">
        <v>54</v>
      </c>
      <c r="L218" s="20"/>
      <c r="M218" s="20">
        <v>541</v>
      </c>
      <c r="N218" s="21">
        <v>56.325323475046211</v>
      </c>
      <c r="O218" s="20" t="s">
        <v>267</v>
      </c>
      <c r="P218" s="20">
        <f t="shared" si="70"/>
        <v>54</v>
      </c>
      <c r="Q218" s="20">
        <f t="shared" si="71"/>
        <v>331</v>
      </c>
      <c r="R218" s="20">
        <f t="shared" si="72"/>
        <v>149</v>
      </c>
      <c r="S218" s="20">
        <f t="shared" si="73"/>
        <v>7</v>
      </c>
      <c r="T218" s="20">
        <f t="shared" si="74"/>
        <v>541</v>
      </c>
      <c r="U218" s="23">
        <f t="shared" si="75"/>
        <v>9.9815157116451017E-2</v>
      </c>
      <c r="V218" s="23">
        <f t="shared" si="76"/>
        <v>0.61182994454713491</v>
      </c>
      <c r="W218" s="23">
        <f t="shared" si="77"/>
        <v>0.2754158964879852</v>
      </c>
      <c r="X218" s="23">
        <f t="shared" si="78"/>
        <v>1.2939001848428836E-2</v>
      </c>
      <c r="Y218" s="21">
        <f t="shared" si="79"/>
        <v>56.325323475046211</v>
      </c>
    </row>
    <row r="219" spans="1:25" x14ac:dyDescent="0.25">
      <c r="A219" s="20" t="s">
        <v>323</v>
      </c>
      <c r="B219" s="20" t="s">
        <v>324</v>
      </c>
      <c r="C219" s="20" t="s">
        <v>227</v>
      </c>
      <c r="D219" s="20">
        <v>9</v>
      </c>
      <c r="E219" s="20"/>
      <c r="F219" s="20">
        <v>2</v>
      </c>
      <c r="G219" s="20"/>
      <c r="H219" s="20">
        <v>308</v>
      </c>
      <c r="I219" s="20">
        <v>160</v>
      </c>
      <c r="J219" s="20">
        <v>8</v>
      </c>
      <c r="K219" s="20">
        <v>63</v>
      </c>
      <c r="L219" s="20"/>
      <c r="M219" s="20">
        <v>541</v>
      </c>
      <c r="N219" s="21">
        <v>52.245841035120151</v>
      </c>
      <c r="O219" s="20" t="s">
        <v>267</v>
      </c>
      <c r="P219" s="20">
        <f t="shared" si="70"/>
        <v>63</v>
      </c>
      <c r="Q219" s="20">
        <f t="shared" si="71"/>
        <v>308</v>
      </c>
      <c r="R219" s="20">
        <f t="shared" si="72"/>
        <v>160</v>
      </c>
      <c r="S219" s="20">
        <f t="shared" si="73"/>
        <v>10</v>
      </c>
      <c r="T219" s="20">
        <f t="shared" si="74"/>
        <v>541</v>
      </c>
      <c r="U219" s="23">
        <f t="shared" si="75"/>
        <v>0.11645101663585952</v>
      </c>
      <c r="V219" s="23">
        <f t="shared" si="76"/>
        <v>0.56931608133086875</v>
      </c>
      <c r="W219" s="23">
        <f t="shared" si="77"/>
        <v>0.29574861367837341</v>
      </c>
      <c r="X219" s="23">
        <f t="shared" si="78"/>
        <v>1.8484288354898338E-2</v>
      </c>
      <c r="Y219" s="21">
        <f t="shared" si="79"/>
        <v>52.245841035120151</v>
      </c>
    </row>
    <row r="220" spans="1:25" x14ac:dyDescent="0.25">
      <c r="A220" s="20" t="s">
        <v>323</v>
      </c>
      <c r="B220" s="20" t="s">
        <v>324</v>
      </c>
      <c r="C220" s="20" t="s">
        <v>227</v>
      </c>
      <c r="D220" s="20">
        <v>10</v>
      </c>
      <c r="E220" s="20"/>
      <c r="F220" s="20"/>
      <c r="G220" s="20"/>
      <c r="H220" s="20">
        <v>311</v>
      </c>
      <c r="I220" s="20">
        <v>152</v>
      </c>
      <c r="J220" s="20">
        <v>2</v>
      </c>
      <c r="K220" s="20">
        <v>76</v>
      </c>
      <c r="L220" s="20"/>
      <c r="M220" s="20">
        <v>541</v>
      </c>
      <c r="N220" s="21">
        <v>48.499075785582257</v>
      </c>
      <c r="O220" s="20" t="s">
        <v>267</v>
      </c>
      <c r="P220" s="20">
        <f t="shared" si="70"/>
        <v>76</v>
      </c>
      <c r="Q220" s="20">
        <f t="shared" si="71"/>
        <v>311</v>
      </c>
      <c r="R220" s="20">
        <f t="shared" si="72"/>
        <v>152</v>
      </c>
      <c r="S220" s="20">
        <f t="shared" si="73"/>
        <v>2</v>
      </c>
      <c r="T220" s="20">
        <f t="shared" si="74"/>
        <v>541</v>
      </c>
      <c r="U220" s="23">
        <f t="shared" si="75"/>
        <v>0.14048059149722736</v>
      </c>
      <c r="V220" s="23">
        <f t="shared" si="76"/>
        <v>0.57486136783733821</v>
      </c>
      <c r="W220" s="23">
        <f t="shared" si="77"/>
        <v>0.28096118299445472</v>
      </c>
      <c r="X220" s="23">
        <f t="shared" si="78"/>
        <v>3.6968576709796672E-3</v>
      </c>
      <c r="Y220" s="21">
        <f t="shared" si="79"/>
        <v>48.499075785582257</v>
      </c>
    </row>
    <row r="221" spans="1:25" x14ac:dyDescent="0.25">
      <c r="A221" s="20" t="s">
        <v>323</v>
      </c>
      <c r="B221" s="20" t="s">
        <v>324</v>
      </c>
      <c r="C221" s="20" t="s">
        <v>227</v>
      </c>
      <c r="D221" s="20">
        <v>11</v>
      </c>
      <c r="E221" s="20"/>
      <c r="F221" s="20">
        <v>1</v>
      </c>
      <c r="G221" s="20">
        <v>1</v>
      </c>
      <c r="H221" s="20">
        <v>277</v>
      </c>
      <c r="I221" s="20">
        <v>157</v>
      </c>
      <c r="J221" s="20">
        <v>6</v>
      </c>
      <c r="K221" s="20">
        <v>99</v>
      </c>
      <c r="L221" s="20"/>
      <c r="M221" s="20">
        <v>541</v>
      </c>
      <c r="N221" s="21">
        <v>44.902033271719041</v>
      </c>
      <c r="O221" s="20" t="s">
        <v>267</v>
      </c>
      <c r="P221" s="20">
        <f t="shared" si="70"/>
        <v>99</v>
      </c>
      <c r="Q221" s="20">
        <f t="shared" si="71"/>
        <v>277</v>
      </c>
      <c r="R221" s="20">
        <f t="shared" si="72"/>
        <v>157</v>
      </c>
      <c r="S221" s="20">
        <f t="shared" si="73"/>
        <v>8</v>
      </c>
      <c r="T221" s="20">
        <f t="shared" si="74"/>
        <v>541</v>
      </c>
      <c r="U221" s="23">
        <f t="shared" si="75"/>
        <v>0.18299445471349354</v>
      </c>
      <c r="V221" s="23">
        <f t="shared" si="76"/>
        <v>0.51201478743068396</v>
      </c>
      <c r="W221" s="23">
        <f t="shared" si="77"/>
        <v>0.29020332717190389</v>
      </c>
      <c r="X221" s="23">
        <f t="shared" si="78"/>
        <v>1.4787430683918669E-2</v>
      </c>
      <c r="Y221" s="21">
        <f t="shared" si="79"/>
        <v>44.902033271719041</v>
      </c>
    </row>
    <row r="222" spans="1:25" x14ac:dyDescent="0.25">
      <c r="A222" s="20" t="s">
        <v>323</v>
      </c>
      <c r="B222" s="20" t="s">
        <v>324</v>
      </c>
      <c r="C222" s="20" t="s">
        <v>227</v>
      </c>
      <c r="D222" s="20">
        <v>12</v>
      </c>
      <c r="E222" s="20"/>
      <c r="F222" s="20">
        <v>1</v>
      </c>
      <c r="G222" s="20"/>
      <c r="H222" s="20">
        <v>279</v>
      </c>
      <c r="I222" s="20">
        <v>140</v>
      </c>
      <c r="J222" s="20">
        <v>2</v>
      </c>
      <c r="K222" s="20">
        <v>119</v>
      </c>
      <c r="L222" s="20"/>
      <c r="M222" s="20">
        <v>541</v>
      </c>
      <c r="N222" s="21">
        <v>42.022181146025879</v>
      </c>
      <c r="O222" s="20" t="s">
        <v>267</v>
      </c>
      <c r="P222" s="20">
        <f t="shared" si="70"/>
        <v>119</v>
      </c>
      <c r="Q222" s="20">
        <f t="shared" si="71"/>
        <v>279</v>
      </c>
      <c r="R222" s="20">
        <f t="shared" si="72"/>
        <v>140</v>
      </c>
      <c r="S222" s="20">
        <f t="shared" si="73"/>
        <v>3</v>
      </c>
      <c r="T222" s="20">
        <f t="shared" si="74"/>
        <v>541</v>
      </c>
      <c r="U222" s="23">
        <f t="shared" si="75"/>
        <v>0.21996303142329021</v>
      </c>
      <c r="V222" s="23">
        <f t="shared" si="76"/>
        <v>0.51571164510166356</v>
      </c>
      <c r="W222" s="23">
        <f t="shared" si="77"/>
        <v>0.25878003696857671</v>
      </c>
      <c r="X222" s="23">
        <f t="shared" si="78"/>
        <v>5.5452865064695009E-3</v>
      </c>
      <c r="Y222" s="21">
        <f t="shared" si="79"/>
        <v>42.022181146025879</v>
      </c>
    </row>
    <row r="223" spans="1:25" x14ac:dyDescent="0.25">
      <c r="A223" s="20" t="s">
        <v>323</v>
      </c>
      <c r="B223" s="20" t="s">
        <v>324</v>
      </c>
      <c r="C223" s="20" t="s">
        <v>227</v>
      </c>
      <c r="D223" s="20">
        <v>13</v>
      </c>
      <c r="E223" s="20"/>
      <c r="F223" s="20"/>
      <c r="G223" s="20"/>
      <c r="H223" s="20">
        <v>258</v>
      </c>
      <c r="I223" s="20">
        <v>162</v>
      </c>
      <c r="J223" s="20">
        <v>1</v>
      </c>
      <c r="K223" s="20">
        <v>120</v>
      </c>
      <c r="L223" s="20"/>
      <c r="M223" s="20">
        <v>541</v>
      </c>
      <c r="N223" s="21">
        <v>39.556377079482438</v>
      </c>
      <c r="O223" s="20" t="s">
        <v>267</v>
      </c>
      <c r="P223" s="20">
        <f t="shared" si="70"/>
        <v>120</v>
      </c>
      <c r="Q223" s="20">
        <f t="shared" si="71"/>
        <v>258</v>
      </c>
      <c r="R223" s="20">
        <f t="shared" si="72"/>
        <v>162</v>
      </c>
      <c r="S223" s="20">
        <f t="shared" si="73"/>
        <v>1</v>
      </c>
      <c r="T223" s="20">
        <f t="shared" si="74"/>
        <v>541</v>
      </c>
      <c r="U223" s="23">
        <f t="shared" si="75"/>
        <v>0.22181146025878004</v>
      </c>
      <c r="V223" s="23">
        <f t="shared" si="76"/>
        <v>0.47689463955637706</v>
      </c>
      <c r="W223" s="23">
        <f t="shared" si="77"/>
        <v>0.29944547134935307</v>
      </c>
      <c r="X223" s="23">
        <f t="shared" si="78"/>
        <v>1.8484288354898336E-3</v>
      </c>
      <c r="Y223" s="21">
        <f t="shared" si="79"/>
        <v>39.556377079482438</v>
      </c>
    </row>
    <row r="224" spans="1:25" x14ac:dyDescent="0.25">
      <c r="A224" s="20" t="s">
        <v>323</v>
      </c>
      <c r="B224" s="20" t="s">
        <v>324</v>
      </c>
      <c r="C224" s="20" t="s">
        <v>227</v>
      </c>
      <c r="D224" s="20">
        <v>14</v>
      </c>
      <c r="E224" s="20"/>
      <c r="F224" s="20"/>
      <c r="G224" s="20"/>
      <c r="H224" s="20">
        <v>249</v>
      </c>
      <c r="I224" s="20">
        <v>140</v>
      </c>
      <c r="J224" s="20">
        <v>5</v>
      </c>
      <c r="K224" s="20">
        <v>147</v>
      </c>
      <c r="L224" s="20"/>
      <c r="M224" s="20">
        <v>541</v>
      </c>
      <c r="N224" s="21">
        <v>37.199630314232905</v>
      </c>
      <c r="O224" s="20" t="s">
        <v>267</v>
      </c>
      <c r="P224" s="20">
        <f t="shared" si="70"/>
        <v>147</v>
      </c>
      <c r="Q224" s="20">
        <f t="shared" si="71"/>
        <v>249</v>
      </c>
      <c r="R224" s="20">
        <f t="shared" si="72"/>
        <v>140</v>
      </c>
      <c r="S224" s="20">
        <f t="shared" si="73"/>
        <v>5</v>
      </c>
      <c r="T224" s="20">
        <f t="shared" si="74"/>
        <v>541</v>
      </c>
      <c r="U224" s="23">
        <f t="shared" si="75"/>
        <v>0.27171903881700554</v>
      </c>
      <c r="V224" s="23">
        <f t="shared" si="76"/>
        <v>0.46025878003696857</v>
      </c>
      <c r="W224" s="23">
        <f t="shared" si="77"/>
        <v>0.25878003696857671</v>
      </c>
      <c r="X224" s="23">
        <f t="shared" si="78"/>
        <v>9.242144177449169E-3</v>
      </c>
      <c r="Y224" s="21">
        <f t="shared" si="79"/>
        <v>37.199630314232905</v>
      </c>
    </row>
    <row r="225" spans="1:25" x14ac:dyDescent="0.25">
      <c r="A225" s="20" t="s">
        <v>323</v>
      </c>
      <c r="B225" s="20" t="s">
        <v>324</v>
      </c>
      <c r="C225" s="20" t="s">
        <v>227</v>
      </c>
      <c r="D225" s="20">
        <v>15</v>
      </c>
      <c r="E225" s="20">
        <v>1</v>
      </c>
      <c r="F225" s="20"/>
      <c r="G225" s="20"/>
      <c r="H225" s="20">
        <v>249</v>
      </c>
      <c r="I225" s="20">
        <v>128</v>
      </c>
      <c r="J225" s="20">
        <v>1</v>
      </c>
      <c r="K225" s="20">
        <v>163</v>
      </c>
      <c r="L225" s="20"/>
      <c r="M225" s="20">
        <v>542</v>
      </c>
      <c r="N225" s="21">
        <v>34.891143911439116</v>
      </c>
      <c r="O225" s="20" t="s">
        <v>267</v>
      </c>
      <c r="P225" s="20">
        <f t="shared" si="70"/>
        <v>163</v>
      </c>
      <c r="Q225" s="20">
        <f t="shared" si="71"/>
        <v>249</v>
      </c>
      <c r="R225" s="20">
        <f t="shared" si="72"/>
        <v>128</v>
      </c>
      <c r="S225" s="20">
        <f t="shared" si="73"/>
        <v>2</v>
      </c>
      <c r="T225" s="20">
        <f t="shared" si="74"/>
        <v>542</v>
      </c>
      <c r="U225" s="23">
        <f t="shared" si="75"/>
        <v>0.30073800738007378</v>
      </c>
      <c r="V225" s="23">
        <f t="shared" si="76"/>
        <v>0.45940959409594095</v>
      </c>
      <c r="W225" s="23">
        <f t="shared" si="77"/>
        <v>0.23616236162361623</v>
      </c>
      <c r="X225" s="23">
        <f t="shared" si="78"/>
        <v>3.6900369003690036E-3</v>
      </c>
      <c r="Y225" s="21">
        <f t="shared" si="79"/>
        <v>34.891143911439116</v>
      </c>
    </row>
    <row r="226" spans="1:25" x14ac:dyDescent="0.25">
      <c r="A226" s="20" t="s">
        <v>323</v>
      </c>
      <c r="B226" s="20" t="s">
        <v>324</v>
      </c>
      <c r="C226" s="20" t="s">
        <v>227</v>
      </c>
      <c r="D226" s="20">
        <v>16</v>
      </c>
      <c r="E226" s="20">
        <v>1</v>
      </c>
      <c r="F226" s="20"/>
      <c r="G226" s="20"/>
      <c r="H226" s="20">
        <v>244</v>
      </c>
      <c r="I226" s="20">
        <v>139</v>
      </c>
      <c r="J226" s="20">
        <v>2</v>
      </c>
      <c r="K226" s="20">
        <v>156</v>
      </c>
      <c r="L226" s="20"/>
      <c r="M226" s="20">
        <v>542</v>
      </c>
      <c r="N226" s="21">
        <v>32.440959409594093</v>
      </c>
      <c r="O226" s="20" t="s">
        <v>267</v>
      </c>
      <c r="P226" s="20">
        <f t="shared" si="70"/>
        <v>156</v>
      </c>
      <c r="Q226" s="20">
        <f t="shared" si="71"/>
        <v>244</v>
      </c>
      <c r="R226" s="20">
        <f t="shared" si="72"/>
        <v>139</v>
      </c>
      <c r="S226" s="20">
        <f t="shared" si="73"/>
        <v>3</v>
      </c>
      <c r="T226" s="20">
        <f t="shared" si="74"/>
        <v>542</v>
      </c>
      <c r="U226" s="23">
        <f t="shared" si="75"/>
        <v>0.28782287822878228</v>
      </c>
      <c r="V226" s="23">
        <f t="shared" si="76"/>
        <v>0.45018450184501846</v>
      </c>
      <c r="W226" s="23">
        <f t="shared" si="77"/>
        <v>0.25645756457564578</v>
      </c>
      <c r="X226" s="23">
        <f t="shared" si="78"/>
        <v>5.5350553505535052E-3</v>
      </c>
      <c r="Y226" s="21">
        <f t="shared" si="79"/>
        <v>32.440959409594093</v>
      </c>
    </row>
    <row r="227" spans="1:25" x14ac:dyDescent="0.25">
      <c r="A227" s="20" t="s">
        <v>323</v>
      </c>
      <c r="B227" s="20" t="s">
        <v>324</v>
      </c>
      <c r="C227" s="20" t="s">
        <v>227</v>
      </c>
      <c r="D227" s="20">
        <v>17</v>
      </c>
      <c r="E227" s="20"/>
      <c r="F227" s="20"/>
      <c r="G227" s="20"/>
      <c r="H227" s="20">
        <v>233</v>
      </c>
      <c r="I227" s="20">
        <v>161</v>
      </c>
      <c r="J227" s="20">
        <v>4</v>
      </c>
      <c r="K227" s="20">
        <v>144</v>
      </c>
      <c r="L227" s="20"/>
      <c r="M227" s="20">
        <v>542</v>
      </c>
      <c r="N227" s="21">
        <v>29.712177121771219</v>
      </c>
      <c r="O227" s="20" t="s">
        <v>267</v>
      </c>
      <c r="P227" s="20">
        <f t="shared" si="70"/>
        <v>144</v>
      </c>
      <c r="Q227" s="20">
        <f t="shared" si="71"/>
        <v>233</v>
      </c>
      <c r="R227" s="20">
        <f t="shared" si="72"/>
        <v>161</v>
      </c>
      <c r="S227" s="20">
        <f t="shared" si="73"/>
        <v>4</v>
      </c>
      <c r="T227" s="20">
        <f t="shared" si="74"/>
        <v>542</v>
      </c>
      <c r="U227" s="23">
        <f t="shared" si="75"/>
        <v>0.26568265682656828</v>
      </c>
      <c r="V227" s="23">
        <f t="shared" si="76"/>
        <v>0.42988929889298894</v>
      </c>
      <c r="W227" s="23">
        <f t="shared" si="77"/>
        <v>0.29704797047970477</v>
      </c>
      <c r="X227" s="23">
        <f t="shared" si="78"/>
        <v>7.3800738007380072E-3</v>
      </c>
      <c r="Y227" s="21">
        <f t="shared" si="79"/>
        <v>29.712177121771219</v>
      </c>
    </row>
    <row r="228" spans="1:25" x14ac:dyDescent="0.25">
      <c r="A228" s="20" t="s">
        <v>323</v>
      </c>
      <c r="B228" s="20" t="s">
        <v>324</v>
      </c>
      <c r="C228" s="20" t="s">
        <v>227</v>
      </c>
      <c r="D228" s="20">
        <v>18</v>
      </c>
      <c r="E228" s="20"/>
      <c r="F228" s="20"/>
      <c r="G228" s="20"/>
      <c r="H228" s="20">
        <v>237</v>
      </c>
      <c r="I228" s="20">
        <v>186</v>
      </c>
      <c r="J228" s="20">
        <v>1</v>
      </c>
      <c r="K228" s="20">
        <v>118</v>
      </c>
      <c r="L228" s="20"/>
      <c r="M228" s="20">
        <v>542</v>
      </c>
      <c r="N228" s="21">
        <v>26.822878228782287</v>
      </c>
      <c r="O228" s="20" t="s">
        <v>267</v>
      </c>
      <c r="P228" s="20">
        <f t="shared" si="70"/>
        <v>118</v>
      </c>
      <c r="Q228" s="20">
        <f t="shared" si="71"/>
        <v>237</v>
      </c>
      <c r="R228" s="20">
        <f t="shared" si="72"/>
        <v>186</v>
      </c>
      <c r="S228" s="20">
        <f t="shared" si="73"/>
        <v>1</v>
      </c>
      <c r="T228" s="20">
        <f t="shared" si="74"/>
        <v>542</v>
      </c>
      <c r="U228" s="23">
        <f t="shared" si="75"/>
        <v>0.21771217712177121</v>
      </c>
      <c r="V228" s="23">
        <f t="shared" si="76"/>
        <v>0.43726937269372695</v>
      </c>
      <c r="W228" s="23">
        <f t="shared" si="77"/>
        <v>0.34317343173431736</v>
      </c>
      <c r="X228" s="23">
        <f t="shared" si="78"/>
        <v>1.8450184501845018E-3</v>
      </c>
      <c r="Y228" s="21">
        <f t="shared" si="79"/>
        <v>26.822878228782287</v>
      </c>
    </row>
    <row r="229" spans="1:25" x14ac:dyDescent="0.25">
      <c r="A229" s="20" t="s">
        <v>323</v>
      </c>
      <c r="B229" s="20" t="s">
        <v>324</v>
      </c>
      <c r="C229" s="20" t="s">
        <v>227</v>
      </c>
      <c r="D229" s="20">
        <v>19</v>
      </c>
      <c r="E229" s="20"/>
      <c r="F229" s="20"/>
      <c r="G229" s="20"/>
      <c r="H229" s="20">
        <v>220</v>
      </c>
      <c r="I229" s="20">
        <v>198</v>
      </c>
      <c r="J229" s="20"/>
      <c r="K229" s="20">
        <v>124</v>
      </c>
      <c r="L229" s="20"/>
      <c r="M229" s="20">
        <v>542</v>
      </c>
      <c r="N229" s="21">
        <v>23.649446494464943</v>
      </c>
      <c r="O229" s="20" t="s">
        <v>267</v>
      </c>
      <c r="P229" s="20">
        <f t="shared" si="70"/>
        <v>124</v>
      </c>
      <c r="Q229" s="20">
        <f t="shared" si="71"/>
        <v>220</v>
      </c>
      <c r="R229" s="20">
        <f t="shared" si="72"/>
        <v>198</v>
      </c>
      <c r="S229" s="20">
        <f t="shared" si="73"/>
        <v>0</v>
      </c>
      <c r="T229" s="20">
        <f t="shared" si="74"/>
        <v>542</v>
      </c>
      <c r="U229" s="23">
        <f t="shared" si="75"/>
        <v>0.22878228782287824</v>
      </c>
      <c r="V229" s="23">
        <f t="shared" si="76"/>
        <v>0.4059040590405904</v>
      </c>
      <c r="W229" s="23">
        <f t="shared" si="77"/>
        <v>0.36531365313653136</v>
      </c>
      <c r="X229" s="23">
        <f t="shared" si="78"/>
        <v>0</v>
      </c>
      <c r="Y229" s="21">
        <f t="shared" si="79"/>
        <v>23.649446494464943</v>
      </c>
    </row>
    <row r="230" spans="1:25" x14ac:dyDescent="0.25">
      <c r="A230" s="20" t="s">
        <v>323</v>
      </c>
      <c r="B230" s="20" t="s">
        <v>324</v>
      </c>
      <c r="C230" s="20" t="s">
        <v>227</v>
      </c>
      <c r="D230" s="20">
        <v>20</v>
      </c>
      <c r="E230" s="20"/>
      <c r="F230" s="20"/>
      <c r="G230" s="20"/>
      <c r="H230" s="20">
        <v>188</v>
      </c>
      <c r="I230" s="20">
        <v>194</v>
      </c>
      <c r="J230" s="20"/>
      <c r="K230" s="20">
        <v>160</v>
      </c>
      <c r="L230" s="20"/>
      <c r="M230" s="20">
        <v>542</v>
      </c>
      <c r="N230" s="21">
        <v>20.097785977859779</v>
      </c>
      <c r="O230" s="20" t="s">
        <v>267</v>
      </c>
      <c r="P230" s="20">
        <f t="shared" si="70"/>
        <v>160</v>
      </c>
      <c r="Q230" s="20">
        <f t="shared" si="71"/>
        <v>188</v>
      </c>
      <c r="R230" s="20">
        <f t="shared" si="72"/>
        <v>194</v>
      </c>
      <c r="S230" s="20">
        <f t="shared" si="73"/>
        <v>0</v>
      </c>
      <c r="T230" s="20">
        <f t="shared" si="74"/>
        <v>542</v>
      </c>
      <c r="U230" s="23">
        <f t="shared" si="75"/>
        <v>0.29520295202952029</v>
      </c>
      <c r="V230" s="23">
        <f t="shared" si="76"/>
        <v>0.34686346863468637</v>
      </c>
      <c r="W230" s="23">
        <f t="shared" si="77"/>
        <v>0.35793357933579334</v>
      </c>
      <c r="X230" s="23">
        <f t="shared" si="78"/>
        <v>0</v>
      </c>
      <c r="Y230" s="21">
        <f t="shared" si="79"/>
        <v>20.097785977859779</v>
      </c>
    </row>
    <row r="231" spans="1:25" x14ac:dyDescent="0.25">
      <c r="A231" s="20" t="s">
        <v>323</v>
      </c>
      <c r="B231" s="20" t="s">
        <v>324</v>
      </c>
      <c r="C231" s="20" t="s">
        <v>228</v>
      </c>
      <c r="D231" s="20">
        <v>1</v>
      </c>
      <c r="E231" s="20"/>
      <c r="F231" s="20">
        <v>1</v>
      </c>
      <c r="G231" s="20">
        <v>1</v>
      </c>
      <c r="H231" s="20">
        <v>270</v>
      </c>
      <c r="I231" s="20">
        <v>114</v>
      </c>
      <c r="J231" s="20">
        <v>5</v>
      </c>
      <c r="K231" s="20">
        <v>59</v>
      </c>
      <c r="L231" s="20"/>
      <c r="M231" s="20">
        <v>450</v>
      </c>
      <c r="N231" s="21">
        <v>60.671111111111109</v>
      </c>
      <c r="O231" s="20" t="s">
        <v>267</v>
      </c>
      <c r="P231" s="20">
        <f t="shared" si="70"/>
        <v>59</v>
      </c>
      <c r="Q231" s="20">
        <f t="shared" si="71"/>
        <v>270</v>
      </c>
      <c r="R231" s="20">
        <f t="shared" si="72"/>
        <v>114</v>
      </c>
      <c r="S231" s="20">
        <f t="shared" si="73"/>
        <v>7</v>
      </c>
      <c r="T231" s="20">
        <f t="shared" si="74"/>
        <v>450</v>
      </c>
      <c r="U231" s="23">
        <f t="shared" si="75"/>
        <v>0.13111111111111112</v>
      </c>
      <c r="V231" s="23">
        <f t="shared" si="76"/>
        <v>0.6</v>
      </c>
      <c r="W231" s="23">
        <f t="shared" si="77"/>
        <v>0.25333333333333335</v>
      </c>
      <c r="X231" s="23">
        <f t="shared" si="78"/>
        <v>1.5555555555555555E-2</v>
      </c>
      <c r="Y231" s="21">
        <f t="shared" si="79"/>
        <v>60.671111111111109</v>
      </c>
    </row>
    <row r="232" spans="1:25" x14ac:dyDescent="0.25">
      <c r="A232" s="20" t="s">
        <v>323</v>
      </c>
      <c r="B232" s="20" t="s">
        <v>324</v>
      </c>
      <c r="C232" s="20" t="s">
        <v>228</v>
      </c>
      <c r="D232" s="20">
        <v>2</v>
      </c>
      <c r="E232" s="20"/>
      <c r="F232" s="20"/>
      <c r="G232" s="20"/>
      <c r="H232" s="20">
        <v>369</v>
      </c>
      <c r="I232" s="20">
        <v>142</v>
      </c>
      <c r="J232" s="20">
        <v>2</v>
      </c>
      <c r="K232" s="20">
        <v>97</v>
      </c>
      <c r="L232" s="20"/>
      <c r="M232" s="20">
        <v>610</v>
      </c>
      <c r="N232" s="21">
        <v>38.501639344262294</v>
      </c>
      <c r="O232" s="20" t="s">
        <v>267</v>
      </c>
      <c r="P232" s="20">
        <f t="shared" si="70"/>
        <v>97</v>
      </c>
      <c r="Q232" s="20">
        <f t="shared" si="71"/>
        <v>369</v>
      </c>
      <c r="R232" s="20">
        <f t="shared" si="72"/>
        <v>142</v>
      </c>
      <c r="S232" s="20">
        <f t="shared" si="73"/>
        <v>2</v>
      </c>
      <c r="T232" s="20">
        <f t="shared" si="74"/>
        <v>610</v>
      </c>
      <c r="U232" s="23">
        <f t="shared" si="75"/>
        <v>0.15901639344262294</v>
      </c>
      <c r="V232" s="23">
        <f t="shared" si="76"/>
        <v>0.60491803278688527</v>
      </c>
      <c r="W232" s="23">
        <f t="shared" si="77"/>
        <v>0.23278688524590163</v>
      </c>
      <c r="X232" s="23">
        <f t="shared" si="78"/>
        <v>3.2786885245901639E-3</v>
      </c>
      <c r="Y232" s="21">
        <f t="shared" si="79"/>
        <v>38.501639344262294</v>
      </c>
    </row>
    <row r="233" spans="1:25" x14ac:dyDescent="0.25">
      <c r="A233" s="20" t="s">
        <v>323</v>
      </c>
      <c r="B233" s="20" t="s">
        <v>324</v>
      </c>
      <c r="C233" s="20" t="s">
        <v>228</v>
      </c>
      <c r="D233" s="20">
        <v>3</v>
      </c>
      <c r="E233" s="20"/>
      <c r="F233" s="20"/>
      <c r="G233" s="20">
        <v>1</v>
      </c>
      <c r="H233" s="20">
        <v>290</v>
      </c>
      <c r="I233" s="20">
        <v>168</v>
      </c>
      <c r="J233" s="20">
        <v>2</v>
      </c>
      <c r="K233" s="20">
        <v>150</v>
      </c>
      <c r="L233" s="20"/>
      <c r="M233" s="20">
        <v>611</v>
      </c>
      <c r="N233" s="21">
        <v>23.846153846153847</v>
      </c>
      <c r="O233" s="20" t="s">
        <v>267</v>
      </c>
      <c r="P233" s="20">
        <f t="shared" si="70"/>
        <v>150</v>
      </c>
      <c r="Q233" s="20">
        <f t="shared" si="71"/>
        <v>290</v>
      </c>
      <c r="R233" s="20">
        <f t="shared" si="72"/>
        <v>168</v>
      </c>
      <c r="S233" s="20">
        <f t="shared" si="73"/>
        <v>3</v>
      </c>
      <c r="T233" s="20">
        <f t="shared" si="74"/>
        <v>611</v>
      </c>
      <c r="U233" s="23">
        <f t="shared" si="75"/>
        <v>0.24549918166939444</v>
      </c>
      <c r="V233" s="23">
        <f t="shared" si="76"/>
        <v>0.4746317512274959</v>
      </c>
      <c r="W233" s="23">
        <f t="shared" si="77"/>
        <v>0.27495908346972175</v>
      </c>
      <c r="X233" s="23">
        <f t="shared" si="78"/>
        <v>4.9099836333878887E-3</v>
      </c>
      <c r="Y233" s="21">
        <f t="shared" si="79"/>
        <v>23.846153846153847</v>
      </c>
    </row>
    <row r="234" spans="1:25" x14ac:dyDescent="0.25">
      <c r="A234" s="20" t="s">
        <v>325</v>
      </c>
      <c r="B234" s="20" t="s">
        <v>326</v>
      </c>
      <c r="C234" s="20" t="s">
        <v>230</v>
      </c>
      <c r="D234" s="20">
        <v>1</v>
      </c>
      <c r="E234" s="20"/>
      <c r="F234" s="20"/>
      <c r="G234" s="20"/>
      <c r="H234" s="20">
        <v>297</v>
      </c>
      <c r="I234" s="20">
        <v>67</v>
      </c>
      <c r="J234" s="20">
        <v>7</v>
      </c>
      <c r="K234" s="20">
        <v>9</v>
      </c>
      <c r="L234" s="20"/>
      <c r="M234" s="20">
        <v>380</v>
      </c>
      <c r="N234" s="21">
        <v>73.368421052631575</v>
      </c>
      <c r="O234" s="20" t="s">
        <v>267</v>
      </c>
      <c r="P234" s="20">
        <f t="shared" ref="P234:P243" si="89">K234</f>
        <v>9</v>
      </c>
      <c r="Q234" s="20">
        <f t="shared" ref="Q234:Q243" si="90">H234</f>
        <v>297</v>
      </c>
      <c r="R234" s="20">
        <f t="shared" si="72"/>
        <v>67</v>
      </c>
      <c r="S234" s="20">
        <f t="shared" ref="S234:S243" si="91">M234-SUM(P234:R234)</f>
        <v>7</v>
      </c>
      <c r="T234" s="20">
        <f t="shared" ref="T234:T243" si="92">SUM(P234:S234)</f>
        <v>380</v>
      </c>
      <c r="U234" s="23">
        <f t="shared" ref="U234:U243" si="93">P234/M234</f>
        <v>2.368421052631579E-2</v>
      </c>
      <c r="V234" s="23">
        <f t="shared" ref="V234:V243" si="94">Q234/M234</f>
        <v>0.78157894736842104</v>
      </c>
      <c r="W234" s="23">
        <f t="shared" ref="W234:W243" si="95">R234/M234</f>
        <v>0.1763157894736842</v>
      </c>
      <c r="X234" s="23">
        <f t="shared" ref="X234:X243" si="96">S234/M234</f>
        <v>1.8421052631578946E-2</v>
      </c>
      <c r="Y234" s="21">
        <f t="shared" ref="Y234:Y243" si="97">N234</f>
        <v>73.368421052631575</v>
      </c>
    </row>
    <row r="235" spans="1:25" x14ac:dyDescent="0.25">
      <c r="A235" s="20" t="s">
        <v>325</v>
      </c>
      <c r="B235" s="20" t="s">
        <v>326</v>
      </c>
      <c r="C235" s="20" t="s">
        <v>230</v>
      </c>
      <c r="D235" s="20">
        <v>2</v>
      </c>
      <c r="E235" s="20"/>
      <c r="F235" s="20"/>
      <c r="G235" s="20"/>
      <c r="H235" s="20">
        <v>310</v>
      </c>
      <c r="I235" s="20">
        <v>60</v>
      </c>
      <c r="J235" s="20">
        <v>2</v>
      </c>
      <c r="K235" s="20">
        <v>8</v>
      </c>
      <c r="L235" s="20"/>
      <c r="M235" s="20">
        <v>380</v>
      </c>
      <c r="N235" s="21">
        <v>69.315789473684205</v>
      </c>
      <c r="O235" s="20" t="s">
        <v>267</v>
      </c>
      <c r="P235" s="20">
        <f t="shared" si="89"/>
        <v>8</v>
      </c>
      <c r="Q235" s="20">
        <f t="shared" si="90"/>
        <v>310</v>
      </c>
      <c r="R235" s="20">
        <f t="shared" si="72"/>
        <v>60</v>
      </c>
      <c r="S235" s="20">
        <f t="shared" si="91"/>
        <v>2</v>
      </c>
      <c r="T235" s="20">
        <f t="shared" si="92"/>
        <v>380</v>
      </c>
      <c r="U235" s="23">
        <f t="shared" si="93"/>
        <v>2.1052631578947368E-2</v>
      </c>
      <c r="V235" s="23">
        <f t="shared" si="94"/>
        <v>0.81578947368421051</v>
      </c>
      <c r="W235" s="23">
        <f t="shared" si="95"/>
        <v>0.15789473684210525</v>
      </c>
      <c r="X235" s="23">
        <f t="shared" si="96"/>
        <v>5.263157894736842E-3</v>
      </c>
      <c r="Y235" s="21">
        <f t="shared" si="97"/>
        <v>69.315789473684205</v>
      </c>
    </row>
    <row r="236" spans="1:25" x14ac:dyDescent="0.25">
      <c r="A236" s="20" t="s">
        <v>325</v>
      </c>
      <c r="B236" s="20" t="s">
        <v>326</v>
      </c>
      <c r="C236" s="20" t="s">
        <v>230</v>
      </c>
      <c r="D236" s="20">
        <v>3</v>
      </c>
      <c r="E236" s="20"/>
      <c r="F236" s="20"/>
      <c r="G236" s="20"/>
      <c r="H236" s="20">
        <v>321</v>
      </c>
      <c r="I236" s="20">
        <v>45</v>
      </c>
      <c r="J236" s="20">
        <v>4</v>
      </c>
      <c r="K236" s="20">
        <v>10</v>
      </c>
      <c r="L236" s="20"/>
      <c r="M236" s="20">
        <v>380</v>
      </c>
      <c r="N236" s="21">
        <v>62.8</v>
      </c>
      <c r="O236" s="20" t="s">
        <v>267</v>
      </c>
      <c r="P236" s="20">
        <f t="shared" si="89"/>
        <v>10</v>
      </c>
      <c r="Q236" s="20">
        <f t="shared" si="90"/>
        <v>321</v>
      </c>
      <c r="R236" s="20">
        <f t="shared" si="72"/>
        <v>45</v>
      </c>
      <c r="S236" s="20">
        <f t="shared" si="91"/>
        <v>4</v>
      </c>
      <c r="T236" s="20">
        <f t="shared" si="92"/>
        <v>380</v>
      </c>
      <c r="U236" s="23">
        <f t="shared" si="93"/>
        <v>2.6315789473684209E-2</v>
      </c>
      <c r="V236" s="23">
        <f t="shared" si="94"/>
        <v>0.84473684210526312</v>
      </c>
      <c r="W236" s="23">
        <f t="shared" si="95"/>
        <v>0.11842105263157894</v>
      </c>
      <c r="X236" s="23">
        <f t="shared" si="96"/>
        <v>1.0526315789473684E-2</v>
      </c>
      <c r="Y236" s="21">
        <f t="shared" si="97"/>
        <v>62.8</v>
      </c>
    </row>
    <row r="237" spans="1:25" x14ac:dyDescent="0.25">
      <c r="A237" s="20" t="s">
        <v>325</v>
      </c>
      <c r="B237" s="20" t="s">
        <v>326</v>
      </c>
      <c r="C237" s="20" t="s">
        <v>230</v>
      </c>
      <c r="D237" s="20">
        <v>4</v>
      </c>
      <c r="E237" s="20"/>
      <c r="F237" s="20"/>
      <c r="G237" s="20">
        <v>1</v>
      </c>
      <c r="H237" s="20">
        <v>591</v>
      </c>
      <c r="I237" s="20">
        <v>86</v>
      </c>
      <c r="J237" s="20">
        <v>6</v>
      </c>
      <c r="K237" s="20">
        <v>5</v>
      </c>
      <c r="L237" s="20"/>
      <c r="M237" s="20">
        <v>689</v>
      </c>
      <c r="N237" s="21">
        <v>56.29898403483309</v>
      </c>
      <c r="O237" s="20" t="s">
        <v>267</v>
      </c>
      <c r="P237" s="20">
        <f t="shared" si="89"/>
        <v>5</v>
      </c>
      <c r="Q237" s="20">
        <f t="shared" si="90"/>
        <v>591</v>
      </c>
      <c r="R237" s="20">
        <f t="shared" si="72"/>
        <v>86</v>
      </c>
      <c r="S237" s="20">
        <f t="shared" si="91"/>
        <v>7</v>
      </c>
      <c r="T237" s="20">
        <f t="shared" si="92"/>
        <v>689</v>
      </c>
      <c r="U237" s="23">
        <f t="shared" si="93"/>
        <v>7.2568940493468797E-3</v>
      </c>
      <c r="V237" s="23">
        <f t="shared" si="94"/>
        <v>0.85776487663280121</v>
      </c>
      <c r="W237" s="23">
        <f t="shared" si="95"/>
        <v>0.12481857764876633</v>
      </c>
      <c r="X237" s="23">
        <f t="shared" si="96"/>
        <v>1.0159651669085631E-2</v>
      </c>
      <c r="Y237" s="21">
        <f t="shared" si="97"/>
        <v>56.29898403483309</v>
      </c>
    </row>
    <row r="238" spans="1:25" x14ac:dyDescent="0.25">
      <c r="A238" s="20" t="s">
        <v>325</v>
      </c>
      <c r="B238" s="20" t="s">
        <v>326</v>
      </c>
      <c r="C238" s="20" t="s">
        <v>230</v>
      </c>
      <c r="D238" s="20">
        <v>5</v>
      </c>
      <c r="E238" s="20"/>
      <c r="F238" s="20">
        <v>1</v>
      </c>
      <c r="G238" s="20"/>
      <c r="H238" s="20">
        <v>583</v>
      </c>
      <c r="I238" s="20">
        <v>84</v>
      </c>
      <c r="J238" s="20">
        <v>7</v>
      </c>
      <c r="K238" s="20">
        <v>14</v>
      </c>
      <c r="L238" s="20"/>
      <c r="M238" s="20">
        <v>689</v>
      </c>
      <c r="N238" s="21">
        <v>49.062409288824384</v>
      </c>
      <c r="O238" s="20" t="s">
        <v>267</v>
      </c>
      <c r="P238" s="20">
        <f t="shared" si="89"/>
        <v>14</v>
      </c>
      <c r="Q238" s="20">
        <f t="shared" si="90"/>
        <v>583</v>
      </c>
      <c r="R238" s="20">
        <f t="shared" si="72"/>
        <v>84</v>
      </c>
      <c r="S238" s="20">
        <f t="shared" si="91"/>
        <v>8</v>
      </c>
      <c r="T238" s="20">
        <f t="shared" si="92"/>
        <v>689</v>
      </c>
      <c r="U238" s="23">
        <f t="shared" si="93"/>
        <v>2.0319303338171262E-2</v>
      </c>
      <c r="V238" s="23">
        <f t="shared" si="94"/>
        <v>0.84615384615384615</v>
      </c>
      <c r="W238" s="23">
        <f t="shared" si="95"/>
        <v>0.12191582002902758</v>
      </c>
      <c r="X238" s="23">
        <f t="shared" si="96"/>
        <v>1.1611030478955007E-2</v>
      </c>
      <c r="Y238" s="21">
        <f t="shared" si="97"/>
        <v>49.062409288824384</v>
      </c>
    </row>
    <row r="239" spans="1:25" x14ac:dyDescent="0.25">
      <c r="A239" s="20" t="s">
        <v>325</v>
      </c>
      <c r="B239" s="20" t="s">
        <v>326</v>
      </c>
      <c r="C239" s="20" t="s">
        <v>230</v>
      </c>
      <c r="D239" s="20">
        <v>6</v>
      </c>
      <c r="E239" s="20"/>
      <c r="F239" s="20">
        <v>1</v>
      </c>
      <c r="G239" s="20"/>
      <c r="H239" s="20">
        <v>607</v>
      </c>
      <c r="I239" s="20">
        <v>55</v>
      </c>
      <c r="J239" s="20">
        <v>1</v>
      </c>
      <c r="K239" s="20">
        <v>25</v>
      </c>
      <c r="L239" s="20"/>
      <c r="M239" s="20">
        <v>689</v>
      </c>
      <c r="N239" s="21">
        <v>42.613933236574745</v>
      </c>
      <c r="O239" s="20" t="s">
        <v>267</v>
      </c>
      <c r="P239" s="20">
        <f t="shared" si="89"/>
        <v>25</v>
      </c>
      <c r="Q239" s="20">
        <f t="shared" si="90"/>
        <v>607</v>
      </c>
      <c r="R239" s="20">
        <f t="shared" si="72"/>
        <v>55</v>
      </c>
      <c r="S239" s="20">
        <f t="shared" si="91"/>
        <v>2</v>
      </c>
      <c r="T239" s="20">
        <f t="shared" si="92"/>
        <v>689</v>
      </c>
      <c r="U239" s="23">
        <f t="shared" si="93"/>
        <v>3.6284470246734396E-2</v>
      </c>
      <c r="V239" s="23">
        <f t="shared" si="94"/>
        <v>0.88098693759071123</v>
      </c>
      <c r="W239" s="23">
        <f t="shared" si="95"/>
        <v>7.982583454281568E-2</v>
      </c>
      <c r="X239" s="23">
        <f t="shared" si="96"/>
        <v>2.9027576197387518E-3</v>
      </c>
      <c r="Y239" s="21">
        <f t="shared" si="97"/>
        <v>42.613933236574745</v>
      </c>
    </row>
    <row r="240" spans="1:25" x14ac:dyDescent="0.25">
      <c r="A240" s="20" t="s">
        <v>325</v>
      </c>
      <c r="B240" s="20" t="s">
        <v>326</v>
      </c>
      <c r="C240" s="20" t="s">
        <v>230</v>
      </c>
      <c r="D240" s="20">
        <v>7</v>
      </c>
      <c r="E240" s="20">
        <v>1</v>
      </c>
      <c r="F240" s="20"/>
      <c r="G240" s="20"/>
      <c r="H240" s="20">
        <v>560</v>
      </c>
      <c r="I240" s="20">
        <v>97</v>
      </c>
      <c r="J240" s="20">
        <v>2</v>
      </c>
      <c r="K240" s="20">
        <v>29</v>
      </c>
      <c r="L240" s="20"/>
      <c r="M240" s="20">
        <v>689</v>
      </c>
      <c r="N240" s="21">
        <v>36.978229317851962</v>
      </c>
      <c r="O240" s="20" t="s">
        <v>267</v>
      </c>
      <c r="P240" s="20">
        <f t="shared" si="89"/>
        <v>29</v>
      </c>
      <c r="Q240" s="20">
        <f t="shared" si="90"/>
        <v>560</v>
      </c>
      <c r="R240" s="20">
        <f t="shared" si="72"/>
        <v>97</v>
      </c>
      <c r="S240" s="20">
        <f t="shared" si="91"/>
        <v>3</v>
      </c>
      <c r="T240" s="20">
        <f t="shared" si="92"/>
        <v>689</v>
      </c>
      <c r="U240" s="23">
        <f t="shared" si="93"/>
        <v>4.2089985486211901E-2</v>
      </c>
      <c r="V240" s="23">
        <f t="shared" si="94"/>
        <v>0.81277213352685052</v>
      </c>
      <c r="W240" s="23">
        <f t="shared" si="95"/>
        <v>0.14078374455732948</v>
      </c>
      <c r="X240" s="23">
        <f t="shared" si="96"/>
        <v>4.3541364296081275E-3</v>
      </c>
      <c r="Y240" s="21">
        <f t="shared" si="97"/>
        <v>36.978229317851962</v>
      </c>
    </row>
    <row r="241" spans="1:25" x14ac:dyDescent="0.25">
      <c r="A241" s="20" t="s">
        <v>325</v>
      </c>
      <c r="B241" s="20" t="s">
        <v>326</v>
      </c>
      <c r="C241" s="20" t="s">
        <v>230</v>
      </c>
      <c r="D241" s="20">
        <v>8</v>
      </c>
      <c r="E241" s="20"/>
      <c r="F241" s="20"/>
      <c r="G241" s="20">
        <v>1</v>
      </c>
      <c r="H241" s="20">
        <v>586</v>
      </c>
      <c r="I241" s="20">
        <v>76</v>
      </c>
      <c r="J241" s="20">
        <v>2</v>
      </c>
      <c r="K241" s="20">
        <v>24</v>
      </c>
      <c r="L241" s="20"/>
      <c r="M241" s="20">
        <v>689</v>
      </c>
      <c r="N241" s="21">
        <v>31.624092888243833</v>
      </c>
      <c r="O241" s="20" t="s">
        <v>267</v>
      </c>
      <c r="P241" s="20">
        <f t="shared" si="89"/>
        <v>24</v>
      </c>
      <c r="Q241" s="20">
        <f t="shared" si="90"/>
        <v>586</v>
      </c>
      <c r="R241" s="20">
        <f t="shared" si="72"/>
        <v>76</v>
      </c>
      <c r="S241" s="20">
        <f t="shared" si="91"/>
        <v>3</v>
      </c>
      <c r="T241" s="20">
        <f t="shared" si="92"/>
        <v>689</v>
      </c>
      <c r="U241" s="23">
        <f t="shared" si="93"/>
        <v>3.483309143686502E-2</v>
      </c>
      <c r="V241" s="23">
        <f t="shared" si="94"/>
        <v>0.85050798258345428</v>
      </c>
      <c r="W241" s="23">
        <f t="shared" si="95"/>
        <v>0.11030478955007257</v>
      </c>
      <c r="X241" s="23">
        <f t="shared" si="96"/>
        <v>4.3541364296081275E-3</v>
      </c>
      <c r="Y241" s="21">
        <f t="shared" si="97"/>
        <v>31.624092888243833</v>
      </c>
    </row>
    <row r="242" spans="1:25" x14ac:dyDescent="0.25">
      <c r="A242" s="20" t="s">
        <v>325</v>
      </c>
      <c r="B242" s="20" t="s">
        <v>326</v>
      </c>
      <c r="C242" s="20" t="s">
        <v>230</v>
      </c>
      <c r="D242" s="20">
        <v>9</v>
      </c>
      <c r="E242" s="20"/>
      <c r="F242" s="20"/>
      <c r="G242" s="20"/>
      <c r="H242" s="20">
        <v>592</v>
      </c>
      <c r="I242" s="20">
        <v>73</v>
      </c>
      <c r="J242" s="20">
        <v>3</v>
      </c>
      <c r="K242" s="20">
        <v>21</v>
      </c>
      <c r="L242" s="20"/>
      <c r="M242" s="20">
        <v>689</v>
      </c>
      <c r="N242" s="21">
        <v>26.576197387518143</v>
      </c>
      <c r="O242" s="20" t="s">
        <v>267</v>
      </c>
      <c r="P242" s="20">
        <f t="shared" si="89"/>
        <v>21</v>
      </c>
      <c r="Q242" s="20">
        <f t="shared" si="90"/>
        <v>592</v>
      </c>
      <c r="R242" s="20">
        <f t="shared" si="72"/>
        <v>73</v>
      </c>
      <c r="S242" s="20">
        <f t="shared" si="91"/>
        <v>3</v>
      </c>
      <c r="T242" s="20">
        <f t="shared" si="92"/>
        <v>689</v>
      </c>
      <c r="U242" s="23">
        <f t="shared" si="93"/>
        <v>3.0478955007256895E-2</v>
      </c>
      <c r="V242" s="23">
        <f t="shared" si="94"/>
        <v>0.85921625544267055</v>
      </c>
      <c r="W242" s="23">
        <f t="shared" si="95"/>
        <v>0.10595065312046444</v>
      </c>
      <c r="X242" s="23">
        <f t="shared" si="96"/>
        <v>4.3541364296081275E-3</v>
      </c>
      <c r="Y242" s="21">
        <f t="shared" si="97"/>
        <v>26.576197387518143</v>
      </c>
    </row>
    <row r="243" spans="1:25" x14ac:dyDescent="0.25">
      <c r="A243" s="20" t="s">
        <v>325</v>
      </c>
      <c r="B243" s="20" t="s">
        <v>326</v>
      </c>
      <c r="C243" s="20" t="s">
        <v>230</v>
      </c>
      <c r="D243" s="20">
        <v>10</v>
      </c>
      <c r="E243" s="20"/>
      <c r="F243" s="20"/>
      <c r="G243" s="20"/>
      <c r="H243" s="20">
        <v>591</v>
      </c>
      <c r="I243" s="20">
        <v>75</v>
      </c>
      <c r="J243" s="20"/>
      <c r="K243" s="20">
        <v>23</v>
      </c>
      <c r="L243" s="20"/>
      <c r="M243" s="20">
        <v>689</v>
      </c>
      <c r="N243" s="21">
        <v>21.110304789550071</v>
      </c>
      <c r="O243" s="20" t="s">
        <v>267</v>
      </c>
      <c r="P243" s="20">
        <f t="shared" si="89"/>
        <v>23</v>
      </c>
      <c r="Q243" s="20">
        <f t="shared" si="90"/>
        <v>591</v>
      </c>
      <c r="R243" s="20">
        <f t="shared" si="72"/>
        <v>75</v>
      </c>
      <c r="S243" s="20">
        <f t="shared" si="91"/>
        <v>0</v>
      </c>
      <c r="T243" s="20">
        <f t="shared" si="92"/>
        <v>689</v>
      </c>
      <c r="U243" s="23">
        <f t="shared" si="93"/>
        <v>3.3381712626995644E-2</v>
      </c>
      <c r="V243" s="23">
        <f t="shared" si="94"/>
        <v>0.85776487663280121</v>
      </c>
      <c r="W243" s="23">
        <f t="shared" si="95"/>
        <v>0.10885341074020319</v>
      </c>
      <c r="X243" s="23">
        <f t="shared" si="96"/>
        <v>0</v>
      </c>
      <c r="Y243" s="21">
        <f t="shared" si="97"/>
        <v>21.110304789550071</v>
      </c>
    </row>
    <row r="244" spans="1:25" x14ac:dyDescent="0.25">
      <c r="A244" s="20" t="s">
        <v>325</v>
      </c>
      <c r="B244" s="20" t="s">
        <v>326</v>
      </c>
      <c r="C244" s="20" t="s">
        <v>231</v>
      </c>
      <c r="D244" s="20">
        <v>1</v>
      </c>
      <c r="E244" s="20"/>
      <c r="F244" s="20"/>
      <c r="G244" s="20"/>
      <c r="H244" s="20">
        <v>183</v>
      </c>
      <c r="I244" s="20">
        <v>180</v>
      </c>
      <c r="J244" s="20">
        <v>7</v>
      </c>
      <c r="K244" s="20">
        <v>10</v>
      </c>
      <c r="L244" s="20"/>
      <c r="M244" s="20">
        <v>380</v>
      </c>
      <c r="N244" s="21">
        <v>69.555263157894743</v>
      </c>
      <c r="O244" s="20" t="s">
        <v>267</v>
      </c>
      <c r="P244" s="20">
        <f t="shared" si="70"/>
        <v>10</v>
      </c>
      <c r="Q244" s="20">
        <f t="shared" si="71"/>
        <v>183</v>
      </c>
      <c r="R244" s="20">
        <f t="shared" si="72"/>
        <v>180</v>
      </c>
      <c r="S244" s="20">
        <f t="shared" si="73"/>
        <v>7</v>
      </c>
      <c r="T244" s="20">
        <f t="shared" si="74"/>
        <v>380</v>
      </c>
      <c r="U244" s="23">
        <f t="shared" si="75"/>
        <v>2.6315789473684209E-2</v>
      </c>
      <c r="V244" s="23">
        <f t="shared" si="76"/>
        <v>0.48157894736842105</v>
      </c>
      <c r="W244" s="23">
        <f t="shared" si="77"/>
        <v>0.47368421052631576</v>
      </c>
      <c r="X244" s="23">
        <f t="shared" si="78"/>
        <v>1.8421052631578946E-2</v>
      </c>
      <c r="Y244" s="21">
        <f t="shared" si="79"/>
        <v>69.555263157894743</v>
      </c>
    </row>
    <row r="245" spans="1:25" x14ac:dyDescent="0.25">
      <c r="A245" s="20" t="s">
        <v>325</v>
      </c>
      <c r="B245" s="20" t="s">
        <v>326</v>
      </c>
      <c r="C245" s="20" t="s">
        <v>231</v>
      </c>
      <c r="D245" s="20">
        <v>2</v>
      </c>
      <c r="E245" s="20"/>
      <c r="F245" s="20"/>
      <c r="G245" s="20"/>
      <c r="H245" s="20">
        <v>194</v>
      </c>
      <c r="I245" s="20">
        <v>169</v>
      </c>
      <c r="J245" s="20">
        <v>5</v>
      </c>
      <c r="K245" s="20">
        <v>12</v>
      </c>
      <c r="L245" s="20"/>
      <c r="M245" s="20">
        <v>380</v>
      </c>
      <c r="N245" s="21">
        <v>61.044736842105266</v>
      </c>
      <c r="O245" s="20" t="s">
        <v>267</v>
      </c>
      <c r="P245" s="20">
        <f t="shared" si="70"/>
        <v>12</v>
      </c>
      <c r="Q245" s="20">
        <f t="shared" si="71"/>
        <v>194</v>
      </c>
      <c r="R245" s="20">
        <f t="shared" si="72"/>
        <v>169</v>
      </c>
      <c r="S245" s="20">
        <f t="shared" si="73"/>
        <v>5</v>
      </c>
      <c r="T245" s="20">
        <f t="shared" si="74"/>
        <v>380</v>
      </c>
      <c r="U245" s="23">
        <f t="shared" si="75"/>
        <v>3.1578947368421054E-2</v>
      </c>
      <c r="V245" s="23">
        <f t="shared" si="76"/>
        <v>0.51052631578947372</v>
      </c>
      <c r="W245" s="23">
        <f t="shared" si="77"/>
        <v>0.44473684210526315</v>
      </c>
      <c r="X245" s="23">
        <f t="shared" si="78"/>
        <v>1.3157894736842105E-2</v>
      </c>
      <c r="Y245" s="21">
        <f t="shared" si="79"/>
        <v>61.044736842105266</v>
      </c>
    </row>
    <row r="246" spans="1:25" x14ac:dyDescent="0.25">
      <c r="A246" s="20" t="s">
        <v>325</v>
      </c>
      <c r="B246" s="20" t="s">
        <v>326</v>
      </c>
      <c r="C246" s="20" t="s">
        <v>231</v>
      </c>
      <c r="D246" s="20">
        <v>3</v>
      </c>
      <c r="E246" s="20"/>
      <c r="F246" s="20">
        <v>1</v>
      </c>
      <c r="G246" s="20">
        <v>1</v>
      </c>
      <c r="H246" s="20">
        <v>369</v>
      </c>
      <c r="I246" s="20">
        <v>257</v>
      </c>
      <c r="J246" s="20">
        <v>3</v>
      </c>
      <c r="K246" s="20">
        <v>21</v>
      </c>
      <c r="L246" s="20"/>
      <c r="M246" s="20">
        <v>652</v>
      </c>
      <c r="N246" s="21">
        <v>49.521472392638039</v>
      </c>
      <c r="O246" s="20" t="s">
        <v>267</v>
      </c>
      <c r="P246" s="20">
        <f t="shared" si="70"/>
        <v>21</v>
      </c>
      <c r="Q246" s="20">
        <f t="shared" si="71"/>
        <v>369</v>
      </c>
      <c r="R246" s="20">
        <f t="shared" si="72"/>
        <v>257</v>
      </c>
      <c r="S246" s="20">
        <f t="shared" si="73"/>
        <v>5</v>
      </c>
      <c r="T246" s="20">
        <f t="shared" si="74"/>
        <v>652</v>
      </c>
      <c r="U246" s="23">
        <f t="shared" si="75"/>
        <v>3.2208588957055216E-2</v>
      </c>
      <c r="V246" s="23">
        <f t="shared" si="76"/>
        <v>0.56595092024539873</v>
      </c>
      <c r="W246" s="23">
        <f t="shared" si="77"/>
        <v>0.39417177914110429</v>
      </c>
      <c r="X246" s="23">
        <f t="shared" si="78"/>
        <v>7.6687116564417178E-3</v>
      </c>
      <c r="Y246" s="21">
        <f t="shared" si="79"/>
        <v>49.521472392638039</v>
      </c>
    </row>
    <row r="247" spans="1:25" x14ac:dyDescent="0.25">
      <c r="A247" s="20" t="s">
        <v>325</v>
      </c>
      <c r="B247" s="20" t="s">
        <v>326</v>
      </c>
      <c r="C247" s="20" t="s">
        <v>231</v>
      </c>
      <c r="D247" s="20">
        <v>4</v>
      </c>
      <c r="E247" s="20"/>
      <c r="F247" s="20"/>
      <c r="G247" s="20">
        <v>1</v>
      </c>
      <c r="H247" s="20">
        <v>360</v>
      </c>
      <c r="I247" s="20">
        <v>258</v>
      </c>
      <c r="J247" s="20">
        <v>4</v>
      </c>
      <c r="K247" s="20">
        <v>29</v>
      </c>
      <c r="L247" s="20"/>
      <c r="M247" s="20">
        <v>652</v>
      </c>
      <c r="N247" s="21">
        <v>38.95092024539877</v>
      </c>
      <c r="O247" s="20" t="s">
        <v>267</v>
      </c>
      <c r="P247" s="20">
        <f t="shared" si="70"/>
        <v>29</v>
      </c>
      <c r="Q247" s="20">
        <f t="shared" si="71"/>
        <v>360</v>
      </c>
      <c r="R247" s="20">
        <f t="shared" si="72"/>
        <v>258</v>
      </c>
      <c r="S247" s="20">
        <f t="shared" si="73"/>
        <v>5</v>
      </c>
      <c r="T247" s="20">
        <f t="shared" si="74"/>
        <v>652</v>
      </c>
      <c r="U247" s="23">
        <f t="shared" si="75"/>
        <v>4.4478527607361963E-2</v>
      </c>
      <c r="V247" s="23">
        <f t="shared" si="76"/>
        <v>0.55214723926380371</v>
      </c>
      <c r="W247" s="23">
        <f t="shared" si="77"/>
        <v>0.39570552147239263</v>
      </c>
      <c r="X247" s="23">
        <f t="shared" si="78"/>
        <v>7.6687116564417178E-3</v>
      </c>
      <c r="Y247" s="21">
        <f t="shared" si="79"/>
        <v>38.95092024539877</v>
      </c>
    </row>
    <row r="248" spans="1:25" x14ac:dyDescent="0.25">
      <c r="A248" s="20" t="s">
        <v>325</v>
      </c>
      <c r="B248" s="20" t="s">
        <v>326</v>
      </c>
      <c r="C248" s="20" t="s">
        <v>231</v>
      </c>
      <c r="D248" s="20">
        <v>5</v>
      </c>
      <c r="E248" s="20"/>
      <c r="F248" s="20"/>
      <c r="G248" s="20"/>
      <c r="H248" s="20">
        <v>348</v>
      </c>
      <c r="I248" s="20">
        <v>247</v>
      </c>
      <c r="J248" s="20">
        <v>7</v>
      </c>
      <c r="K248" s="20">
        <v>50</v>
      </c>
      <c r="L248" s="20"/>
      <c r="M248" s="20">
        <v>652</v>
      </c>
      <c r="N248" s="21">
        <v>31.219325153374232</v>
      </c>
      <c r="O248" s="20" t="s">
        <v>267</v>
      </c>
      <c r="P248" s="20">
        <f t="shared" ref="P248:P302" si="98">K248</f>
        <v>50</v>
      </c>
      <c r="Q248" s="20">
        <f t="shared" ref="Q248:Q302" si="99">H248</f>
        <v>348</v>
      </c>
      <c r="R248" s="20">
        <f t="shared" ref="R248:R302" si="100">I248</f>
        <v>247</v>
      </c>
      <c r="S248" s="20">
        <f t="shared" ref="S248:S302" si="101">M248-SUM(P248:R248)</f>
        <v>7</v>
      </c>
      <c r="T248" s="20">
        <f t="shared" ref="T248:T302" si="102">SUM(P248:S248)</f>
        <v>652</v>
      </c>
      <c r="U248" s="23">
        <f t="shared" ref="U248:U302" si="103">P248/M248</f>
        <v>7.6687116564417179E-2</v>
      </c>
      <c r="V248" s="23">
        <f t="shared" ref="V248:V302" si="104">Q248/M248</f>
        <v>0.53374233128834359</v>
      </c>
      <c r="W248" s="23">
        <f t="shared" ref="W248:W302" si="105">R248/M248</f>
        <v>0.37883435582822084</v>
      </c>
      <c r="X248" s="23">
        <f t="shared" ref="X248:X302" si="106">S248/M248</f>
        <v>1.0736196319018405E-2</v>
      </c>
      <c r="Y248" s="21">
        <f t="shared" ref="Y248:Y302" si="107">N248</f>
        <v>31.219325153374232</v>
      </c>
    </row>
    <row r="249" spans="1:25" x14ac:dyDescent="0.25">
      <c r="A249" s="20" t="s">
        <v>325</v>
      </c>
      <c r="B249" s="20" t="s">
        <v>326</v>
      </c>
      <c r="C249" s="20" t="s">
        <v>231</v>
      </c>
      <c r="D249" s="20">
        <v>6</v>
      </c>
      <c r="E249" s="20"/>
      <c r="F249" s="20"/>
      <c r="G249" s="20"/>
      <c r="H249" s="20">
        <v>356</v>
      </c>
      <c r="I249" s="20">
        <v>240</v>
      </c>
      <c r="J249" s="20">
        <v>1</v>
      </c>
      <c r="K249" s="20">
        <v>55</v>
      </c>
      <c r="L249" s="20"/>
      <c r="M249" s="20">
        <v>652</v>
      </c>
      <c r="N249" s="21">
        <v>23.042944785276074</v>
      </c>
      <c r="O249" s="20" t="s">
        <v>267</v>
      </c>
      <c r="P249" s="20">
        <f t="shared" si="98"/>
        <v>55</v>
      </c>
      <c r="Q249" s="20">
        <f t="shared" si="99"/>
        <v>356</v>
      </c>
      <c r="R249" s="20">
        <f t="shared" si="100"/>
        <v>240</v>
      </c>
      <c r="S249" s="20">
        <f t="shared" si="101"/>
        <v>1</v>
      </c>
      <c r="T249" s="20">
        <f t="shared" si="102"/>
        <v>652</v>
      </c>
      <c r="U249" s="23">
        <f t="shared" si="103"/>
        <v>8.4355828220858894E-2</v>
      </c>
      <c r="V249" s="23">
        <f t="shared" si="104"/>
        <v>0.54601226993865026</v>
      </c>
      <c r="W249" s="23">
        <f t="shared" si="105"/>
        <v>0.36809815950920244</v>
      </c>
      <c r="X249" s="23">
        <f t="shared" si="106"/>
        <v>1.5337423312883436E-3</v>
      </c>
      <c r="Y249" s="21">
        <f t="shared" si="107"/>
        <v>23.042944785276074</v>
      </c>
    </row>
    <row r="250" spans="1:25" x14ac:dyDescent="0.25">
      <c r="A250" s="20" t="s">
        <v>327</v>
      </c>
      <c r="B250" s="20" t="s">
        <v>328</v>
      </c>
      <c r="C250" s="20" t="s">
        <v>233</v>
      </c>
      <c r="D250" s="20">
        <v>1</v>
      </c>
      <c r="E250" s="20"/>
      <c r="F250" s="20"/>
      <c r="G250" s="20"/>
      <c r="H250" s="20">
        <v>313</v>
      </c>
      <c r="I250" s="20">
        <v>51</v>
      </c>
      <c r="J250" s="20">
        <v>7</v>
      </c>
      <c r="K250" s="20">
        <v>9</v>
      </c>
      <c r="L250" s="20"/>
      <c r="M250" s="20">
        <v>380</v>
      </c>
      <c r="N250" s="21">
        <v>72.607894736842098</v>
      </c>
      <c r="O250" s="20" t="s">
        <v>267</v>
      </c>
      <c r="P250" s="20">
        <f t="shared" si="98"/>
        <v>9</v>
      </c>
      <c r="Q250" s="20">
        <f t="shared" si="99"/>
        <v>313</v>
      </c>
      <c r="R250" s="20">
        <f t="shared" si="100"/>
        <v>51</v>
      </c>
      <c r="S250" s="20">
        <f t="shared" si="101"/>
        <v>7</v>
      </c>
      <c r="T250" s="20">
        <f t="shared" si="102"/>
        <v>380</v>
      </c>
      <c r="U250" s="23">
        <f t="shared" si="103"/>
        <v>2.368421052631579E-2</v>
      </c>
      <c r="V250" s="23">
        <f t="shared" si="104"/>
        <v>0.8236842105263158</v>
      </c>
      <c r="W250" s="23">
        <f t="shared" si="105"/>
        <v>0.13421052631578947</v>
      </c>
      <c r="X250" s="23">
        <f t="shared" si="106"/>
        <v>1.8421052631578946E-2</v>
      </c>
      <c r="Y250" s="21">
        <f t="shared" si="107"/>
        <v>72.607894736842098</v>
      </c>
    </row>
    <row r="251" spans="1:25" x14ac:dyDescent="0.25">
      <c r="A251" s="20" t="s">
        <v>327</v>
      </c>
      <c r="B251" s="20" t="s">
        <v>328</v>
      </c>
      <c r="C251" s="20" t="s">
        <v>233</v>
      </c>
      <c r="D251" s="20">
        <v>2</v>
      </c>
      <c r="E251" s="20">
        <v>1</v>
      </c>
      <c r="F251" s="20"/>
      <c r="G251" s="20"/>
      <c r="H251" s="20">
        <v>306</v>
      </c>
      <c r="I251" s="20">
        <v>59</v>
      </c>
      <c r="J251" s="20">
        <v>5</v>
      </c>
      <c r="K251" s="20">
        <v>9</v>
      </c>
      <c r="L251" s="20"/>
      <c r="M251" s="20">
        <v>380</v>
      </c>
      <c r="N251" s="21">
        <v>61.481578947368419</v>
      </c>
      <c r="O251" s="20" t="s">
        <v>267</v>
      </c>
      <c r="P251" s="20">
        <f t="shared" si="98"/>
        <v>9</v>
      </c>
      <c r="Q251" s="20">
        <f t="shared" si="99"/>
        <v>306</v>
      </c>
      <c r="R251" s="20">
        <f t="shared" si="100"/>
        <v>59</v>
      </c>
      <c r="S251" s="20">
        <f t="shared" si="101"/>
        <v>6</v>
      </c>
      <c r="T251" s="20">
        <f t="shared" si="102"/>
        <v>380</v>
      </c>
      <c r="U251" s="23">
        <f t="shared" si="103"/>
        <v>2.368421052631579E-2</v>
      </c>
      <c r="V251" s="23">
        <f t="shared" si="104"/>
        <v>0.80526315789473679</v>
      </c>
      <c r="W251" s="23">
        <f t="shared" si="105"/>
        <v>0.15526315789473685</v>
      </c>
      <c r="X251" s="23">
        <f t="shared" si="106"/>
        <v>1.5789473684210527E-2</v>
      </c>
      <c r="Y251" s="21">
        <f t="shared" si="107"/>
        <v>61.481578947368419</v>
      </c>
    </row>
    <row r="252" spans="1:25" x14ac:dyDescent="0.25">
      <c r="A252" s="20" t="s">
        <v>327</v>
      </c>
      <c r="B252" s="20" t="s">
        <v>328</v>
      </c>
      <c r="C252" s="20" t="s">
        <v>233</v>
      </c>
      <c r="D252" s="20">
        <v>3</v>
      </c>
      <c r="E252" s="20"/>
      <c r="F252" s="20"/>
      <c r="G252" s="20">
        <v>3</v>
      </c>
      <c r="H252" s="20">
        <v>511</v>
      </c>
      <c r="I252" s="20">
        <v>66</v>
      </c>
      <c r="J252" s="20">
        <v>7</v>
      </c>
      <c r="K252" s="20">
        <v>15</v>
      </c>
      <c r="L252" s="20"/>
      <c r="M252" s="20">
        <v>602</v>
      </c>
      <c r="N252" s="21">
        <v>51.303986710963457</v>
      </c>
      <c r="O252" s="20" t="s">
        <v>267</v>
      </c>
      <c r="P252" s="20">
        <f t="shared" si="98"/>
        <v>15</v>
      </c>
      <c r="Q252" s="20">
        <f t="shared" si="99"/>
        <v>511</v>
      </c>
      <c r="R252" s="20">
        <f t="shared" si="100"/>
        <v>66</v>
      </c>
      <c r="S252" s="20">
        <f t="shared" si="101"/>
        <v>10</v>
      </c>
      <c r="T252" s="20">
        <f t="shared" si="102"/>
        <v>602</v>
      </c>
      <c r="U252" s="23">
        <f t="shared" si="103"/>
        <v>2.4916943521594685E-2</v>
      </c>
      <c r="V252" s="23">
        <f t="shared" si="104"/>
        <v>0.84883720930232553</v>
      </c>
      <c r="W252" s="23">
        <f t="shared" si="105"/>
        <v>0.10963455149501661</v>
      </c>
      <c r="X252" s="23">
        <f t="shared" si="106"/>
        <v>1.6611295681063124E-2</v>
      </c>
      <c r="Y252" s="21">
        <f t="shared" si="107"/>
        <v>51.303986710963457</v>
      </c>
    </row>
    <row r="253" spans="1:25" x14ac:dyDescent="0.25">
      <c r="A253" s="20" t="s">
        <v>327</v>
      </c>
      <c r="B253" s="20" t="s">
        <v>328</v>
      </c>
      <c r="C253" s="20" t="s">
        <v>233</v>
      </c>
      <c r="D253" s="20">
        <v>4</v>
      </c>
      <c r="E253" s="20"/>
      <c r="F253" s="20">
        <v>1</v>
      </c>
      <c r="G253" s="20"/>
      <c r="H253" s="20">
        <v>494</v>
      </c>
      <c r="I253" s="20">
        <v>74</v>
      </c>
      <c r="J253" s="20">
        <v>4</v>
      </c>
      <c r="K253" s="20">
        <v>30</v>
      </c>
      <c r="L253" s="20"/>
      <c r="M253" s="20">
        <v>603</v>
      </c>
      <c r="N253" s="21">
        <v>41.086235489220563</v>
      </c>
      <c r="O253" s="20" t="s">
        <v>267</v>
      </c>
      <c r="P253" s="20">
        <f t="shared" si="98"/>
        <v>30</v>
      </c>
      <c r="Q253" s="20">
        <f t="shared" si="99"/>
        <v>494</v>
      </c>
      <c r="R253" s="20">
        <f t="shared" si="100"/>
        <v>74</v>
      </c>
      <c r="S253" s="20">
        <f t="shared" si="101"/>
        <v>5</v>
      </c>
      <c r="T253" s="20">
        <f t="shared" si="102"/>
        <v>603</v>
      </c>
      <c r="U253" s="23">
        <f t="shared" si="103"/>
        <v>4.975124378109453E-2</v>
      </c>
      <c r="V253" s="23">
        <f t="shared" si="104"/>
        <v>0.8192371475953566</v>
      </c>
      <c r="W253" s="23">
        <f t="shared" si="105"/>
        <v>0.12271973466003316</v>
      </c>
      <c r="X253" s="23">
        <f t="shared" si="106"/>
        <v>8.291873963515755E-3</v>
      </c>
      <c r="Y253" s="21">
        <f t="shared" si="107"/>
        <v>41.086235489220563</v>
      </c>
    </row>
    <row r="254" spans="1:25" x14ac:dyDescent="0.25">
      <c r="A254" s="20" t="s">
        <v>327</v>
      </c>
      <c r="B254" s="20" t="s">
        <v>328</v>
      </c>
      <c r="C254" s="20" t="s">
        <v>233</v>
      </c>
      <c r="D254" s="20">
        <v>5</v>
      </c>
      <c r="E254" s="20"/>
      <c r="F254" s="20"/>
      <c r="G254" s="20">
        <v>1</v>
      </c>
      <c r="H254" s="20">
        <v>485</v>
      </c>
      <c r="I254" s="20">
        <v>82</v>
      </c>
      <c r="J254" s="20">
        <v>1</v>
      </c>
      <c r="K254" s="20">
        <v>34</v>
      </c>
      <c r="L254" s="20"/>
      <c r="M254" s="20">
        <v>603</v>
      </c>
      <c r="N254" s="21">
        <v>32.203980099502488</v>
      </c>
      <c r="O254" s="20" t="s">
        <v>267</v>
      </c>
      <c r="P254" s="20">
        <f t="shared" si="98"/>
        <v>34</v>
      </c>
      <c r="Q254" s="20">
        <f t="shared" si="99"/>
        <v>485</v>
      </c>
      <c r="R254" s="20">
        <f t="shared" si="100"/>
        <v>82</v>
      </c>
      <c r="S254" s="20">
        <f t="shared" si="101"/>
        <v>2</v>
      </c>
      <c r="T254" s="20">
        <f t="shared" si="102"/>
        <v>603</v>
      </c>
      <c r="U254" s="23">
        <f t="shared" si="103"/>
        <v>5.6384742951907131E-2</v>
      </c>
      <c r="V254" s="23">
        <f t="shared" si="104"/>
        <v>0.80431177446102819</v>
      </c>
      <c r="W254" s="23">
        <f t="shared" si="105"/>
        <v>0.13598673300165837</v>
      </c>
      <c r="X254" s="23">
        <f t="shared" si="106"/>
        <v>3.3167495854063019E-3</v>
      </c>
      <c r="Y254" s="21">
        <f t="shared" si="107"/>
        <v>32.203980099502488</v>
      </c>
    </row>
    <row r="255" spans="1:25" x14ac:dyDescent="0.25">
      <c r="A255" s="20" t="s">
        <v>327</v>
      </c>
      <c r="B255" s="20" t="s">
        <v>328</v>
      </c>
      <c r="C255" s="20" t="s">
        <v>233</v>
      </c>
      <c r="D255" s="20">
        <v>6</v>
      </c>
      <c r="E255" s="20"/>
      <c r="F255" s="20"/>
      <c r="G255" s="20">
        <v>1</v>
      </c>
      <c r="H255" s="20">
        <v>464</v>
      </c>
      <c r="I255" s="20">
        <v>100</v>
      </c>
      <c r="J255" s="20">
        <v>2</v>
      </c>
      <c r="K255" s="20">
        <v>36</v>
      </c>
      <c r="L255" s="20"/>
      <c r="M255" s="20">
        <v>603</v>
      </c>
      <c r="N255" s="21">
        <v>23.102819237147596</v>
      </c>
      <c r="O255" s="20" t="s">
        <v>267</v>
      </c>
      <c r="P255" s="20">
        <f t="shared" si="98"/>
        <v>36</v>
      </c>
      <c r="Q255" s="20">
        <f t="shared" si="99"/>
        <v>464</v>
      </c>
      <c r="R255" s="20">
        <f t="shared" si="100"/>
        <v>100</v>
      </c>
      <c r="S255" s="20">
        <f t="shared" si="101"/>
        <v>3</v>
      </c>
      <c r="T255" s="20">
        <f t="shared" si="102"/>
        <v>603</v>
      </c>
      <c r="U255" s="23">
        <f t="shared" si="103"/>
        <v>5.9701492537313432E-2</v>
      </c>
      <c r="V255" s="23">
        <f t="shared" si="104"/>
        <v>0.76948590381426207</v>
      </c>
      <c r="W255" s="23">
        <f t="shared" si="105"/>
        <v>0.16583747927031509</v>
      </c>
      <c r="X255" s="23">
        <f t="shared" si="106"/>
        <v>4.9751243781094526E-3</v>
      </c>
      <c r="Y255" s="21">
        <f t="shared" si="107"/>
        <v>23.102819237147596</v>
      </c>
    </row>
    <row r="256" spans="1:25" x14ac:dyDescent="0.25">
      <c r="A256" s="20" t="s">
        <v>329</v>
      </c>
      <c r="B256" s="20" t="s">
        <v>330</v>
      </c>
      <c r="C256" s="20" t="s">
        <v>235</v>
      </c>
      <c r="D256" s="20">
        <v>1</v>
      </c>
      <c r="E256" s="20"/>
      <c r="F256" s="20"/>
      <c r="G256" s="20"/>
      <c r="H256" s="20">
        <v>321</v>
      </c>
      <c r="I256" s="20">
        <v>50</v>
      </c>
      <c r="J256" s="20">
        <v>6</v>
      </c>
      <c r="K256" s="20">
        <v>3</v>
      </c>
      <c r="L256" s="20"/>
      <c r="M256" s="20">
        <v>380</v>
      </c>
      <c r="N256" s="21">
        <v>76.005263157894731</v>
      </c>
      <c r="O256" s="20" t="s">
        <v>267</v>
      </c>
      <c r="P256" s="20">
        <f t="shared" si="98"/>
        <v>3</v>
      </c>
      <c r="Q256" s="20">
        <f t="shared" si="99"/>
        <v>321</v>
      </c>
      <c r="R256" s="20">
        <f t="shared" si="100"/>
        <v>50</v>
      </c>
      <c r="S256" s="20">
        <f t="shared" si="101"/>
        <v>6</v>
      </c>
      <c r="T256" s="20">
        <f t="shared" si="102"/>
        <v>380</v>
      </c>
      <c r="U256" s="23">
        <f t="shared" si="103"/>
        <v>7.8947368421052634E-3</v>
      </c>
      <c r="V256" s="23">
        <f t="shared" si="104"/>
        <v>0.84473684210526312</v>
      </c>
      <c r="W256" s="23">
        <f t="shared" si="105"/>
        <v>0.13157894736842105</v>
      </c>
      <c r="X256" s="23">
        <f t="shared" si="106"/>
        <v>1.5789473684210527E-2</v>
      </c>
      <c r="Y256" s="21">
        <f t="shared" si="107"/>
        <v>76.005263157894731</v>
      </c>
    </row>
    <row r="257" spans="1:25" x14ac:dyDescent="0.25">
      <c r="A257" s="20" t="s">
        <v>329</v>
      </c>
      <c r="B257" s="20" t="s">
        <v>330</v>
      </c>
      <c r="C257" s="20" t="s">
        <v>235</v>
      </c>
      <c r="D257" s="20">
        <v>2</v>
      </c>
      <c r="E257" s="20"/>
      <c r="F257" s="20"/>
      <c r="G257" s="20"/>
      <c r="H257" s="20">
        <v>326</v>
      </c>
      <c r="I257" s="20">
        <v>42</v>
      </c>
      <c r="J257" s="20">
        <v>4</v>
      </c>
      <c r="K257" s="20">
        <v>8</v>
      </c>
      <c r="L257" s="20"/>
      <c r="M257" s="20">
        <v>380</v>
      </c>
      <c r="N257" s="21">
        <v>66.702631578947361</v>
      </c>
      <c r="O257" s="20" t="s">
        <v>267</v>
      </c>
      <c r="P257" s="20">
        <f t="shared" si="98"/>
        <v>8</v>
      </c>
      <c r="Q257" s="20">
        <f t="shared" si="99"/>
        <v>326</v>
      </c>
      <c r="R257" s="20">
        <f t="shared" si="100"/>
        <v>42</v>
      </c>
      <c r="S257" s="20">
        <f t="shared" si="101"/>
        <v>4</v>
      </c>
      <c r="T257" s="20">
        <f t="shared" si="102"/>
        <v>380</v>
      </c>
      <c r="U257" s="23">
        <f t="shared" si="103"/>
        <v>2.1052631578947368E-2</v>
      </c>
      <c r="V257" s="23">
        <f t="shared" si="104"/>
        <v>0.85789473684210527</v>
      </c>
      <c r="W257" s="23">
        <f t="shared" si="105"/>
        <v>0.11052631578947368</v>
      </c>
      <c r="X257" s="23">
        <f t="shared" si="106"/>
        <v>1.0526315789473684E-2</v>
      </c>
      <c r="Y257" s="21">
        <f t="shared" si="107"/>
        <v>66.702631578947361</v>
      </c>
    </row>
    <row r="258" spans="1:25" x14ac:dyDescent="0.25">
      <c r="A258" s="20" t="s">
        <v>329</v>
      </c>
      <c r="B258" s="20" t="s">
        <v>330</v>
      </c>
      <c r="C258" s="20" t="s">
        <v>235</v>
      </c>
      <c r="D258" s="20">
        <v>3</v>
      </c>
      <c r="E258" s="20"/>
      <c r="F258" s="20"/>
      <c r="G258" s="20"/>
      <c r="H258" s="20">
        <v>323</v>
      </c>
      <c r="I258" s="20">
        <v>45</v>
      </c>
      <c r="J258" s="20">
        <v>1</v>
      </c>
      <c r="K258" s="20">
        <v>11</v>
      </c>
      <c r="L258" s="20"/>
      <c r="M258" s="20">
        <v>380</v>
      </c>
      <c r="N258" s="21">
        <v>59.323684210526316</v>
      </c>
      <c r="O258" s="20" t="s">
        <v>267</v>
      </c>
      <c r="P258" s="20">
        <f t="shared" si="98"/>
        <v>11</v>
      </c>
      <c r="Q258" s="20">
        <f t="shared" si="99"/>
        <v>323</v>
      </c>
      <c r="R258" s="20">
        <f t="shared" si="100"/>
        <v>45</v>
      </c>
      <c r="S258" s="20">
        <f t="shared" si="101"/>
        <v>1</v>
      </c>
      <c r="T258" s="20">
        <f t="shared" si="102"/>
        <v>380</v>
      </c>
      <c r="U258" s="23">
        <f t="shared" si="103"/>
        <v>2.8947368421052631E-2</v>
      </c>
      <c r="V258" s="23">
        <f t="shared" si="104"/>
        <v>0.85</v>
      </c>
      <c r="W258" s="23">
        <f t="shared" si="105"/>
        <v>0.11842105263157894</v>
      </c>
      <c r="X258" s="23">
        <f t="shared" si="106"/>
        <v>2.631578947368421E-3</v>
      </c>
      <c r="Y258" s="21">
        <f t="shared" si="107"/>
        <v>59.323684210526316</v>
      </c>
    </row>
    <row r="259" spans="1:25" x14ac:dyDescent="0.25">
      <c r="A259" s="20" t="s">
        <v>329</v>
      </c>
      <c r="B259" s="20" t="s">
        <v>330</v>
      </c>
      <c r="C259" s="20" t="s">
        <v>235</v>
      </c>
      <c r="D259" s="20">
        <v>4</v>
      </c>
      <c r="E259" s="20"/>
      <c r="F259" s="20"/>
      <c r="G259" s="20">
        <v>2</v>
      </c>
      <c r="H259" s="20">
        <v>506</v>
      </c>
      <c r="I259" s="20">
        <v>59</v>
      </c>
      <c r="J259" s="20">
        <v>4</v>
      </c>
      <c r="K259" s="20">
        <v>32</v>
      </c>
      <c r="L259" s="20"/>
      <c r="M259" s="20">
        <v>603</v>
      </c>
      <c r="N259" s="21">
        <v>49.99336650082919</v>
      </c>
      <c r="O259" s="20" t="s">
        <v>267</v>
      </c>
      <c r="P259" s="20">
        <f t="shared" si="98"/>
        <v>32</v>
      </c>
      <c r="Q259" s="20">
        <f t="shared" si="99"/>
        <v>506</v>
      </c>
      <c r="R259" s="20">
        <f t="shared" si="100"/>
        <v>59</v>
      </c>
      <c r="S259" s="20">
        <f t="shared" si="101"/>
        <v>6</v>
      </c>
      <c r="T259" s="20">
        <f t="shared" si="102"/>
        <v>603</v>
      </c>
      <c r="U259" s="23">
        <f t="shared" si="103"/>
        <v>5.306799336650083E-2</v>
      </c>
      <c r="V259" s="23">
        <f t="shared" si="104"/>
        <v>0.83913764510779432</v>
      </c>
      <c r="W259" s="23">
        <f t="shared" si="105"/>
        <v>9.7844112769485903E-2</v>
      </c>
      <c r="X259" s="23">
        <f t="shared" si="106"/>
        <v>9.9502487562189053E-3</v>
      </c>
      <c r="Y259" s="21">
        <f t="shared" si="107"/>
        <v>49.99336650082919</v>
      </c>
    </row>
    <row r="260" spans="1:25" x14ac:dyDescent="0.25">
      <c r="A260" s="20" t="s">
        <v>329</v>
      </c>
      <c r="B260" s="20" t="s">
        <v>330</v>
      </c>
      <c r="C260" s="20" t="s">
        <v>235</v>
      </c>
      <c r="D260" s="20">
        <v>5</v>
      </c>
      <c r="E260" s="20"/>
      <c r="F260" s="20"/>
      <c r="G260" s="20">
        <v>1</v>
      </c>
      <c r="H260" s="20">
        <v>478</v>
      </c>
      <c r="I260" s="20">
        <v>73</v>
      </c>
      <c r="J260" s="20">
        <v>2</v>
      </c>
      <c r="K260" s="20">
        <v>50</v>
      </c>
      <c r="L260" s="20"/>
      <c r="M260" s="20">
        <v>604</v>
      </c>
      <c r="N260" s="21">
        <v>40.562913907284766</v>
      </c>
      <c r="O260" s="20" t="s">
        <v>267</v>
      </c>
      <c r="P260" s="20">
        <f t="shared" si="98"/>
        <v>50</v>
      </c>
      <c r="Q260" s="20">
        <f t="shared" si="99"/>
        <v>478</v>
      </c>
      <c r="R260" s="20">
        <f t="shared" si="100"/>
        <v>73</v>
      </c>
      <c r="S260" s="20">
        <f t="shared" si="101"/>
        <v>3</v>
      </c>
      <c r="T260" s="20">
        <f t="shared" si="102"/>
        <v>604</v>
      </c>
      <c r="U260" s="23">
        <f t="shared" si="103"/>
        <v>8.2781456953642391E-2</v>
      </c>
      <c r="V260" s="23">
        <f t="shared" si="104"/>
        <v>0.79139072847682124</v>
      </c>
      <c r="W260" s="23">
        <f t="shared" si="105"/>
        <v>0.12086092715231789</v>
      </c>
      <c r="X260" s="23">
        <f t="shared" si="106"/>
        <v>4.9668874172185433E-3</v>
      </c>
      <c r="Y260" s="21">
        <f t="shared" si="107"/>
        <v>40.562913907284766</v>
      </c>
    </row>
    <row r="261" spans="1:25" x14ac:dyDescent="0.25">
      <c r="A261" s="20" t="s">
        <v>329</v>
      </c>
      <c r="B261" s="20" t="s">
        <v>330</v>
      </c>
      <c r="C261" s="20" t="s">
        <v>235</v>
      </c>
      <c r="D261" s="20">
        <v>6</v>
      </c>
      <c r="E261" s="20"/>
      <c r="F261" s="20"/>
      <c r="G261" s="20">
        <v>1</v>
      </c>
      <c r="H261" s="20">
        <v>460</v>
      </c>
      <c r="I261" s="20">
        <v>83</v>
      </c>
      <c r="J261" s="20"/>
      <c r="K261" s="20">
        <v>59</v>
      </c>
      <c r="L261" s="20">
        <v>1</v>
      </c>
      <c r="M261" s="20">
        <v>604</v>
      </c>
      <c r="N261" s="21">
        <v>32.253311258278146</v>
      </c>
      <c r="O261" s="20" t="s">
        <v>267</v>
      </c>
      <c r="P261" s="20">
        <f t="shared" si="98"/>
        <v>59</v>
      </c>
      <c r="Q261" s="20">
        <f t="shared" si="99"/>
        <v>460</v>
      </c>
      <c r="R261" s="20">
        <f t="shared" si="100"/>
        <v>83</v>
      </c>
      <c r="S261" s="20">
        <f t="shared" si="101"/>
        <v>2</v>
      </c>
      <c r="T261" s="20">
        <f t="shared" si="102"/>
        <v>604</v>
      </c>
      <c r="U261" s="23">
        <f t="shared" si="103"/>
        <v>9.7682119205298013E-2</v>
      </c>
      <c r="V261" s="23">
        <f t="shared" si="104"/>
        <v>0.76158940397350994</v>
      </c>
      <c r="W261" s="23">
        <f t="shared" si="105"/>
        <v>0.13741721854304637</v>
      </c>
      <c r="X261" s="23">
        <f t="shared" si="106"/>
        <v>3.3112582781456954E-3</v>
      </c>
      <c r="Y261" s="21">
        <f t="shared" si="107"/>
        <v>32.253311258278146</v>
      </c>
    </row>
    <row r="262" spans="1:25" x14ac:dyDescent="0.25">
      <c r="A262" s="20" t="s">
        <v>329</v>
      </c>
      <c r="B262" s="20" t="s">
        <v>330</v>
      </c>
      <c r="C262" s="20" t="s">
        <v>235</v>
      </c>
      <c r="D262" s="20">
        <v>7</v>
      </c>
      <c r="E262" s="20"/>
      <c r="F262" s="20"/>
      <c r="G262" s="20"/>
      <c r="H262" s="20">
        <v>389</v>
      </c>
      <c r="I262" s="20">
        <v>99</v>
      </c>
      <c r="J262" s="20"/>
      <c r="K262" s="20">
        <v>116</v>
      </c>
      <c r="L262" s="20"/>
      <c r="M262" s="20">
        <v>604</v>
      </c>
      <c r="N262" s="21">
        <v>22.890728476821192</v>
      </c>
      <c r="O262" s="20" t="s">
        <v>267</v>
      </c>
      <c r="P262" s="20">
        <f t="shared" si="98"/>
        <v>116</v>
      </c>
      <c r="Q262" s="20">
        <f t="shared" si="99"/>
        <v>389</v>
      </c>
      <c r="R262" s="20">
        <f t="shared" si="100"/>
        <v>99</v>
      </c>
      <c r="S262" s="20">
        <f t="shared" si="101"/>
        <v>0</v>
      </c>
      <c r="T262" s="20">
        <f t="shared" si="102"/>
        <v>604</v>
      </c>
      <c r="U262" s="23">
        <f t="shared" si="103"/>
        <v>0.19205298013245034</v>
      </c>
      <c r="V262" s="23">
        <f t="shared" si="104"/>
        <v>0.64403973509933776</v>
      </c>
      <c r="W262" s="23">
        <f t="shared" si="105"/>
        <v>0.16390728476821192</v>
      </c>
      <c r="X262" s="23">
        <f t="shared" si="106"/>
        <v>0</v>
      </c>
      <c r="Y262" s="21">
        <f t="shared" si="107"/>
        <v>22.890728476821192</v>
      </c>
    </row>
    <row r="263" spans="1:25" x14ac:dyDescent="0.25">
      <c r="A263" s="20" t="s">
        <v>331</v>
      </c>
      <c r="B263" s="20" t="s">
        <v>332</v>
      </c>
      <c r="C263" s="20" t="s">
        <v>237</v>
      </c>
      <c r="D263" s="20">
        <v>1</v>
      </c>
      <c r="E263" s="20"/>
      <c r="F263" s="20"/>
      <c r="G263" s="20"/>
      <c r="H263" s="20">
        <v>355</v>
      </c>
      <c r="I263" s="20">
        <v>23</v>
      </c>
      <c r="J263" s="20">
        <v>2</v>
      </c>
      <c r="K263" s="20"/>
      <c r="L263" s="20"/>
      <c r="M263" s="20">
        <v>380</v>
      </c>
      <c r="N263" s="21">
        <v>76.813157894736847</v>
      </c>
      <c r="O263" s="20" t="s">
        <v>267</v>
      </c>
      <c r="P263" s="20">
        <f t="shared" si="98"/>
        <v>0</v>
      </c>
      <c r="Q263" s="20">
        <f t="shared" si="99"/>
        <v>355</v>
      </c>
      <c r="R263" s="20">
        <f t="shared" si="100"/>
        <v>23</v>
      </c>
      <c r="S263" s="20">
        <f t="shared" si="101"/>
        <v>2</v>
      </c>
      <c r="T263" s="20">
        <f t="shared" si="102"/>
        <v>380</v>
      </c>
      <c r="U263" s="23">
        <f t="shared" si="103"/>
        <v>0</v>
      </c>
      <c r="V263" s="23">
        <f t="shared" si="104"/>
        <v>0.93421052631578949</v>
      </c>
      <c r="W263" s="23">
        <f t="shared" si="105"/>
        <v>6.0526315789473685E-2</v>
      </c>
      <c r="X263" s="23">
        <f t="shared" si="106"/>
        <v>5.263157894736842E-3</v>
      </c>
      <c r="Y263" s="21">
        <f t="shared" si="107"/>
        <v>76.813157894736847</v>
      </c>
    </row>
    <row r="264" spans="1:25" x14ac:dyDescent="0.25">
      <c r="A264" s="20" t="s">
        <v>331</v>
      </c>
      <c r="B264" s="20" t="s">
        <v>332</v>
      </c>
      <c r="C264" s="20" t="s">
        <v>237</v>
      </c>
      <c r="D264" s="20">
        <v>2</v>
      </c>
      <c r="E264" s="20"/>
      <c r="F264" s="20"/>
      <c r="G264" s="20"/>
      <c r="H264" s="20">
        <v>364</v>
      </c>
      <c r="I264" s="20">
        <v>13</v>
      </c>
      <c r="J264" s="20">
        <v>1</v>
      </c>
      <c r="K264" s="20">
        <v>2</v>
      </c>
      <c r="L264" s="20"/>
      <c r="M264" s="20">
        <v>380</v>
      </c>
      <c r="N264" s="21">
        <v>69.502631578947373</v>
      </c>
      <c r="O264" s="20" t="s">
        <v>267</v>
      </c>
      <c r="P264" s="20">
        <f t="shared" si="98"/>
        <v>2</v>
      </c>
      <c r="Q264" s="20">
        <f t="shared" si="99"/>
        <v>364</v>
      </c>
      <c r="R264" s="20">
        <f t="shared" si="100"/>
        <v>13</v>
      </c>
      <c r="S264" s="20">
        <f t="shared" si="101"/>
        <v>1</v>
      </c>
      <c r="T264" s="20">
        <f t="shared" si="102"/>
        <v>380</v>
      </c>
      <c r="U264" s="23">
        <f t="shared" si="103"/>
        <v>5.263157894736842E-3</v>
      </c>
      <c r="V264" s="23">
        <f t="shared" si="104"/>
        <v>0.95789473684210524</v>
      </c>
      <c r="W264" s="23">
        <f t="shared" si="105"/>
        <v>3.4210526315789476E-2</v>
      </c>
      <c r="X264" s="23">
        <f t="shared" si="106"/>
        <v>2.631578947368421E-3</v>
      </c>
      <c r="Y264" s="21">
        <f t="shared" si="107"/>
        <v>69.502631578947373</v>
      </c>
    </row>
    <row r="265" spans="1:25" x14ac:dyDescent="0.25">
      <c r="A265" s="20" t="s">
        <v>331</v>
      </c>
      <c r="B265" s="20" t="s">
        <v>332</v>
      </c>
      <c r="C265" s="20" t="s">
        <v>237</v>
      </c>
      <c r="D265" s="20">
        <v>3</v>
      </c>
      <c r="E265" s="20"/>
      <c r="F265" s="20"/>
      <c r="G265" s="20"/>
      <c r="H265" s="20">
        <v>356</v>
      </c>
      <c r="I265" s="20">
        <v>22</v>
      </c>
      <c r="J265" s="20">
        <v>1</v>
      </c>
      <c r="K265" s="20">
        <v>1</v>
      </c>
      <c r="L265" s="20"/>
      <c r="M265" s="20">
        <v>380</v>
      </c>
      <c r="N265" s="21">
        <v>62.202631578947368</v>
      </c>
      <c r="O265" s="20" t="s">
        <v>267</v>
      </c>
      <c r="P265" s="20">
        <f t="shared" si="98"/>
        <v>1</v>
      </c>
      <c r="Q265" s="20">
        <f t="shared" si="99"/>
        <v>356</v>
      </c>
      <c r="R265" s="20">
        <f t="shared" si="100"/>
        <v>22</v>
      </c>
      <c r="S265" s="20">
        <f t="shared" si="101"/>
        <v>1</v>
      </c>
      <c r="T265" s="20">
        <f t="shared" si="102"/>
        <v>380</v>
      </c>
      <c r="U265" s="23">
        <f t="shared" si="103"/>
        <v>2.631578947368421E-3</v>
      </c>
      <c r="V265" s="23">
        <f t="shared" si="104"/>
        <v>0.93684210526315792</v>
      </c>
      <c r="W265" s="23">
        <f t="shared" si="105"/>
        <v>5.7894736842105263E-2</v>
      </c>
      <c r="X265" s="23">
        <f t="shared" si="106"/>
        <v>2.631578947368421E-3</v>
      </c>
      <c r="Y265" s="21">
        <f t="shared" si="107"/>
        <v>62.202631578947368</v>
      </c>
    </row>
    <row r="266" spans="1:25" x14ac:dyDescent="0.25">
      <c r="A266" s="20" t="s">
        <v>331</v>
      </c>
      <c r="B266" s="20" t="s">
        <v>332</v>
      </c>
      <c r="C266" s="20" t="s">
        <v>237</v>
      </c>
      <c r="D266" s="20">
        <v>4</v>
      </c>
      <c r="E266" s="20"/>
      <c r="F266" s="20">
        <v>1</v>
      </c>
      <c r="G266" s="20"/>
      <c r="H266" s="20">
        <v>495</v>
      </c>
      <c r="I266" s="20">
        <v>29</v>
      </c>
      <c r="J266" s="20">
        <v>2</v>
      </c>
      <c r="K266" s="20">
        <v>3</v>
      </c>
      <c r="L266" s="20"/>
      <c r="M266" s="20">
        <v>530</v>
      </c>
      <c r="N266" s="21">
        <v>54.194339622641508</v>
      </c>
      <c r="O266" s="20" t="s">
        <v>267</v>
      </c>
      <c r="P266" s="20">
        <f t="shared" si="98"/>
        <v>3</v>
      </c>
      <c r="Q266" s="20">
        <f t="shared" si="99"/>
        <v>495</v>
      </c>
      <c r="R266" s="20">
        <f t="shared" si="100"/>
        <v>29</v>
      </c>
      <c r="S266" s="20">
        <f t="shared" si="101"/>
        <v>3</v>
      </c>
      <c r="T266" s="20">
        <f t="shared" si="102"/>
        <v>530</v>
      </c>
      <c r="U266" s="23">
        <f t="shared" si="103"/>
        <v>5.6603773584905656E-3</v>
      </c>
      <c r="V266" s="23">
        <f t="shared" si="104"/>
        <v>0.93396226415094341</v>
      </c>
      <c r="W266" s="23">
        <f t="shared" si="105"/>
        <v>5.4716981132075473E-2</v>
      </c>
      <c r="X266" s="23">
        <f t="shared" si="106"/>
        <v>5.6603773584905656E-3</v>
      </c>
      <c r="Y266" s="21">
        <f t="shared" si="107"/>
        <v>54.194339622641508</v>
      </c>
    </row>
    <row r="267" spans="1:25" x14ac:dyDescent="0.25">
      <c r="A267" s="20" t="s">
        <v>331</v>
      </c>
      <c r="B267" s="20" t="s">
        <v>332</v>
      </c>
      <c r="C267" s="20" t="s">
        <v>237</v>
      </c>
      <c r="D267" s="20">
        <v>5</v>
      </c>
      <c r="E267" s="20"/>
      <c r="F267" s="20"/>
      <c r="G267" s="20">
        <v>1</v>
      </c>
      <c r="H267" s="20">
        <v>486</v>
      </c>
      <c r="I267" s="20">
        <v>41</v>
      </c>
      <c r="J267" s="20"/>
      <c r="K267" s="20">
        <v>3</v>
      </c>
      <c r="L267" s="20"/>
      <c r="M267" s="20">
        <v>531</v>
      </c>
      <c r="N267" s="21">
        <v>43.529190207156311</v>
      </c>
      <c r="O267" s="20" t="s">
        <v>267</v>
      </c>
      <c r="P267" s="20">
        <f t="shared" si="98"/>
        <v>3</v>
      </c>
      <c r="Q267" s="20">
        <f t="shared" si="99"/>
        <v>486</v>
      </c>
      <c r="R267" s="20">
        <f t="shared" si="100"/>
        <v>41</v>
      </c>
      <c r="S267" s="20">
        <f t="shared" si="101"/>
        <v>1</v>
      </c>
      <c r="T267" s="20">
        <f t="shared" si="102"/>
        <v>531</v>
      </c>
      <c r="U267" s="23">
        <f t="shared" si="103"/>
        <v>5.6497175141242938E-3</v>
      </c>
      <c r="V267" s="23">
        <f t="shared" si="104"/>
        <v>0.9152542372881356</v>
      </c>
      <c r="W267" s="23">
        <f t="shared" si="105"/>
        <v>7.7212806026365349E-2</v>
      </c>
      <c r="X267" s="23">
        <f t="shared" si="106"/>
        <v>1.8832391713747645E-3</v>
      </c>
      <c r="Y267" s="21">
        <f t="shared" si="107"/>
        <v>43.529190207156311</v>
      </c>
    </row>
    <row r="268" spans="1:25" x14ac:dyDescent="0.25">
      <c r="A268" s="20" t="s">
        <v>331</v>
      </c>
      <c r="B268" s="20" t="s">
        <v>332</v>
      </c>
      <c r="C268" s="20" t="s">
        <v>237</v>
      </c>
      <c r="D268" s="20">
        <v>6</v>
      </c>
      <c r="E268" s="20"/>
      <c r="F268" s="20"/>
      <c r="G268" s="20"/>
      <c r="H268" s="20">
        <v>439</v>
      </c>
      <c r="I268" s="20">
        <v>70</v>
      </c>
      <c r="J268" s="20">
        <v>2</v>
      </c>
      <c r="K268" s="20">
        <v>20</v>
      </c>
      <c r="L268" s="20"/>
      <c r="M268" s="20">
        <v>531</v>
      </c>
      <c r="N268" s="21">
        <v>27.783427495291903</v>
      </c>
      <c r="O268" s="20" t="s">
        <v>267</v>
      </c>
      <c r="P268" s="20">
        <f t="shared" si="98"/>
        <v>20</v>
      </c>
      <c r="Q268" s="20">
        <f t="shared" si="99"/>
        <v>439</v>
      </c>
      <c r="R268" s="20">
        <f t="shared" si="100"/>
        <v>70</v>
      </c>
      <c r="S268" s="20">
        <f t="shared" si="101"/>
        <v>2</v>
      </c>
      <c r="T268" s="20">
        <f t="shared" si="102"/>
        <v>531</v>
      </c>
      <c r="U268" s="23">
        <f t="shared" si="103"/>
        <v>3.7664783427495289E-2</v>
      </c>
      <c r="V268" s="23">
        <f t="shared" si="104"/>
        <v>0.82674199623352163</v>
      </c>
      <c r="W268" s="23">
        <f t="shared" si="105"/>
        <v>0.13182674199623351</v>
      </c>
      <c r="X268" s="23">
        <f t="shared" si="106"/>
        <v>3.766478342749529E-3</v>
      </c>
      <c r="Y268" s="21">
        <f t="shared" si="107"/>
        <v>27.783427495291903</v>
      </c>
    </row>
    <row r="269" spans="1:25" x14ac:dyDescent="0.25">
      <c r="A269" s="20" t="s">
        <v>333</v>
      </c>
      <c r="B269" s="20" t="s">
        <v>334</v>
      </c>
      <c r="C269" s="20" t="s">
        <v>239</v>
      </c>
      <c r="D269" s="20">
        <v>1</v>
      </c>
      <c r="E269" s="20"/>
      <c r="F269" s="20"/>
      <c r="G269" s="20"/>
      <c r="H269" s="20">
        <v>40</v>
      </c>
      <c r="I269" s="20">
        <v>163</v>
      </c>
      <c r="J269" s="20">
        <v>3</v>
      </c>
      <c r="K269" s="20">
        <v>164</v>
      </c>
      <c r="L269" s="20"/>
      <c r="M269" s="20">
        <v>370</v>
      </c>
      <c r="N269" s="21">
        <v>64.689189189189193</v>
      </c>
      <c r="O269" s="20" t="s">
        <v>267</v>
      </c>
      <c r="P269" s="20">
        <f t="shared" si="98"/>
        <v>164</v>
      </c>
      <c r="Q269" s="20">
        <f t="shared" si="99"/>
        <v>40</v>
      </c>
      <c r="R269" s="20">
        <f t="shared" si="100"/>
        <v>163</v>
      </c>
      <c r="S269" s="20">
        <f t="shared" si="101"/>
        <v>3</v>
      </c>
      <c r="T269" s="20">
        <f t="shared" si="102"/>
        <v>370</v>
      </c>
      <c r="U269" s="23">
        <f t="shared" si="103"/>
        <v>0.44324324324324327</v>
      </c>
      <c r="V269" s="23">
        <f t="shared" si="104"/>
        <v>0.10810810810810811</v>
      </c>
      <c r="W269" s="23">
        <f t="shared" si="105"/>
        <v>0.44054054054054054</v>
      </c>
      <c r="X269" s="23">
        <f t="shared" si="106"/>
        <v>8.1081081081081086E-3</v>
      </c>
      <c r="Y269" s="21">
        <f t="shared" si="107"/>
        <v>64.689189189189193</v>
      </c>
    </row>
    <row r="270" spans="1:25" x14ac:dyDescent="0.25">
      <c r="A270" s="20" t="s">
        <v>333</v>
      </c>
      <c r="B270" s="20" t="s">
        <v>334</v>
      </c>
      <c r="C270" s="20" t="s">
        <v>239</v>
      </c>
      <c r="D270" s="20">
        <v>2</v>
      </c>
      <c r="E270" s="20"/>
      <c r="F270" s="20"/>
      <c r="G270" s="20"/>
      <c r="H270" s="20">
        <v>34</v>
      </c>
      <c r="I270" s="20">
        <v>156</v>
      </c>
      <c r="J270" s="20">
        <v>1</v>
      </c>
      <c r="K270" s="20">
        <v>179</v>
      </c>
      <c r="L270" s="20"/>
      <c r="M270" s="20">
        <v>370</v>
      </c>
      <c r="N270" s="21">
        <v>59.378378378378379</v>
      </c>
      <c r="O270" s="20" t="s">
        <v>267</v>
      </c>
      <c r="P270" s="20">
        <f t="shared" si="98"/>
        <v>179</v>
      </c>
      <c r="Q270" s="20">
        <f t="shared" si="99"/>
        <v>34</v>
      </c>
      <c r="R270" s="20">
        <f t="shared" si="100"/>
        <v>156</v>
      </c>
      <c r="S270" s="20">
        <f t="shared" si="101"/>
        <v>1</v>
      </c>
      <c r="T270" s="20">
        <f t="shared" si="102"/>
        <v>370</v>
      </c>
      <c r="U270" s="23">
        <f t="shared" si="103"/>
        <v>0.48378378378378378</v>
      </c>
      <c r="V270" s="23">
        <f t="shared" si="104"/>
        <v>9.1891891891891897E-2</v>
      </c>
      <c r="W270" s="23">
        <f t="shared" si="105"/>
        <v>0.42162162162162165</v>
      </c>
      <c r="X270" s="23">
        <f t="shared" si="106"/>
        <v>2.7027027027027029E-3</v>
      </c>
      <c r="Y270" s="21">
        <f t="shared" si="107"/>
        <v>59.378378378378379</v>
      </c>
    </row>
    <row r="271" spans="1:25" x14ac:dyDescent="0.25">
      <c r="A271" s="20" t="s">
        <v>333</v>
      </c>
      <c r="B271" s="20" t="s">
        <v>334</v>
      </c>
      <c r="C271" s="20" t="s">
        <v>239</v>
      </c>
      <c r="D271" s="20">
        <v>3</v>
      </c>
      <c r="E271" s="20">
        <v>1</v>
      </c>
      <c r="F271" s="20"/>
      <c r="G271" s="20"/>
      <c r="H271" s="20">
        <v>81</v>
      </c>
      <c r="I271" s="20">
        <v>308</v>
      </c>
      <c r="J271" s="20">
        <v>7</v>
      </c>
      <c r="K271" s="20">
        <v>243</v>
      </c>
      <c r="L271" s="20"/>
      <c r="M271" s="20">
        <v>640</v>
      </c>
      <c r="N271" s="21">
        <v>48.670312500000001</v>
      </c>
      <c r="O271" s="20" t="s">
        <v>267</v>
      </c>
      <c r="P271" s="20">
        <f t="shared" si="98"/>
        <v>243</v>
      </c>
      <c r="Q271" s="20">
        <f t="shared" si="99"/>
        <v>81</v>
      </c>
      <c r="R271" s="20">
        <f t="shared" si="100"/>
        <v>308</v>
      </c>
      <c r="S271" s="20">
        <f t="shared" si="101"/>
        <v>8</v>
      </c>
      <c r="T271" s="20">
        <f t="shared" si="102"/>
        <v>640</v>
      </c>
      <c r="U271" s="23">
        <f t="shared" si="103"/>
        <v>0.37968750000000001</v>
      </c>
      <c r="V271" s="23">
        <f t="shared" si="104"/>
        <v>0.12656249999999999</v>
      </c>
      <c r="W271" s="23">
        <f t="shared" si="105"/>
        <v>0.48125000000000001</v>
      </c>
      <c r="X271" s="23">
        <f t="shared" si="106"/>
        <v>1.2500000000000001E-2</v>
      </c>
      <c r="Y271" s="21">
        <f t="shared" si="107"/>
        <v>48.670312500000001</v>
      </c>
    </row>
    <row r="272" spans="1:25" x14ac:dyDescent="0.25">
      <c r="A272" s="20" t="s">
        <v>333</v>
      </c>
      <c r="B272" s="20" t="s">
        <v>334</v>
      </c>
      <c r="C272" s="20" t="s">
        <v>239</v>
      </c>
      <c r="D272" s="20">
        <v>4</v>
      </c>
      <c r="E272" s="20"/>
      <c r="F272" s="20"/>
      <c r="G272" s="20"/>
      <c r="H272" s="20">
        <v>76</v>
      </c>
      <c r="I272" s="20">
        <v>292</v>
      </c>
      <c r="J272" s="20">
        <v>2</v>
      </c>
      <c r="K272" s="20">
        <v>270</v>
      </c>
      <c r="L272" s="20"/>
      <c r="M272" s="20">
        <v>640</v>
      </c>
      <c r="N272" s="21">
        <v>37.589062499999997</v>
      </c>
      <c r="O272" s="20" t="s">
        <v>267</v>
      </c>
      <c r="P272" s="20">
        <f t="shared" si="98"/>
        <v>270</v>
      </c>
      <c r="Q272" s="20">
        <f t="shared" si="99"/>
        <v>76</v>
      </c>
      <c r="R272" s="20">
        <f t="shared" si="100"/>
        <v>292</v>
      </c>
      <c r="S272" s="20">
        <f t="shared" si="101"/>
        <v>2</v>
      </c>
      <c r="T272" s="20">
        <f t="shared" si="102"/>
        <v>640</v>
      </c>
      <c r="U272" s="23">
        <f t="shared" si="103"/>
        <v>0.421875</v>
      </c>
      <c r="V272" s="23">
        <f t="shared" si="104"/>
        <v>0.11874999999999999</v>
      </c>
      <c r="W272" s="23">
        <f t="shared" si="105"/>
        <v>0.45624999999999999</v>
      </c>
      <c r="X272" s="23">
        <f t="shared" si="106"/>
        <v>3.1250000000000002E-3</v>
      </c>
      <c r="Y272" s="21">
        <f t="shared" si="107"/>
        <v>37.589062499999997</v>
      </c>
    </row>
    <row r="273" spans="1:25" x14ac:dyDescent="0.25">
      <c r="A273" s="20" t="s">
        <v>333</v>
      </c>
      <c r="B273" s="20" t="s">
        <v>334</v>
      </c>
      <c r="C273" s="20" t="s">
        <v>239</v>
      </c>
      <c r="D273" s="20">
        <v>5</v>
      </c>
      <c r="E273" s="20"/>
      <c r="F273" s="20"/>
      <c r="G273" s="20"/>
      <c r="H273" s="20">
        <v>48</v>
      </c>
      <c r="I273" s="20">
        <v>253</v>
      </c>
      <c r="J273" s="20">
        <v>1</v>
      </c>
      <c r="K273" s="20">
        <v>338</v>
      </c>
      <c r="L273" s="20"/>
      <c r="M273" s="20">
        <v>640</v>
      </c>
      <c r="N273" s="21">
        <v>29.595312499999999</v>
      </c>
      <c r="O273" s="20" t="s">
        <v>267</v>
      </c>
      <c r="P273" s="20">
        <f t="shared" si="98"/>
        <v>338</v>
      </c>
      <c r="Q273" s="20">
        <f t="shared" si="99"/>
        <v>48</v>
      </c>
      <c r="R273" s="20">
        <f t="shared" si="100"/>
        <v>253</v>
      </c>
      <c r="S273" s="20">
        <f t="shared" si="101"/>
        <v>1</v>
      </c>
      <c r="T273" s="20">
        <f t="shared" si="102"/>
        <v>640</v>
      </c>
      <c r="U273" s="23">
        <f t="shared" si="103"/>
        <v>0.52812499999999996</v>
      </c>
      <c r="V273" s="23">
        <f t="shared" si="104"/>
        <v>7.4999999999999997E-2</v>
      </c>
      <c r="W273" s="23">
        <f t="shared" si="105"/>
        <v>0.39531250000000001</v>
      </c>
      <c r="X273" s="23">
        <f t="shared" si="106"/>
        <v>1.5625000000000001E-3</v>
      </c>
      <c r="Y273" s="21">
        <f t="shared" si="107"/>
        <v>29.595312499999999</v>
      </c>
    </row>
    <row r="274" spans="1:25" x14ac:dyDescent="0.25">
      <c r="A274" s="20" t="s">
        <v>333</v>
      </c>
      <c r="B274" s="20" t="s">
        <v>334</v>
      </c>
      <c r="C274" s="20" t="s">
        <v>239</v>
      </c>
      <c r="D274" s="20">
        <v>6</v>
      </c>
      <c r="E274" s="20"/>
      <c r="F274" s="20"/>
      <c r="G274" s="20"/>
      <c r="H274" s="20">
        <v>29</v>
      </c>
      <c r="I274" s="20">
        <v>262</v>
      </c>
      <c r="J274" s="20"/>
      <c r="K274" s="20">
        <v>350</v>
      </c>
      <c r="L274" s="20"/>
      <c r="M274" s="20">
        <v>641</v>
      </c>
      <c r="N274" s="21">
        <v>22.13260530421217</v>
      </c>
      <c r="O274" s="20" t="s">
        <v>267</v>
      </c>
      <c r="P274" s="20">
        <f t="shared" si="98"/>
        <v>350</v>
      </c>
      <c r="Q274" s="20">
        <f t="shared" si="99"/>
        <v>29</v>
      </c>
      <c r="R274" s="20">
        <f t="shared" si="100"/>
        <v>262</v>
      </c>
      <c r="S274" s="20">
        <f t="shared" si="101"/>
        <v>0</v>
      </c>
      <c r="T274" s="20">
        <f t="shared" si="102"/>
        <v>641</v>
      </c>
      <c r="U274" s="23">
        <f t="shared" si="103"/>
        <v>0.54602184087363492</v>
      </c>
      <c r="V274" s="23">
        <f t="shared" si="104"/>
        <v>4.5241809672386897E-2</v>
      </c>
      <c r="W274" s="23">
        <f t="shared" si="105"/>
        <v>0.40873634945397813</v>
      </c>
      <c r="X274" s="23">
        <f t="shared" si="106"/>
        <v>0</v>
      </c>
      <c r="Y274" s="21">
        <f t="shared" si="107"/>
        <v>22.13260530421217</v>
      </c>
    </row>
    <row r="275" spans="1:25" x14ac:dyDescent="0.25">
      <c r="A275" s="20" t="s">
        <v>335</v>
      </c>
      <c r="B275" s="20" t="s">
        <v>336</v>
      </c>
      <c r="C275" s="20" t="s">
        <v>241</v>
      </c>
      <c r="D275" s="20">
        <v>1</v>
      </c>
      <c r="E275" s="20"/>
      <c r="F275" s="20"/>
      <c r="G275" s="20">
        <v>1</v>
      </c>
      <c r="H275" s="20">
        <v>158</v>
      </c>
      <c r="I275" s="20">
        <v>129</v>
      </c>
      <c r="J275" s="20">
        <v>2</v>
      </c>
      <c r="K275" s="20">
        <v>80</v>
      </c>
      <c r="L275" s="20"/>
      <c r="M275" s="20">
        <v>370</v>
      </c>
      <c r="N275" s="21">
        <v>58.908108108108109</v>
      </c>
      <c r="O275" s="20" t="s">
        <v>267</v>
      </c>
      <c r="P275" s="20">
        <f t="shared" ref="P275:P296" si="108">K275</f>
        <v>80</v>
      </c>
      <c r="Q275" s="20">
        <f t="shared" ref="Q275:Q296" si="109">H275</f>
        <v>158</v>
      </c>
      <c r="R275" s="20">
        <f t="shared" si="100"/>
        <v>129</v>
      </c>
      <c r="S275" s="20">
        <f t="shared" ref="S275:S296" si="110">M275-SUM(P275:R275)</f>
        <v>3</v>
      </c>
      <c r="T275" s="20">
        <f t="shared" ref="T275:T296" si="111">SUM(P275:S275)</f>
        <v>370</v>
      </c>
      <c r="U275" s="23">
        <f t="shared" ref="U275:U296" si="112">P275/M275</f>
        <v>0.21621621621621623</v>
      </c>
      <c r="V275" s="23">
        <f t="shared" ref="V275:V296" si="113">Q275/M275</f>
        <v>0.42702702702702705</v>
      </c>
      <c r="W275" s="23">
        <f t="shared" ref="W275:W296" si="114">R275/M275</f>
        <v>0.34864864864864864</v>
      </c>
      <c r="X275" s="23">
        <f t="shared" ref="X275:X296" si="115">S275/M275</f>
        <v>8.1081081081081086E-3</v>
      </c>
      <c r="Y275" s="21">
        <f t="shared" ref="Y275:Y296" si="116">N275</f>
        <v>58.908108108108109</v>
      </c>
    </row>
    <row r="276" spans="1:25" x14ac:dyDescent="0.25">
      <c r="A276" s="20" t="s">
        <v>335</v>
      </c>
      <c r="B276" s="20" t="s">
        <v>336</v>
      </c>
      <c r="C276" s="20" t="s">
        <v>241</v>
      </c>
      <c r="D276" s="20">
        <v>2</v>
      </c>
      <c r="E276" s="20"/>
      <c r="F276" s="20"/>
      <c r="G276" s="20"/>
      <c r="H276" s="20">
        <v>159</v>
      </c>
      <c r="I276" s="20">
        <v>99</v>
      </c>
      <c r="J276" s="20">
        <v>1</v>
      </c>
      <c r="K276" s="20">
        <v>111</v>
      </c>
      <c r="L276" s="20"/>
      <c r="M276" s="20">
        <v>370</v>
      </c>
      <c r="N276" s="21">
        <v>70.921621621621625</v>
      </c>
      <c r="O276" s="20" t="s">
        <v>267</v>
      </c>
      <c r="P276" s="20">
        <f t="shared" si="108"/>
        <v>111</v>
      </c>
      <c r="Q276" s="20">
        <f t="shared" si="109"/>
        <v>159</v>
      </c>
      <c r="R276" s="20">
        <f t="shared" si="100"/>
        <v>99</v>
      </c>
      <c r="S276" s="20">
        <f t="shared" si="110"/>
        <v>1</v>
      </c>
      <c r="T276" s="20">
        <f t="shared" si="111"/>
        <v>370</v>
      </c>
      <c r="U276" s="23">
        <f t="shared" si="112"/>
        <v>0.3</v>
      </c>
      <c r="V276" s="23">
        <f t="shared" si="113"/>
        <v>0.42972972972972973</v>
      </c>
      <c r="W276" s="23">
        <f t="shared" si="114"/>
        <v>0.26756756756756755</v>
      </c>
      <c r="X276" s="23">
        <f t="shared" si="115"/>
        <v>2.7027027027027029E-3</v>
      </c>
      <c r="Y276" s="21">
        <f t="shared" si="116"/>
        <v>70.921621621621625</v>
      </c>
    </row>
    <row r="277" spans="1:25" x14ac:dyDescent="0.25">
      <c r="A277" s="20" t="s">
        <v>335</v>
      </c>
      <c r="B277" s="20" t="s">
        <v>336</v>
      </c>
      <c r="C277" s="20" t="s">
        <v>241</v>
      </c>
      <c r="D277" s="20">
        <v>3</v>
      </c>
      <c r="E277" s="20"/>
      <c r="F277" s="20"/>
      <c r="G277" s="20">
        <v>3</v>
      </c>
      <c r="H277" s="20">
        <v>133</v>
      </c>
      <c r="I277" s="20">
        <v>74</v>
      </c>
      <c r="J277" s="20">
        <v>1</v>
      </c>
      <c r="K277" s="20">
        <v>159</v>
      </c>
      <c r="L277" s="20"/>
      <c r="M277" s="20">
        <v>370</v>
      </c>
      <c r="N277" s="21">
        <v>65.254054054054052</v>
      </c>
      <c r="O277" s="20" t="s">
        <v>267</v>
      </c>
      <c r="P277" s="20">
        <f t="shared" si="108"/>
        <v>159</v>
      </c>
      <c r="Q277" s="20">
        <f t="shared" si="109"/>
        <v>133</v>
      </c>
      <c r="R277" s="20">
        <f t="shared" si="100"/>
        <v>74</v>
      </c>
      <c r="S277" s="20">
        <f t="shared" si="110"/>
        <v>4</v>
      </c>
      <c r="T277" s="20">
        <f t="shared" si="111"/>
        <v>370</v>
      </c>
      <c r="U277" s="23">
        <f t="shared" si="112"/>
        <v>0.42972972972972973</v>
      </c>
      <c r="V277" s="23">
        <f t="shared" si="113"/>
        <v>0.35945945945945945</v>
      </c>
      <c r="W277" s="23">
        <f t="shared" si="114"/>
        <v>0.2</v>
      </c>
      <c r="X277" s="23">
        <f t="shared" si="115"/>
        <v>1.0810810810810811E-2</v>
      </c>
      <c r="Y277" s="21">
        <f t="shared" si="116"/>
        <v>65.254054054054052</v>
      </c>
    </row>
    <row r="278" spans="1:25" x14ac:dyDescent="0.25">
      <c r="A278" s="20" t="s">
        <v>335</v>
      </c>
      <c r="B278" s="20" t="s">
        <v>336</v>
      </c>
      <c r="C278" s="20" t="s">
        <v>241</v>
      </c>
      <c r="D278" s="20">
        <v>4</v>
      </c>
      <c r="E278" s="20"/>
      <c r="F278" s="20"/>
      <c r="G278" s="20">
        <v>1</v>
      </c>
      <c r="H278" s="20">
        <v>111</v>
      </c>
      <c r="I278" s="20">
        <v>73</v>
      </c>
      <c r="J278" s="20">
        <v>2</v>
      </c>
      <c r="K278" s="20">
        <v>183</v>
      </c>
      <c r="L278" s="20"/>
      <c r="M278" s="20">
        <v>370</v>
      </c>
      <c r="N278" s="21">
        <v>62.02162162162162</v>
      </c>
      <c r="O278" s="20" t="s">
        <v>267</v>
      </c>
      <c r="P278" s="20">
        <f t="shared" si="108"/>
        <v>183</v>
      </c>
      <c r="Q278" s="20">
        <f t="shared" si="109"/>
        <v>111</v>
      </c>
      <c r="R278" s="20">
        <f t="shared" si="100"/>
        <v>73</v>
      </c>
      <c r="S278" s="20">
        <f t="shared" si="110"/>
        <v>3</v>
      </c>
      <c r="T278" s="20">
        <f t="shared" si="111"/>
        <v>370</v>
      </c>
      <c r="U278" s="23">
        <f t="shared" si="112"/>
        <v>0.49459459459459459</v>
      </c>
      <c r="V278" s="23">
        <f t="shared" si="113"/>
        <v>0.3</v>
      </c>
      <c r="W278" s="23">
        <f t="shared" si="114"/>
        <v>0.19729729729729731</v>
      </c>
      <c r="X278" s="23">
        <f t="shared" si="115"/>
        <v>8.1081081081081086E-3</v>
      </c>
      <c r="Y278" s="21">
        <f t="shared" si="116"/>
        <v>62.02162162162162</v>
      </c>
    </row>
    <row r="279" spans="1:25" x14ac:dyDescent="0.25">
      <c r="A279" s="20" t="s">
        <v>335</v>
      </c>
      <c r="B279" s="20" t="s">
        <v>336</v>
      </c>
      <c r="C279" s="20" t="s">
        <v>241</v>
      </c>
      <c r="D279" s="20">
        <v>5</v>
      </c>
      <c r="E279" s="20"/>
      <c r="F279" s="20"/>
      <c r="G279" s="20"/>
      <c r="H279" s="20">
        <v>127</v>
      </c>
      <c r="I279" s="20">
        <v>88</v>
      </c>
      <c r="J279" s="20">
        <v>2</v>
      </c>
      <c r="K279" s="20">
        <v>153</v>
      </c>
      <c r="L279" s="20"/>
      <c r="M279" s="20">
        <v>370</v>
      </c>
      <c r="N279" s="21">
        <v>59.678378378378376</v>
      </c>
      <c r="O279" s="20" t="s">
        <v>267</v>
      </c>
      <c r="P279" s="20">
        <f t="shared" si="108"/>
        <v>153</v>
      </c>
      <c r="Q279" s="20">
        <f t="shared" si="109"/>
        <v>127</v>
      </c>
      <c r="R279" s="20">
        <f t="shared" si="100"/>
        <v>88</v>
      </c>
      <c r="S279" s="20">
        <f t="shared" si="110"/>
        <v>2</v>
      </c>
      <c r="T279" s="20">
        <f t="shared" si="111"/>
        <v>370</v>
      </c>
      <c r="U279" s="23">
        <f t="shared" si="112"/>
        <v>0.41351351351351351</v>
      </c>
      <c r="V279" s="23">
        <f t="shared" si="113"/>
        <v>0.34324324324324323</v>
      </c>
      <c r="W279" s="23">
        <f t="shared" si="114"/>
        <v>0.23783783783783785</v>
      </c>
      <c r="X279" s="23">
        <f t="shared" si="115"/>
        <v>5.4054054054054057E-3</v>
      </c>
      <c r="Y279" s="21">
        <f t="shared" si="116"/>
        <v>59.678378378378376</v>
      </c>
    </row>
    <row r="280" spans="1:25" x14ac:dyDescent="0.25">
      <c r="A280" s="20" t="s">
        <v>335</v>
      </c>
      <c r="B280" s="20" t="s">
        <v>336</v>
      </c>
      <c r="C280" s="20" t="s">
        <v>241</v>
      </c>
      <c r="D280" s="20">
        <v>6</v>
      </c>
      <c r="E280" s="20"/>
      <c r="F280" s="20"/>
      <c r="G280" s="20">
        <v>3</v>
      </c>
      <c r="H280" s="20">
        <v>271</v>
      </c>
      <c r="I280" s="20">
        <v>190</v>
      </c>
      <c r="J280" s="20">
        <v>6</v>
      </c>
      <c r="K280" s="20">
        <v>203</v>
      </c>
      <c r="L280" s="20"/>
      <c r="M280" s="20">
        <v>673</v>
      </c>
      <c r="N280" s="21">
        <v>56.419019316493312</v>
      </c>
      <c r="O280" s="20" t="s">
        <v>267</v>
      </c>
      <c r="P280" s="20">
        <f t="shared" si="108"/>
        <v>203</v>
      </c>
      <c r="Q280" s="20">
        <f t="shared" si="109"/>
        <v>271</v>
      </c>
      <c r="R280" s="20">
        <f t="shared" si="100"/>
        <v>190</v>
      </c>
      <c r="S280" s="20">
        <f t="shared" si="110"/>
        <v>9</v>
      </c>
      <c r="T280" s="20">
        <f t="shared" si="111"/>
        <v>673</v>
      </c>
      <c r="U280" s="23">
        <f t="shared" si="112"/>
        <v>0.30163447251114411</v>
      </c>
      <c r="V280" s="23">
        <f t="shared" si="113"/>
        <v>0.40267459138187223</v>
      </c>
      <c r="W280" s="23">
        <f t="shared" si="114"/>
        <v>0.28231797919762258</v>
      </c>
      <c r="X280" s="23">
        <f t="shared" si="115"/>
        <v>1.3372956909361069E-2</v>
      </c>
      <c r="Y280" s="21">
        <f t="shared" si="116"/>
        <v>56.419019316493312</v>
      </c>
    </row>
    <row r="281" spans="1:25" x14ac:dyDescent="0.25">
      <c r="A281" s="20" t="s">
        <v>335</v>
      </c>
      <c r="B281" s="20" t="s">
        <v>336</v>
      </c>
      <c r="C281" s="20" t="s">
        <v>241</v>
      </c>
      <c r="D281" s="20">
        <v>7</v>
      </c>
      <c r="E281" s="20"/>
      <c r="F281" s="20"/>
      <c r="G281" s="20">
        <v>2</v>
      </c>
      <c r="H281" s="20">
        <v>288</v>
      </c>
      <c r="I281" s="20">
        <v>219</v>
      </c>
      <c r="J281" s="20">
        <v>3</v>
      </c>
      <c r="K281" s="20">
        <v>161</v>
      </c>
      <c r="L281" s="20"/>
      <c r="M281" s="20">
        <v>673</v>
      </c>
      <c r="N281" s="21">
        <v>52.420505200594356</v>
      </c>
      <c r="O281" s="20" t="s">
        <v>267</v>
      </c>
      <c r="P281" s="20">
        <f t="shared" si="108"/>
        <v>161</v>
      </c>
      <c r="Q281" s="20">
        <f t="shared" si="109"/>
        <v>288</v>
      </c>
      <c r="R281" s="20">
        <f t="shared" si="100"/>
        <v>219</v>
      </c>
      <c r="S281" s="20">
        <f t="shared" si="110"/>
        <v>5</v>
      </c>
      <c r="T281" s="20">
        <f t="shared" si="111"/>
        <v>673</v>
      </c>
      <c r="U281" s="23">
        <f t="shared" si="112"/>
        <v>0.23922734026745915</v>
      </c>
      <c r="V281" s="23">
        <f t="shared" si="113"/>
        <v>0.42793462109955421</v>
      </c>
      <c r="W281" s="23">
        <f t="shared" si="114"/>
        <v>0.32540861812778604</v>
      </c>
      <c r="X281" s="23">
        <f t="shared" si="115"/>
        <v>7.429420505200594E-3</v>
      </c>
      <c r="Y281" s="21">
        <f t="shared" si="116"/>
        <v>52.420505200594356</v>
      </c>
    </row>
    <row r="282" spans="1:25" x14ac:dyDescent="0.25">
      <c r="A282" s="20" t="s">
        <v>335</v>
      </c>
      <c r="B282" s="20" t="s">
        <v>336</v>
      </c>
      <c r="C282" s="20" t="s">
        <v>241</v>
      </c>
      <c r="D282" s="20">
        <v>8</v>
      </c>
      <c r="E282" s="20">
        <v>1</v>
      </c>
      <c r="F282" s="20"/>
      <c r="G282" s="20">
        <v>6</v>
      </c>
      <c r="H282" s="20">
        <v>282</v>
      </c>
      <c r="I282" s="20">
        <v>235</v>
      </c>
      <c r="J282" s="20">
        <v>3</v>
      </c>
      <c r="K282" s="20">
        <v>146</v>
      </c>
      <c r="L282" s="20"/>
      <c r="M282" s="20">
        <v>673</v>
      </c>
      <c r="N282" s="21">
        <v>48.846953937592865</v>
      </c>
      <c r="O282" s="20" t="s">
        <v>267</v>
      </c>
      <c r="P282" s="20">
        <f t="shared" si="108"/>
        <v>146</v>
      </c>
      <c r="Q282" s="20">
        <f t="shared" si="109"/>
        <v>282</v>
      </c>
      <c r="R282" s="20">
        <f t="shared" si="100"/>
        <v>235</v>
      </c>
      <c r="S282" s="20">
        <f t="shared" si="110"/>
        <v>10</v>
      </c>
      <c r="T282" s="20">
        <f t="shared" si="111"/>
        <v>673</v>
      </c>
      <c r="U282" s="23">
        <f t="shared" si="112"/>
        <v>0.21693907875185736</v>
      </c>
      <c r="V282" s="23">
        <f t="shared" si="113"/>
        <v>0.41901931649331353</v>
      </c>
      <c r="W282" s="23">
        <f t="shared" si="114"/>
        <v>0.34918276374442792</v>
      </c>
      <c r="X282" s="23">
        <f t="shared" si="115"/>
        <v>1.4858841010401188E-2</v>
      </c>
      <c r="Y282" s="21">
        <f t="shared" si="116"/>
        <v>48.846953937592865</v>
      </c>
    </row>
    <row r="283" spans="1:25" x14ac:dyDescent="0.25">
      <c r="A283" s="20" t="s">
        <v>335</v>
      </c>
      <c r="B283" s="20" t="s">
        <v>336</v>
      </c>
      <c r="C283" s="20" t="s">
        <v>241</v>
      </c>
      <c r="D283" s="20">
        <v>9</v>
      </c>
      <c r="E283" s="20"/>
      <c r="F283" s="20"/>
      <c r="G283" s="20">
        <v>12</v>
      </c>
      <c r="H283" s="20">
        <v>300</v>
      </c>
      <c r="I283" s="20">
        <v>217</v>
      </c>
      <c r="J283" s="20">
        <v>1</v>
      </c>
      <c r="K283" s="20">
        <v>143</v>
      </c>
      <c r="L283" s="20"/>
      <c r="M283" s="20">
        <v>673</v>
      </c>
      <c r="N283" s="21">
        <v>45.65378900445765</v>
      </c>
      <c r="O283" s="20" t="s">
        <v>267</v>
      </c>
      <c r="P283" s="20">
        <f t="shared" si="108"/>
        <v>143</v>
      </c>
      <c r="Q283" s="20">
        <f t="shared" si="109"/>
        <v>300</v>
      </c>
      <c r="R283" s="20">
        <f t="shared" si="100"/>
        <v>217</v>
      </c>
      <c r="S283" s="20">
        <f t="shared" si="110"/>
        <v>13</v>
      </c>
      <c r="T283" s="20">
        <f t="shared" si="111"/>
        <v>673</v>
      </c>
      <c r="U283" s="23">
        <f t="shared" si="112"/>
        <v>0.21248142644873699</v>
      </c>
      <c r="V283" s="23">
        <f t="shared" si="113"/>
        <v>0.44576523031203569</v>
      </c>
      <c r="W283" s="23">
        <f t="shared" si="114"/>
        <v>0.32243684992570582</v>
      </c>
      <c r="X283" s="23">
        <f t="shared" si="115"/>
        <v>1.9316493313521546E-2</v>
      </c>
      <c r="Y283" s="21">
        <f t="shared" si="116"/>
        <v>45.65378900445765</v>
      </c>
    </row>
    <row r="284" spans="1:25" x14ac:dyDescent="0.25">
      <c r="A284" s="20" t="s">
        <v>335</v>
      </c>
      <c r="B284" s="20" t="s">
        <v>336</v>
      </c>
      <c r="C284" s="20" t="s">
        <v>241</v>
      </c>
      <c r="D284" s="20">
        <v>10</v>
      </c>
      <c r="E284" s="20">
        <v>1</v>
      </c>
      <c r="F284" s="20">
        <v>1</v>
      </c>
      <c r="G284" s="20">
        <v>10</v>
      </c>
      <c r="H284" s="20">
        <v>300</v>
      </c>
      <c r="I284" s="20">
        <v>211</v>
      </c>
      <c r="J284" s="20"/>
      <c r="K284" s="20">
        <v>150</v>
      </c>
      <c r="L284" s="20"/>
      <c r="M284" s="20">
        <v>673</v>
      </c>
      <c r="N284" s="21">
        <v>42.496285289747398</v>
      </c>
      <c r="O284" s="20" t="s">
        <v>267</v>
      </c>
      <c r="P284" s="20">
        <f t="shared" si="108"/>
        <v>150</v>
      </c>
      <c r="Q284" s="20">
        <f t="shared" si="109"/>
        <v>300</v>
      </c>
      <c r="R284" s="20">
        <f t="shared" si="100"/>
        <v>211</v>
      </c>
      <c r="S284" s="20">
        <f t="shared" si="110"/>
        <v>12</v>
      </c>
      <c r="T284" s="20">
        <f t="shared" si="111"/>
        <v>673</v>
      </c>
      <c r="U284" s="23">
        <f t="shared" si="112"/>
        <v>0.22288261515601784</v>
      </c>
      <c r="V284" s="23">
        <f t="shared" si="113"/>
        <v>0.44576523031203569</v>
      </c>
      <c r="W284" s="23">
        <f t="shared" si="114"/>
        <v>0.31352154531946508</v>
      </c>
      <c r="X284" s="23">
        <f t="shared" si="115"/>
        <v>1.7830609212481426E-2</v>
      </c>
      <c r="Y284" s="21">
        <f t="shared" si="116"/>
        <v>42.496285289747398</v>
      </c>
    </row>
    <row r="285" spans="1:25" x14ac:dyDescent="0.25">
      <c r="A285" s="20" t="s">
        <v>335</v>
      </c>
      <c r="B285" s="20" t="s">
        <v>336</v>
      </c>
      <c r="C285" s="20" t="s">
        <v>241</v>
      </c>
      <c r="D285" s="20">
        <v>11</v>
      </c>
      <c r="E285" s="20">
        <v>1</v>
      </c>
      <c r="F285" s="20"/>
      <c r="G285" s="20">
        <v>6</v>
      </c>
      <c r="H285" s="20">
        <v>266</v>
      </c>
      <c r="I285" s="20">
        <v>195</v>
      </c>
      <c r="J285" s="20"/>
      <c r="K285" s="20">
        <v>205</v>
      </c>
      <c r="L285" s="20"/>
      <c r="M285" s="20">
        <v>673</v>
      </c>
      <c r="N285" s="21">
        <v>39.453194650817238</v>
      </c>
      <c r="O285" s="20" t="s">
        <v>267</v>
      </c>
      <c r="P285" s="20">
        <f t="shared" si="108"/>
        <v>205</v>
      </c>
      <c r="Q285" s="20">
        <f t="shared" si="109"/>
        <v>266</v>
      </c>
      <c r="R285" s="20">
        <f t="shared" si="100"/>
        <v>195</v>
      </c>
      <c r="S285" s="20">
        <f t="shared" si="110"/>
        <v>7</v>
      </c>
      <c r="T285" s="20">
        <f t="shared" si="111"/>
        <v>673</v>
      </c>
      <c r="U285" s="23">
        <f t="shared" si="112"/>
        <v>0.30460624071322434</v>
      </c>
      <c r="V285" s="23">
        <f t="shared" si="113"/>
        <v>0.3952451708766716</v>
      </c>
      <c r="W285" s="23">
        <f t="shared" si="114"/>
        <v>0.28974739970282321</v>
      </c>
      <c r="X285" s="23">
        <f t="shared" si="115"/>
        <v>1.0401188707280832E-2</v>
      </c>
      <c r="Y285" s="21">
        <f t="shared" si="116"/>
        <v>39.453194650817238</v>
      </c>
    </row>
    <row r="286" spans="1:25" x14ac:dyDescent="0.25">
      <c r="A286" s="20" t="s">
        <v>335</v>
      </c>
      <c r="B286" s="20" t="s">
        <v>336</v>
      </c>
      <c r="C286" s="20" t="s">
        <v>241</v>
      </c>
      <c r="D286" s="20">
        <v>12</v>
      </c>
      <c r="E286" s="20"/>
      <c r="F286" s="20">
        <v>1</v>
      </c>
      <c r="G286" s="20">
        <v>5</v>
      </c>
      <c r="H286" s="20">
        <v>234</v>
      </c>
      <c r="I286" s="20">
        <v>154</v>
      </c>
      <c r="J286" s="20">
        <v>2</v>
      </c>
      <c r="K286" s="20">
        <v>277</v>
      </c>
      <c r="L286" s="20"/>
      <c r="M286" s="20">
        <v>673</v>
      </c>
      <c r="N286" s="21">
        <v>36.794947994056464</v>
      </c>
      <c r="O286" s="20" t="s">
        <v>267</v>
      </c>
      <c r="P286" s="20">
        <f t="shared" si="108"/>
        <v>277</v>
      </c>
      <c r="Q286" s="20">
        <f t="shared" si="109"/>
        <v>234</v>
      </c>
      <c r="R286" s="20">
        <f t="shared" si="100"/>
        <v>154</v>
      </c>
      <c r="S286" s="20">
        <f t="shared" si="110"/>
        <v>8</v>
      </c>
      <c r="T286" s="20">
        <f t="shared" si="111"/>
        <v>673</v>
      </c>
      <c r="U286" s="23">
        <f t="shared" si="112"/>
        <v>0.41158989598811291</v>
      </c>
      <c r="V286" s="23">
        <f t="shared" si="113"/>
        <v>0.3476968796433878</v>
      </c>
      <c r="W286" s="23">
        <f t="shared" si="114"/>
        <v>0.2288261515601783</v>
      </c>
      <c r="X286" s="23">
        <f t="shared" si="115"/>
        <v>1.188707280832095E-2</v>
      </c>
      <c r="Y286" s="21">
        <f t="shared" si="116"/>
        <v>36.794947994056464</v>
      </c>
    </row>
    <row r="287" spans="1:25" x14ac:dyDescent="0.25">
      <c r="A287" s="20" t="s">
        <v>335</v>
      </c>
      <c r="B287" s="20" t="s">
        <v>336</v>
      </c>
      <c r="C287" s="20" t="s">
        <v>241</v>
      </c>
      <c r="D287" s="20">
        <v>13</v>
      </c>
      <c r="E287" s="20"/>
      <c r="F287" s="20"/>
      <c r="G287" s="20">
        <v>5</v>
      </c>
      <c r="H287" s="20">
        <v>217</v>
      </c>
      <c r="I287" s="20">
        <v>153</v>
      </c>
      <c r="J287" s="20">
        <v>4</v>
      </c>
      <c r="K287" s="20">
        <v>293</v>
      </c>
      <c r="L287" s="20">
        <v>1</v>
      </c>
      <c r="M287" s="20">
        <v>673</v>
      </c>
      <c r="N287" s="21">
        <v>34.416047548291232</v>
      </c>
      <c r="O287" s="20" t="s">
        <v>267</v>
      </c>
      <c r="P287" s="20">
        <f t="shared" si="108"/>
        <v>293</v>
      </c>
      <c r="Q287" s="20">
        <f t="shared" si="109"/>
        <v>217</v>
      </c>
      <c r="R287" s="20">
        <f t="shared" si="100"/>
        <v>153</v>
      </c>
      <c r="S287" s="20">
        <f t="shared" si="110"/>
        <v>10</v>
      </c>
      <c r="T287" s="20">
        <f t="shared" si="111"/>
        <v>673</v>
      </c>
      <c r="U287" s="23">
        <f t="shared" si="112"/>
        <v>0.43536404160475484</v>
      </c>
      <c r="V287" s="23">
        <f t="shared" si="113"/>
        <v>0.32243684992570582</v>
      </c>
      <c r="W287" s="23">
        <f t="shared" si="114"/>
        <v>0.22734026745913818</v>
      </c>
      <c r="X287" s="23">
        <f t="shared" si="115"/>
        <v>1.4858841010401188E-2</v>
      </c>
      <c r="Y287" s="21">
        <f t="shared" si="116"/>
        <v>34.416047548291232</v>
      </c>
    </row>
    <row r="288" spans="1:25" x14ac:dyDescent="0.25">
      <c r="A288" s="20" t="s">
        <v>335</v>
      </c>
      <c r="B288" s="20" t="s">
        <v>336</v>
      </c>
      <c r="C288" s="20" t="s">
        <v>241</v>
      </c>
      <c r="D288" s="20">
        <v>14</v>
      </c>
      <c r="E288" s="20">
        <v>1</v>
      </c>
      <c r="F288" s="20"/>
      <c r="G288" s="20">
        <v>4</v>
      </c>
      <c r="H288" s="20">
        <v>206</v>
      </c>
      <c r="I288" s="20">
        <v>166</v>
      </c>
      <c r="J288" s="20"/>
      <c r="K288" s="20">
        <v>296</v>
      </c>
      <c r="L288" s="20"/>
      <c r="M288" s="20">
        <v>673</v>
      </c>
      <c r="N288" s="21">
        <v>32.20950965824666</v>
      </c>
      <c r="O288" s="20" t="s">
        <v>267</v>
      </c>
      <c r="P288" s="20">
        <f t="shared" si="108"/>
        <v>296</v>
      </c>
      <c r="Q288" s="20">
        <f t="shared" si="109"/>
        <v>206</v>
      </c>
      <c r="R288" s="20">
        <f t="shared" si="100"/>
        <v>166</v>
      </c>
      <c r="S288" s="20">
        <f t="shared" si="110"/>
        <v>5</v>
      </c>
      <c r="T288" s="20">
        <f t="shared" si="111"/>
        <v>673</v>
      </c>
      <c r="U288" s="23">
        <f t="shared" si="112"/>
        <v>0.43982169390787518</v>
      </c>
      <c r="V288" s="23">
        <f t="shared" si="113"/>
        <v>0.30609212481426451</v>
      </c>
      <c r="W288" s="23">
        <f t="shared" si="114"/>
        <v>0.24665676077265974</v>
      </c>
      <c r="X288" s="23">
        <f t="shared" si="115"/>
        <v>7.429420505200594E-3</v>
      </c>
      <c r="Y288" s="21">
        <f t="shared" si="116"/>
        <v>32.20950965824666</v>
      </c>
    </row>
    <row r="289" spans="1:25" x14ac:dyDescent="0.25">
      <c r="A289" s="20" t="s">
        <v>335</v>
      </c>
      <c r="B289" s="20" t="s">
        <v>336</v>
      </c>
      <c r="C289" s="20" t="s">
        <v>241</v>
      </c>
      <c r="D289" s="20">
        <v>15</v>
      </c>
      <c r="E289" s="20"/>
      <c r="F289" s="20"/>
      <c r="G289" s="20">
        <v>4</v>
      </c>
      <c r="H289" s="20">
        <v>204</v>
      </c>
      <c r="I289" s="20">
        <v>172</v>
      </c>
      <c r="J289" s="20">
        <v>2</v>
      </c>
      <c r="K289" s="20">
        <v>292</v>
      </c>
      <c r="L289" s="20"/>
      <c r="M289" s="20">
        <v>674</v>
      </c>
      <c r="N289" s="21">
        <v>30.415430267062316</v>
      </c>
      <c r="O289" s="20" t="s">
        <v>267</v>
      </c>
      <c r="P289" s="20">
        <f t="shared" si="108"/>
        <v>292</v>
      </c>
      <c r="Q289" s="20">
        <f t="shared" si="109"/>
        <v>204</v>
      </c>
      <c r="R289" s="20">
        <f t="shared" si="100"/>
        <v>172</v>
      </c>
      <c r="S289" s="20">
        <f t="shared" si="110"/>
        <v>6</v>
      </c>
      <c r="T289" s="20">
        <f t="shared" si="111"/>
        <v>674</v>
      </c>
      <c r="U289" s="23">
        <f t="shared" si="112"/>
        <v>0.43323442136498519</v>
      </c>
      <c r="V289" s="23">
        <f t="shared" si="113"/>
        <v>0.30267062314540061</v>
      </c>
      <c r="W289" s="23">
        <f t="shared" si="114"/>
        <v>0.25519287833827892</v>
      </c>
      <c r="X289" s="23">
        <f t="shared" si="115"/>
        <v>8.9020771513353119E-3</v>
      </c>
      <c r="Y289" s="21">
        <f t="shared" si="116"/>
        <v>30.415430267062316</v>
      </c>
    </row>
    <row r="290" spans="1:25" x14ac:dyDescent="0.25">
      <c r="A290" s="20" t="s">
        <v>335</v>
      </c>
      <c r="B290" s="20" t="s">
        <v>336</v>
      </c>
      <c r="C290" s="20" t="s">
        <v>241</v>
      </c>
      <c r="D290" s="20">
        <v>16</v>
      </c>
      <c r="E290" s="20"/>
      <c r="F290" s="20"/>
      <c r="G290" s="20">
        <v>3</v>
      </c>
      <c r="H290" s="20">
        <v>201</v>
      </c>
      <c r="I290" s="20">
        <v>170</v>
      </c>
      <c r="J290" s="20">
        <v>4</v>
      </c>
      <c r="K290" s="20">
        <v>296</v>
      </c>
      <c r="L290" s="20"/>
      <c r="M290" s="20">
        <v>674</v>
      </c>
      <c r="N290" s="21">
        <v>28.590504451038576</v>
      </c>
      <c r="O290" s="20" t="s">
        <v>267</v>
      </c>
      <c r="P290" s="20">
        <f t="shared" si="108"/>
        <v>296</v>
      </c>
      <c r="Q290" s="20">
        <f t="shared" si="109"/>
        <v>201</v>
      </c>
      <c r="R290" s="20">
        <f t="shared" si="100"/>
        <v>170</v>
      </c>
      <c r="S290" s="20">
        <f t="shared" si="110"/>
        <v>7</v>
      </c>
      <c r="T290" s="20">
        <f t="shared" si="111"/>
        <v>674</v>
      </c>
      <c r="U290" s="23">
        <f t="shared" si="112"/>
        <v>0.43916913946587538</v>
      </c>
      <c r="V290" s="23">
        <f t="shared" si="113"/>
        <v>0.29821958456973297</v>
      </c>
      <c r="W290" s="23">
        <f t="shared" si="114"/>
        <v>0.25222551928783382</v>
      </c>
      <c r="X290" s="23">
        <f t="shared" si="115"/>
        <v>1.0385756676557863E-2</v>
      </c>
      <c r="Y290" s="21">
        <f t="shared" si="116"/>
        <v>28.590504451038576</v>
      </c>
    </row>
    <row r="291" spans="1:25" x14ac:dyDescent="0.25">
      <c r="A291" s="20" t="s">
        <v>335</v>
      </c>
      <c r="B291" s="20" t="s">
        <v>336</v>
      </c>
      <c r="C291" s="20" t="s">
        <v>241</v>
      </c>
      <c r="D291" s="20">
        <v>17</v>
      </c>
      <c r="E291" s="20">
        <v>1</v>
      </c>
      <c r="F291" s="20">
        <v>1</v>
      </c>
      <c r="G291" s="20">
        <v>3</v>
      </c>
      <c r="H291" s="20">
        <v>203</v>
      </c>
      <c r="I291" s="20">
        <v>171</v>
      </c>
      <c r="J291" s="20"/>
      <c r="K291" s="20">
        <v>295</v>
      </c>
      <c r="L291" s="20"/>
      <c r="M291" s="20">
        <v>674</v>
      </c>
      <c r="N291" s="21">
        <v>26.781899109792285</v>
      </c>
      <c r="O291" s="20" t="s">
        <v>267</v>
      </c>
      <c r="P291" s="20">
        <f t="shared" si="108"/>
        <v>295</v>
      </c>
      <c r="Q291" s="20">
        <f t="shared" si="109"/>
        <v>203</v>
      </c>
      <c r="R291" s="20">
        <f t="shared" si="100"/>
        <v>171</v>
      </c>
      <c r="S291" s="20">
        <f t="shared" si="110"/>
        <v>5</v>
      </c>
      <c r="T291" s="20">
        <f t="shared" si="111"/>
        <v>674</v>
      </c>
      <c r="U291" s="23">
        <f t="shared" si="112"/>
        <v>0.43768545994065283</v>
      </c>
      <c r="V291" s="23">
        <f t="shared" si="113"/>
        <v>0.30118694362017806</v>
      </c>
      <c r="W291" s="23">
        <f t="shared" si="114"/>
        <v>0.25370919881305637</v>
      </c>
      <c r="X291" s="23">
        <f t="shared" si="115"/>
        <v>7.4183976261127599E-3</v>
      </c>
      <c r="Y291" s="21">
        <f t="shared" si="116"/>
        <v>26.781899109792285</v>
      </c>
    </row>
    <row r="292" spans="1:25" x14ac:dyDescent="0.25">
      <c r="A292" s="20" t="s">
        <v>335</v>
      </c>
      <c r="B292" s="20" t="s">
        <v>336</v>
      </c>
      <c r="C292" s="20" t="s">
        <v>241</v>
      </c>
      <c r="D292" s="20">
        <v>18</v>
      </c>
      <c r="E292" s="20"/>
      <c r="F292" s="20"/>
      <c r="G292" s="20">
        <v>5</v>
      </c>
      <c r="H292" s="20">
        <v>211</v>
      </c>
      <c r="I292" s="20">
        <v>175</v>
      </c>
      <c r="J292" s="20"/>
      <c r="K292" s="20">
        <v>283</v>
      </c>
      <c r="L292" s="20"/>
      <c r="M292" s="20">
        <v>674</v>
      </c>
      <c r="N292" s="21">
        <v>25.215133531157271</v>
      </c>
      <c r="O292" s="20" t="s">
        <v>267</v>
      </c>
      <c r="P292" s="20">
        <f t="shared" si="108"/>
        <v>283</v>
      </c>
      <c r="Q292" s="20">
        <f t="shared" si="109"/>
        <v>211</v>
      </c>
      <c r="R292" s="20">
        <f t="shared" si="100"/>
        <v>175</v>
      </c>
      <c r="S292" s="20">
        <f t="shared" si="110"/>
        <v>5</v>
      </c>
      <c r="T292" s="20">
        <f t="shared" si="111"/>
        <v>674</v>
      </c>
      <c r="U292" s="23">
        <f t="shared" si="112"/>
        <v>0.41988130563798221</v>
      </c>
      <c r="V292" s="23">
        <f t="shared" si="113"/>
        <v>0.31305637982195844</v>
      </c>
      <c r="W292" s="23">
        <f t="shared" si="114"/>
        <v>0.25964391691394662</v>
      </c>
      <c r="X292" s="23">
        <f t="shared" si="115"/>
        <v>7.4183976261127599E-3</v>
      </c>
      <c r="Y292" s="21">
        <f t="shared" si="116"/>
        <v>25.215133531157271</v>
      </c>
    </row>
    <row r="293" spans="1:25" x14ac:dyDescent="0.25">
      <c r="A293" s="20" t="s">
        <v>335</v>
      </c>
      <c r="B293" s="20" t="s">
        <v>336</v>
      </c>
      <c r="C293" s="20" t="s">
        <v>241</v>
      </c>
      <c r="D293" s="20">
        <v>19</v>
      </c>
      <c r="E293" s="20"/>
      <c r="F293" s="20"/>
      <c r="G293" s="20">
        <v>4</v>
      </c>
      <c r="H293" s="20">
        <v>193</v>
      </c>
      <c r="I293" s="20">
        <v>185</v>
      </c>
      <c r="J293" s="20"/>
      <c r="K293" s="20">
        <v>292</v>
      </c>
      <c r="L293" s="20"/>
      <c r="M293" s="20">
        <v>674</v>
      </c>
      <c r="N293" s="21">
        <v>23.575667655786351</v>
      </c>
      <c r="O293" s="20" t="s">
        <v>267</v>
      </c>
      <c r="P293" s="20">
        <f t="shared" si="108"/>
        <v>292</v>
      </c>
      <c r="Q293" s="20">
        <f t="shared" si="109"/>
        <v>193</v>
      </c>
      <c r="R293" s="20">
        <f t="shared" si="100"/>
        <v>185</v>
      </c>
      <c r="S293" s="20">
        <f t="shared" si="110"/>
        <v>4</v>
      </c>
      <c r="T293" s="20">
        <f t="shared" si="111"/>
        <v>674</v>
      </c>
      <c r="U293" s="23">
        <f t="shared" si="112"/>
        <v>0.43323442136498519</v>
      </c>
      <c r="V293" s="23">
        <f t="shared" si="113"/>
        <v>0.28635014836795253</v>
      </c>
      <c r="W293" s="23">
        <f t="shared" si="114"/>
        <v>0.27448071216617209</v>
      </c>
      <c r="X293" s="23">
        <f t="shared" si="115"/>
        <v>5.9347181008902079E-3</v>
      </c>
      <c r="Y293" s="21">
        <f t="shared" si="116"/>
        <v>23.575667655786351</v>
      </c>
    </row>
    <row r="294" spans="1:25" x14ac:dyDescent="0.25">
      <c r="A294" s="20" t="s">
        <v>335</v>
      </c>
      <c r="B294" s="20" t="s">
        <v>336</v>
      </c>
      <c r="C294" s="20" t="s">
        <v>241</v>
      </c>
      <c r="D294" s="20">
        <v>20</v>
      </c>
      <c r="E294" s="20"/>
      <c r="F294" s="20"/>
      <c r="G294" s="20">
        <v>6</v>
      </c>
      <c r="H294" s="20">
        <v>193</v>
      </c>
      <c r="I294" s="20">
        <v>202</v>
      </c>
      <c r="J294" s="20"/>
      <c r="K294" s="20">
        <v>273</v>
      </c>
      <c r="L294" s="20"/>
      <c r="M294" s="20">
        <v>674</v>
      </c>
      <c r="N294" s="21">
        <v>22.090504451038576</v>
      </c>
      <c r="O294" s="20" t="s">
        <v>267</v>
      </c>
      <c r="P294" s="20">
        <f t="shared" si="108"/>
        <v>273</v>
      </c>
      <c r="Q294" s="20">
        <f t="shared" si="109"/>
        <v>193</v>
      </c>
      <c r="R294" s="20">
        <f t="shared" si="100"/>
        <v>202</v>
      </c>
      <c r="S294" s="20">
        <f t="shared" si="110"/>
        <v>6</v>
      </c>
      <c r="T294" s="20">
        <f t="shared" si="111"/>
        <v>674</v>
      </c>
      <c r="U294" s="23">
        <f t="shared" si="112"/>
        <v>0.40504451038575667</v>
      </c>
      <c r="V294" s="23">
        <f t="shared" si="113"/>
        <v>0.28635014836795253</v>
      </c>
      <c r="W294" s="23">
        <f t="shared" si="114"/>
        <v>0.29970326409495551</v>
      </c>
      <c r="X294" s="23">
        <f t="shared" si="115"/>
        <v>8.9020771513353119E-3</v>
      </c>
      <c r="Y294" s="21">
        <f t="shared" si="116"/>
        <v>22.090504451038576</v>
      </c>
    </row>
    <row r="295" spans="1:25" x14ac:dyDescent="0.25">
      <c r="A295" s="20" t="s">
        <v>335</v>
      </c>
      <c r="B295" s="20" t="s">
        <v>336</v>
      </c>
      <c r="C295" s="20" t="s">
        <v>241</v>
      </c>
      <c r="D295" s="20">
        <v>21</v>
      </c>
      <c r="E295" s="20"/>
      <c r="F295" s="20"/>
      <c r="G295" s="20">
        <v>4</v>
      </c>
      <c r="H295" s="20">
        <v>215</v>
      </c>
      <c r="I295" s="20">
        <v>195</v>
      </c>
      <c r="J295" s="20"/>
      <c r="K295" s="20">
        <v>260</v>
      </c>
      <c r="L295" s="20"/>
      <c r="M295" s="20">
        <v>674</v>
      </c>
      <c r="N295" s="21">
        <v>20.473293768545993</v>
      </c>
      <c r="O295" s="20" t="s">
        <v>267</v>
      </c>
      <c r="P295" s="20">
        <f t="shared" si="108"/>
        <v>260</v>
      </c>
      <c r="Q295" s="20">
        <f t="shared" si="109"/>
        <v>215</v>
      </c>
      <c r="R295" s="20">
        <f t="shared" si="100"/>
        <v>195</v>
      </c>
      <c r="S295" s="20">
        <f t="shared" si="110"/>
        <v>4</v>
      </c>
      <c r="T295" s="20">
        <f t="shared" si="111"/>
        <v>674</v>
      </c>
      <c r="U295" s="23">
        <f t="shared" si="112"/>
        <v>0.3857566765578635</v>
      </c>
      <c r="V295" s="23">
        <f t="shared" si="113"/>
        <v>0.31899109792284869</v>
      </c>
      <c r="W295" s="23">
        <f t="shared" si="114"/>
        <v>0.28931750741839762</v>
      </c>
      <c r="X295" s="23">
        <f t="shared" si="115"/>
        <v>5.9347181008902079E-3</v>
      </c>
      <c r="Y295" s="21">
        <f t="shared" si="116"/>
        <v>20.473293768545993</v>
      </c>
    </row>
    <row r="296" spans="1:25" x14ac:dyDescent="0.25">
      <c r="A296" s="20" t="s">
        <v>335</v>
      </c>
      <c r="B296" s="20" t="s">
        <v>336</v>
      </c>
      <c r="C296" s="20" t="s">
        <v>241</v>
      </c>
      <c r="D296" s="20">
        <v>22</v>
      </c>
      <c r="E296" s="20"/>
      <c r="F296" s="20"/>
      <c r="G296" s="20">
        <v>8</v>
      </c>
      <c r="H296" s="20">
        <v>210</v>
      </c>
      <c r="I296" s="20">
        <v>192</v>
      </c>
      <c r="J296" s="20"/>
      <c r="K296" s="20">
        <v>264</v>
      </c>
      <c r="L296" s="20"/>
      <c r="M296" s="20">
        <v>674</v>
      </c>
      <c r="N296" s="21">
        <v>18.744807121661722</v>
      </c>
      <c r="O296" s="20" t="s">
        <v>267</v>
      </c>
      <c r="P296" s="20">
        <f t="shared" si="108"/>
        <v>264</v>
      </c>
      <c r="Q296" s="20">
        <f t="shared" si="109"/>
        <v>210</v>
      </c>
      <c r="R296" s="20">
        <f t="shared" si="100"/>
        <v>192</v>
      </c>
      <c r="S296" s="20">
        <f t="shared" si="110"/>
        <v>8</v>
      </c>
      <c r="T296" s="20">
        <f t="shared" si="111"/>
        <v>674</v>
      </c>
      <c r="U296" s="23">
        <f t="shared" si="112"/>
        <v>0.39169139465875369</v>
      </c>
      <c r="V296" s="23">
        <f t="shared" si="113"/>
        <v>0.31157270029673589</v>
      </c>
      <c r="W296" s="23">
        <f t="shared" si="114"/>
        <v>0.28486646884272998</v>
      </c>
      <c r="X296" s="23">
        <f t="shared" si="115"/>
        <v>1.1869436201780416E-2</v>
      </c>
      <c r="Y296" s="21">
        <f t="shared" si="116"/>
        <v>18.744807121661722</v>
      </c>
    </row>
    <row r="297" spans="1:25" x14ac:dyDescent="0.25">
      <c r="A297" s="20" t="s">
        <v>335</v>
      </c>
      <c r="B297" s="20" t="s">
        <v>336</v>
      </c>
      <c r="C297" s="20" t="s">
        <v>242</v>
      </c>
      <c r="D297" s="20">
        <v>1</v>
      </c>
      <c r="E297" s="20"/>
      <c r="F297" s="20"/>
      <c r="G297" s="20"/>
      <c r="H297" s="20">
        <v>213</v>
      </c>
      <c r="I297" s="20">
        <v>131</v>
      </c>
      <c r="J297" s="20">
        <v>3</v>
      </c>
      <c r="K297" s="20">
        <v>33</v>
      </c>
      <c r="L297" s="20"/>
      <c r="M297" s="20">
        <v>380</v>
      </c>
      <c r="N297" s="21">
        <v>64.221052631578942</v>
      </c>
      <c r="O297" s="20" t="s">
        <v>267</v>
      </c>
      <c r="P297" s="20">
        <f t="shared" si="98"/>
        <v>33</v>
      </c>
      <c r="Q297" s="20">
        <f t="shared" si="99"/>
        <v>213</v>
      </c>
      <c r="R297" s="20">
        <f t="shared" si="100"/>
        <v>131</v>
      </c>
      <c r="S297" s="20">
        <f t="shared" si="101"/>
        <v>3</v>
      </c>
      <c r="T297" s="20">
        <f t="shared" si="102"/>
        <v>380</v>
      </c>
      <c r="U297" s="23">
        <f t="shared" si="103"/>
        <v>8.6842105263157901E-2</v>
      </c>
      <c r="V297" s="23">
        <f t="shared" si="104"/>
        <v>0.56052631578947365</v>
      </c>
      <c r="W297" s="23">
        <f t="shared" si="105"/>
        <v>0.34473684210526317</v>
      </c>
      <c r="X297" s="23">
        <f t="shared" si="106"/>
        <v>7.8947368421052634E-3</v>
      </c>
      <c r="Y297" s="21">
        <f t="shared" si="107"/>
        <v>64.221052631578942</v>
      </c>
    </row>
    <row r="298" spans="1:25" x14ac:dyDescent="0.25">
      <c r="A298" s="20" t="s">
        <v>335</v>
      </c>
      <c r="B298" s="20" t="s">
        <v>336</v>
      </c>
      <c r="C298" s="20" t="s">
        <v>242</v>
      </c>
      <c r="D298" s="20">
        <v>2</v>
      </c>
      <c r="E298" s="20"/>
      <c r="F298" s="20"/>
      <c r="G298" s="20"/>
      <c r="H298" s="20">
        <v>247</v>
      </c>
      <c r="I298" s="20">
        <v>108</v>
      </c>
      <c r="J298" s="20">
        <v>1</v>
      </c>
      <c r="K298" s="20">
        <v>22</v>
      </c>
      <c r="L298" s="20">
        <v>2</v>
      </c>
      <c r="M298" s="20">
        <v>380</v>
      </c>
      <c r="N298" s="21">
        <v>52.19736842105263</v>
      </c>
      <c r="O298" s="20" t="s">
        <v>267</v>
      </c>
      <c r="P298" s="20">
        <f t="shared" si="98"/>
        <v>22</v>
      </c>
      <c r="Q298" s="20">
        <f t="shared" si="99"/>
        <v>247</v>
      </c>
      <c r="R298" s="20">
        <f t="shared" si="100"/>
        <v>108</v>
      </c>
      <c r="S298" s="20">
        <f t="shared" si="101"/>
        <v>3</v>
      </c>
      <c r="T298" s="20">
        <f t="shared" si="102"/>
        <v>380</v>
      </c>
      <c r="U298" s="23">
        <f t="shared" si="103"/>
        <v>5.7894736842105263E-2</v>
      </c>
      <c r="V298" s="23">
        <f t="shared" si="104"/>
        <v>0.65</v>
      </c>
      <c r="W298" s="23">
        <f t="shared" si="105"/>
        <v>0.28421052631578947</v>
      </c>
      <c r="X298" s="23">
        <f t="shared" si="106"/>
        <v>7.8947368421052634E-3</v>
      </c>
      <c r="Y298" s="21">
        <f t="shared" si="107"/>
        <v>52.19736842105263</v>
      </c>
    </row>
    <row r="299" spans="1:25" x14ac:dyDescent="0.25">
      <c r="A299" s="20" t="s">
        <v>335</v>
      </c>
      <c r="B299" s="20" t="s">
        <v>336</v>
      </c>
      <c r="C299" s="20" t="s">
        <v>242</v>
      </c>
      <c r="D299" s="20">
        <v>3</v>
      </c>
      <c r="E299" s="20"/>
      <c r="F299" s="20">
        <v>1</v>
      </c>
      <c r="G299" s="20">
        <v>3</v>
      </c>
      <c r="H299" s="20">
        <v>221</v>
      </c>
      <c r="I299" s="20">
        <v>126</v>
      </c>
      <c r="J299" s="20"/>
      <c r="K299" s="20">
        <v>29</v>
      </c>
      <c r="L299" s="20"/>
      <c r="M299" s="20">
        <v>380</v>
      </c>
      <c r="N299" s="21">
        <v>43.271052631578947</v>
      </c>
      <c r="O299" s="20" t="s">
        <v>267</v>
      </c>
      <c r="P299" s="20">
        <f t="shared" si="98"/>
        <v>29</v>
      </c>
      <c r="Q299" s="20">
        <f t="shared" si="99"/>
        <v>221</v>
      </c>
      <c r="R299" s="20">
        <f t="shared" si="100"/>
        <v>126</v>
      </c>
      <c r="S299" s="20">
        <f t="shared" si="101"/>
        <v>4</v>
      </c>
      <c r="T299" s="20">
        <f t="shared" si="102"/>
        <v>380</v>
      </c>
      <c r="U299" s="23">
        <f t="shared" si="103"/>
        <v>7.6315789473684212E-2</v>
      </c>
      <c r="V299" s="23">
        <f t="shared" si="104"/>
        <v>0.58157894736842108</v>
      </c>
      <c r="W299" s="23">
        <f t="shared" si="105"/>
        <v>0.33157894736842103</v>
      </c>
      <c r="X299" s="23">
        <f t="shared" si="106"/>
        <v>1.0526315789473684E-2</v>
      </c>
      <c r="Y299" s="21">
        <f t="shared" si="107"/>
        <v>43.271052631578947</v>
      </c>
    </row>
    <row r="300" spans="1:25" x14ac:dyDescent="0.25">
      <c r="A300" s="20" t="s">
        <v>335</v>
      </c>
      <c r="B300" s="20" t="s">
        <v>336</v>
      </c>
      <c r="C300" s="20" t="s">
        <v>242</v>
      </c>
      <c r="D300" s="20">
        <v>4</v>
      </c>
      <c r="E300" s="20"/>
      <c r="F300" s="20"/>
      <c r="G300" s="20"/>
      <c r="H300" s="20">
        <v>236</v>
      </c>
      <c r="I300" s="20">
        <v>102</v>
      </c>
      <c r="J300" s="20"/>
      <c r="K300" s="20">
        <v>42</v>
      </c>
      <c r="L300" s="20"/>
      <c r="M300" s="20">
        <v>380</v>
      </c>
      <c r="N300" s="21">
        <v>36.744736842105262</v>
      </c>
      <c r="O300" s="20" t="s">
        <v>267</v>
      </c>
      <c r="P300" s="20">
        <f t="shared" si="98"/>
        <v>42</v>
      </c>
      <c r="Q300" s="20">
        <f t="shared" si="99"/>
        <v>236</v>
      </c>
      <c r="R300" s="20">
        <f t="shared" si="100"/>
        <v>102</v>
      </c>
      <c r="S300" s="20">
        <f t="shared" si="101"/>
        <v>0</v>
      </c>
      <c r="T300" s="20">
        <f t="shared" si="102"/>
        <v>380</v>
      </c>
      <c r="U300" s="23">
        <f t="shared" si="103"/>
        <v>0.11052631578947368</v>
      </c>
      <c r="V300" s="23">
        <f t="shared" si="104"/>
        <v>0.62105263157894741</v>
      </c>
      <c r="W300" s="23">
        <f t="shared" si="105"/>
        <v>0.26842105263157895</v>
      </c>
      <c r="X300" s="23">
        <f t="shared" si="106"/>
        <v>0</v>
      </c>
      <c r="Y300" s="21">
        <f t="shared" si="107"/>
        <v>36.744736842105262</v>
      </c>
    </row>
    <row r="301" spans="1:25" x14ac:dyDescent="0.25">
      <c r="A301" s="20" t="s">
        <v>335</v>
      </c>
      <c r="B301" s="20" t="s">
        <v>336</v>
      </c>
      <c r="C301" s="20" t="s">
        <v>242</v>
      </c>
      <c r="D301" s="20">
        <v>5</v>
      </c>
      <c r="E301" s="20"/>
      <c r="F301" s="20"/>
      <c r="G301" s="20">
        <v>1</v>
      </c>
      <c r="H301" s="20">
        <v>397</v>
      </c>
      <c r="I301" s="20">
        <v>128</v>
      </c>
      <c r="J301" s="20"/>
      <c r="K301" s="20">
        <v>60</v>
      </c>
      <c r="L301" s="20"/>
      <c r="M301" s="20">
        <v>586</v>
      </c>
      <c r="N301" s="21">
        <v>29.286689419795223</v>
      </c>
      <c r="O301" s="20" t="s">
        <v>267</v>
      </c>
      <c r="P301" s="20">
        <f t="shared" si="98"/>
        <v>60</v>
      </c>
      <c r="Q301" s="20">
        <f t="shared" si="99"/>
        <v>397</v>
      </c>
      <c r="R301" s="20">
        <f t="shared" si="100"/>
        <v>128</v>
      </c>
      <c r="S301" s="20">
        <f t="shared" si="101"/>
        <v>1</v>
      </c>
      <c r="T301" s="20">
        <f t="shared" si="102"/>
        <v>586</v>
      </c>
      <c r="U301" s="23">
        <f t="shared" si="103"/>
        <v>0.10238907849829351</v>
      </c>
      <c r="V301" s="23">
        <f t="shared" si="104"/>
        <v>0.6774744027303754</v>
      </c>
      <c r="W301" s="23">
        <f t="shared" si="105"/>
        <v>0.21843003412969283</v>
      </c>
      <c r="X301" s="23">
        <f t="shared" si="106"/>
        <v>1.7064846416382253E-3</v>
      </c>
      <c r="Y301" s="21">
        <f t="shared" si="107"/>
        <v>29.286689419795223</v>
      </c>
    </row>
    <row r="302" spans="1:25" x14ac:dyDescent="0.25">
      <c r="A302" s="20" t="s">
        <v>335</v>
      </c>
      <c r="B302" s="20" t="s">
        <v>336</v>
      </c>
      <c r="C302" s="20" t="s">
        <v>242</v>
      </c>
      <c r="D302" s="20">
        <v>6</v>
      </c>
      <c r="E302" s="20"/>
      <c r="F302" s="20"/>
      <c r="G302" s="20"/>
      <c r="H302" s="20">
        <v>385</v>
      </c>
      <c r="I302" s="20">
        <v>134</v>
      </c>
      <c r="J302" s="20"/>
      <c r="K302" s="20">
        <v>67</v>
      </c>
      <c r="L302" s="20"/>
      <c r="M302" s="20">
        <v>586</v>
      </c>
      <c r="N302" s="21">
        <v>21.569965870307168</v>
      </c>
      <c r="O302" s="20" t="s">
        <v>267</v>
      </c>
      <c r="P302" s="20">
        <f t="shared" si="98"/>
        <v>67</v>
      </c>
      <c r="Q302" s="20">
        <f t="shared" si="99"/>
        <v>385</v>
      </c>
      <c r="R302" s="20">
        <f t="shared" si="100"/>
        <v>134</v>
      </c>
      <c r="S302" s="20">
        <f t="shared" si="101"/>
        <v>0</v>
      </c>
      <c r="T302" s="20">
        <f t="shared" si="102"/>
        <v>586</v>
      </c>
      <c r="U302" s="23">
        <f t="shared" si="103"/>
        <v>0.11433447098976109</v>
      </c>
      <c r="V302" s="23">
        <f t="shared" si="104"/>
        <v>0.65699658703071673</v>
      </c>
      <c r="W302" s="23">
        <f t="shared" si="105"/>
        <v>0.22866894197952217</v>
      </c>
      <c r="X302" s="23">
        <f t="shared" si="106"/>
        <v>0</v>
      </c>
      <c r="Y302" s="21">
        <f t="shared" si="107"/>
        <v>21.569965870307168</v>
      </c>
    </row>
    <row r="303" spans="1:25" x14ac:dyDescent="0.25">
      <c r="A303" s="20" t="s">
        <v>335</v>
      </c>
      <c r="B303" s="20" t="s">
        <v>336</v>
      </c>
      <c r="C303" s="20" t="s">
        <v>243</v>
      </c>
      <c r="D303" s="20">
        <v>1</v>
      </c>
      <c r="E303" s="20"/>
      <c r="F303" s="20"/>
      <c r="G303" s="20"/>
      <c r="H303" s="20">
        <v>62</v>
      </c>
      <c r="I303" s="20">
        <v>177</v>
      </c>
      <c r="J303" s="20">
        <v>1</v>
      </c>
      <c r="K303" s="20">
        <v>119</v>
      </c>
      <c r="L303" s="20">
        <v>1</v>
      </c>
      <c r="M303" s="20">
        <v>360</v>
      </c>
      <c r="N303" s="21">
        <v>61.591666666666669</v>
      </c>
      <c r="O303" s="20" t="s">
        <v>267</v>
      </c>
      <c r="P303" s="20">
        <f t="shared" ref="P303:P308" si="117">K303</f>
        <v>119</v>
      </c>
      <c r="Q303" s="20">
        <f t="shared" ref="Q303:Q308" si="118">H303</f>
        <v>62</v>
      </c>
      <c r="R303" s="20">
        <f t="shared" ref="R303:R308" si="119">I303</f>
        <v>177</v>
      </c>
      <c r="S303" s="20">
        <f t="shared" ref="S303:S308" si="120">M303-SUM(P303:R303)</f>
        <v>2</v>
      </c>
      <c r="T303" s="20">
        <f t="shared" ref="T303:T308" si="121">SUM(P303:S303)</f>
        <v>360</v>
      </c>
      <c r="U303" s="23">
        <f t="shared" ref="U303:U308" si="122">P303/M303</f>
        <v>0.33055555555555555</v>
      </c>
      <c r="V303" s="23">
        <f t="shared" ref="V303:V308" si="123">Q303/M303</f>
        <v>0.17222222222222222</v>
      </c>
      <c r="W303" s="23">
        <f t="shared" ref="W303:W308" si="124">R303/M303</f>
        <v>0.49166666666666664</v>
      </c>
      <c r="X303" s="23">
        <f t="shared" ref="X303:X308" si="125">S303/M303</f>
        <v>5.5555555555555558E-3</v>
      </c>
      <c r="Y303" s="21">
        <f t="shared" ref="Y303:Y308" si="126">N303</f>
        <v>61.591666666666669</v>
      </c>
    </row>
    <row r="304" spans="1:25" x14ac:dyDescent="0.25">
      <c r="A304" s="20" t="s">
        <v>335</v>
      </c>
      <c r="B304" s="20" t="s">
        <v>336</v>
      </c>
      <c r="C304" s="20" t="s">
        <v>243</v>
      </c>
      <c r="D304" s="20">
        <v>2</v>
      </c>
      <c r="E304" s="20"/>
      <c r="F304" s="20"/>
      <c r="G304" s="20">
        <v>1</v>
      </c>
      <c r="H304" s="20">
        <v>67</v>
      </c>
      <c r="I304" s="20">
        <v>201</v>
      </c>
      <c r="J304" s="20">
        <v>1</v>
      </c>
      <c r="K304" s="20">
        <v>90</v>
      </c>
      <c r="L304" s="20"/>
      <c r="M304" s="20">
        <v>360</v>
      </c>
      <c r="N304" s="21">
        <v>54.922222222222224</v>
      </c>
      <c r="O304" s="20" t="s">
        <v>267</v>
      </c>
      <c r="P304" s="20">
        <f t="shared" si="117"/>
        <v>90</v>
      </c>
      <c r="Q304" s="20">
        <f t="shared" si="118"/>
        <v>67</v>
      </c>
      <c r="R304" s="20">
        <f t="shared" si="119"/>
        <v>201</v>
      </c>
      <c r="S304" s="20">
        <f t="shared" si="120"/>
        <v>2</v>
      </c>
      <c r="T304" s="20">
        <f t="shared" si="121"/>
        <v>360</v>
      </c>
      <c r="U304" s="23">
        <f t="shared" si="122"/>
        <v>0.25</v>
      </c>
      <c r="V304" s="23">
        <f t="shared" si="123"/>
        <v>0.18611111111111112</v>
      </c>
      <c r="W304" s="23">
        <f t="shared" si="124"/>
        <v>0.55833333333333335</v>
      </c>
      <c r="X304" s="23">
        <f t="shared" si="125"/>
        <v>5.5555555555555558E-3</v>
      </c>
      <c r="Y304" s="21">
        <f t="shared" si="126"/>
        <v>54.922222222222224</v>
      </c>
    </row>
    <row r="305" spans="1:25" x14ac:dyDescent="0.25">
      <c r="A305" s="20" t="s">
        <v>335</v>
      </c>
      <c r="B305" s="20" t="s">
        <v>336</v>
      </c>
      <c r="C305" s="20" t="s">
        <v>243</v>
      </c>
      <c r="D305" s="20">
        <v>3</v>
      </c>
      <c r="E305" s="20"/>
      <c r="F305" s="20">
        <v>1</v>
      </c>
      <c r="G305" s="20"/>
      <c r="H305" s="20">
        <v>95</v>
      </c>
      <c r="I305" s="20">
        <v>172</v>
      </c>
      <c r="J305" s="20"/>
      <c r="K305" s="20">
        <v>92</v>
      </c>
      <c r="L305" s="20"/>
      <c r="M305" s="20">
        <v>360</v>
      </c>
      <c r="N305" s="21">
        <v>46.952777777777776</v>
      </c>
      <c r="O305" s="20" t="s">
        <v>267</v>
      </c>
      <c r="P305" s="20">
        <f t="shared" si="117"/>
        <v>92</v>
      </c>
      <c r="Q305" s="20">
        <f t="shared" si="118"/>
        <v>95</v>
      </c>
      <c r="R305" s="20">
        <f t="shared" si="119"/>
        <v>172</v>
      </c>
      <c r="S305" s="20">
        <f t="shared" si="120"/>
        <v>1</v>
      </c>
      <c r="T305" s="20">
        <f t="shared" si="121"/>
        <v>360</v>
      </c>
      <c r="U305" s="23">
        <f t="shared" si="122"/>
        <v>0.25555555555555554</v>
      </c>
      <c r="V305" s="23">
        <f t="shared" si="123"/>
        <v>0.2638888888888889</v>
      </c>
      <c r="W305" s="23">
        <f t="shared" si="124"/>
        <v>0.4777777777777778</v>
      </c>
      <c r="X305" s="23">
        <f t="shared" si="125"/>
        <v>2.7777777777777779E-3</v>
      </c>
      <c r="Y305" s="21">
        <f t="shared" si="126"/>
        <v>46.952777777777776</v>
      </c>
    </row>
    <row r="306" spans="1:25" x14ac:dyDescent="0.25">
      <c r="A306" s="20" t="s">
        <v>335</v>
      </c>
      <c r="B306" s="20" t="s">
        <v>336</v>
      </c>
      <c r="C306" s="20" t="s">
        <v>243</v>
      </c>
      <c r="D306" s="20">
        <v>4</v>
      </c>
      <c r="E306" s="20"/>
      <c r="F306" s="20"/>
      <c r="G306" s="20"/>
      <c r="H306" s="20">
        <v>128</v>
      </c>
      <c r="I306" s="20">
        <v>390</v>
      </c>
      <c r="J306" s="20"/>
      <c r="K306" s="20">
        <v>172</v>
      </c>
      <c r="L306" s="20"/>
      <c r="M306" s="20">
        <v>690</v>
      </c>
      <c r="N306" s="21">
        <v>38.918840579710142</v>
      </c>
      <c r="O306" s="20" t="s">
        <v>267</v>
      </c>
      <c r="P306" s="20">
        <f t="shared" si="117"/>
        <v>172</v>
      </c>
      <c r="Q306" s="20">
        <f t="shared" si="118"/>
        <v>128</v>
      </c>
      <c r="R306" s="20">
        <f t="shared" si="119"/>
        <v>390</v>
      </c>
      <c r="S306" s="20">
        <f t="shared" si="120"/>
        <v>0</v>
      </c>
      <c r="T306" s="20">
        <f t="shared" si="121"/>
        <v>690</v>
      </c>
      <c r="U306" s="23">
        <f t="shared" si="122"/>
        <v>0.24927536231884059</v>
      </c>
      <c r="V306" s="23">
        <f t="shared" si="123"/>
        <v>0.1855072463768116</v>
      </c>
      <c r="W306" s="23">
        <f t="shared" si="124"/>
        <v>0.56521739130434778</v>
      </c>
      <c r="X306" s="23">
        <f t="shared" si="125"/>
        <v>0</v>
      </c>
      <c r="Y306" s="21">
        <f t="shared" si="126"/>
        <v>38.918840579710142</v>
      </c>
    </row>
    <row r="307" spans="1:25" x14ac:dyDescent="0.25">
      <c r="A307" s="20" t="s">
        <v>335</v>
      </c>
      <c r="B307" s="20" t="s">
        <v>336</v>
      </c>
      <c r="C307" s="20" t="s">
        <v>243</v>
      </c>
      <c r="D307" s="20">
        <v>5</v>
      </c>
      <c r="E307" s="20"/>
      <c r="F307" s="20"/>
      <c r="G307" s="20"/>
      <c r="H307" s="20">
        <v>90</v>
      </c>
      <c r="I307" s="20">
        <v>335</v>
      </c>
      <c r="J307" s="20">
        <v>1</v>
      </c>
      <c r="K307" s="20">
        <v>264</v>
      </c>
      <c r="L307" s="20"/>
      <c r="M307" s="20">
        <v>690</v>
      </c>
      <c r="N307" s="21">
        <v>29.378260869565217</v>
      </c>
      <c r="O307" s="20" t="s">
        <v>267</v>
      </c>
      <c r="P307" s="20">
        <f t="shared" si="117"/>
        <v>264</v>
      </c>
      <c r="Q307" s="20">
        <f t="shared" si="118"/>
        <v>90</v>
      </c>
      <c r="R307" s="20">
        <f t="shared" si="119"/>
        <v>335</v>
      </c>
      <c r="S307" s="20">
        <f t="shared" si="120"/>
        <v>1</v>
      </c>
      <c r="T307" s="20">
        <f t="shared" si="121"/>
        <v>690</v>
      </c>
      <c r="U307" s="23">
        <f t="shared" si="122"/>
        <v>0.38260869565217392</v>
      </c>
      <c r="V307" s="23">
        <f t="shared" si="123"/>
        <v>0.13043478260869565</v>
      </c>
      <c r="W307" s="23">
        <f t="shared" si="124"/>
        <v>0.48550724637681159</v>
      </c>
      <c r="X307" s="23">
        <f t="shared" si="125"/>
        <v>1.4492753623188406E-3</v>
      </c>
      <c r="Y307" s="21">
        <f t="shared" si="126"/>
        <v>29.378260869565217</v>
      </c>
    </row>
    <row r="308" spans="1:25" x14ac:dyDescent="0.25">
      <c r="A308" s="20" t="s">
        <v>335</v>
      </c>
      <c r="B308" s="20" t="s">
        <v>336</v>
      </c>
      <c r="C308" s="20" t="s">
        <v>243</v>
      </c>
      <c r="D308" s="20">
        <v>6</v>
      </c>
      <c r="E308" s="20"/>
      <c r="F308" s="20"/>
      <c r="G308" s="20"/>
      <c r="H308" s="20">
        <v>108</v>
      </c>
      <c r="I308" s="20">
        <v>314</v>
      </c>
      <c r="J308" s="20"/>
      <c r="K308" s="20">
        <v>269</v>
      </c>
      <c r="L308" s="20"/>
      <c r="M308" s="20">
        <v>691</v>
      </c>
      <c r="N308" s="21">
        <v>21.515195369030391</v>
      </c>
      <c r="O308" s="20" t="s">
        <v>267</v>
      </c>
      <c r="P308" s="20">
        <f t="shared" si="117"/>
        <v>269</v>
      </c>
      <c r="Q308" s="20">
        <f t="shared" si="118"/>
        <v>108</v>
      </c>
      <c r="R308" s="20">
        <f t="shared" si="119"/>
        <v>314</v>
      </c>
      <c r="S308" s="20">
        <f t="shared" si="120"/>
        <v>0</v>
      </c>
      <c r="T308" s="20">
        <f t="shared" si="121"/>
        <v>691</v>
      </c>
      <c r="U308" s="23">
        <f t="shared" si="122"/>
        <v>0.38929088277858176</v>
      </c>
      <c r="V308" s="23">
        <f t="shared" si="123"/>
        <v>0.15629522431259044</v>
      </c>
      <c r="W308" s="23">
        <f t="shared" si="124"/>
        <v>0.45441389290882778</v>
      </c>
      <c r="X308" s="23">
        <f t="shared" si="125"/>
        <v>0</v>
      </c>
      <c r="Y308" s="21">
        <f t="shared" si="126"/>
        <v>21.515195369030391</v>
      </c>
    </row>
    <row r="309" spans="1:25" x14ac:dyDescent="0.25">
      <c r="A309" s="18"/>
      <c r="B309" s="18"/>
      <c r="C309" s="18"/>
      <c r="D309" s="18"/>
      <c r="E309" s="18">
        <v>66</v>
      </c>
      <c r="F309" s="18">
        <v>124</v>
      </c>
      <c r="G309" s="18">
        <v>287</v>
      </c>
      <c r="H309" s="18">
        <v>66119</v>
      </c>
      <c r="I309" s="18">
        <v>34347</v>
      </c>
      <c r="J309" s="18">
        <v>785</v>
      </c>
      <c r="K309" s="18">
        <v>53826</v>
      </c>
      <c r="L309" s="18">
        <v>342</v>
      </c>
      <c r="M309" s="18">
        <v>155896</v>
      </c>
      <c r="N309" s="24">
        <v>45.751099072790268</v>
      </c>
      <c r="O309" s="18"/>
      <c r="P309" s="20">
        <v>53826</v>
      </c>
      <c r="Q309" s="20">
        <v>66119</v>
      </c>
      <c r="R309" s="20">
        <v>34347</v>
      </c>
      <c r="S309" s="20">
        <v>1604</v>
      </c>
      <c r="T309" s="20">
        <v>155896</v>
      </c>
      <c r="U309" s="23">
        <v>0.34526864063221635</v>
      </c>
      <c r="V309" s="23">
        <v>0.42412249191768869</v>
      </c>
      <c r="W309" s="23">
        <v>0.22031995689433981</v>
      </c>
      <c r="X309" s="23">
        <v>1.0288910555755119E-2</v>
      </c>
      <c r="Y309" s="21">
        <v>45.751099072790268</v>
      </c>
    </row>
    <row r="311" spans="1:25" x14ac:dyDescent="0.25">
      <c r="A311" s="20" t="s">
        <v>264</v>
      </c>
      <c r="B311" s="20" t="s">
        <v>265</v>
      </c>
      <c r="C311" s="20" t="s">
        <v>266</v>
      </c>
      <c r="D311" s="20"/>
      <c r="E311" s="20">
        <v>1</v>
      </c>
      <c r="F311" s="20"/>
      <c r="G311" s="20"/>
      <c r="H311" s="20"/>
      <c r="I311" s="20"/>
      <c r="J311" s="20"/>
      <c r="K311" s="20">
        <v>2</v>
      </c>
      <c r="L311" s="20"/>
      <c r="M311" s="20">
        <v>3</v>
      </c>
      <c r="N311" s="21">
        <v>52</v>
      </c>
      <c r="O311" s="20" t="s">
        <v>267</v>
      </c>
      <c r="P311" s="20">
        <f t="shared" ref="P311" si="127">K311</f>
        <v>2</v>
      </c>
      <c r="Q311" s="20">
        <f t="shared" ref="Q311:R311" si="128">H311</f>
        <v>0</v>
      </c>
      <c r="R311" s="20">
        <f t="shared" si="128"/>
        <v>0</v>
      </c>
      <c r="S311" s="20">
        <f t="shared" ref="S311" si="129">M311-SUM(P311:R311)</f>
        <v>1</v>
      </c>
      <c r="T311" s="20">
        <f t="shared" ref="T311" si="130">SUM(P311:S311)</f>
        <v>3</v>
      </c>
      <c r="U311" s="23">
        <f t="shared" ref="U311" si="131">P311/M311</f>
        <v>0.66666666666666663</v>
      </c>
      <c r="V311" s="23">
        <f t="shared" ref="V311" si="132">Q311/M311</f>
        <v>0</v>
      </c>
      <c r="W311" s="23">
        <f t="shared" ref="W311" si="133">R311/M311</f>
        <v>0</v>
      </c>
      <c r="X311" s="23">
        <f t="shared" ref="X311" si="134">S311/M311</f>
        <v>0.33333333333333331</v>
      </c>
      <c r="Y311" s="21">
        <f t="shared" ref="Y311" si="135">N311</f>
        <v>52</v>
      </c>
    </row>
    <row r="312" spans="1:25" x14ac:dyDescent="0.25">
      <c r="A312" s="20" t="s">
        <v>268</v>
      </c>
      <c r="B312" s="20" t="s">
        <v>269</v>
      </c>
      <c r="C312" s="20" t="s">
        <v>266</v>
      </c>
      <c r="D312" s="20"/>
      <c r="E312" s="20"/>
      <c r="F312" s="20"/>
      <c r="G312" s="20"/>
      <c r="H312" s="20"/>
      <c r="I312" s="20"/>
      <c r="J312" s="20"/>
      <c r="K312" s="20">
        <v>1</v>
      </c>
      <c r="L312" s="20"/>
      <c r="M312" s="20">
        <v>1</v>
      </c>
      <c r="N312" s="21">
        <v>27</v>
      </c>
      <c r="O312" s="20" t="s">
        <v>267</v>
      </c>
      <c r="P312" s="20">
        <f t="shared" ref="P312:P325" si="136">K312</f>
        <v>1</v>
      </c>
      <c r="Q312" s="20">
        <f t="shared" ref="Q312:Q325" si="137">H312</f>
        <v>0</v>
      </c>
      <c r="R312" s="20">
        <f t="shared" ref="R312:R325" si="138">I312</f>
        <v>0</v>
      </c>
      <c r="S312" s="20">
        <f t="shared" ref="S312:S325" si="139">M312-SUM(P312:R312)</f>
        <v>0</v>
      </c>
      <c r="T312" s="20">
        <f t="shared" ref="T312:T325" si="140">SUM(P312:S312)</f>
        <v>1</v>
      </c>
      <c r="U312" s="23">
        <f t="shared" ref="U312:U325" si="141">P312/M312</f>
        <v>1</v>
      </c>
      <c r="V312" s="23">
        <f t="shared" ref="V312:V325" si="142">Q312/M312</f>
        <v>0</v>
      </c>
      <c r="W312" s="23">
        <f t="shared" ref="W312:W325" si="143">R312/M312</f>
        <v>0</v>
      </c>
      <c r="X312" s="23">
        <f t="shared" ref="X312:X325" si="144">S312/M312</f>
        <v>0</v>
      </c>
      <c r="Y312" s="21">
        <f t="shared" ref="Y312:Y325" si="145">N312</f>
        <v>27</v>
      </c>
    </row>
    <row r="313" spans="1:25" x14ac:dyDescent="0.25">
      <c r="A313" s="20" t="s">
        <v>275</v>
      </c>
      <c r="B313" s="20" t="s">
        <v>276</v>
      </c>
      <c r="C313" s="20" t="s">
        <v>266</v>
      </c>
      <c r="D313" s="20"/>
      <c r="E313" s="20"/>
      <c r="F313" s="20"/>
      <c r="G313" s="20"/>
      <c r="H313" s="20"/>
      <c r="I313" s="20"/>
      <c r="J313" s="20"/>
      <c r="K313" s="20">
        <v>3</v>
      </c>
      <c r="L313" s="20"/>
      <c r="M313" s="20">
        <v>3</v>
      </c>
      <c r="N313" s="21">
        <v>31.333333333333332</v>
      </c>
      <c r="O313" s="20" t="s">
        <v>267</v>
      </c>
      <c r="P313" s="20">
        <f t="shared" si="136"/>
        <v>3</v>
      </c>
      <c r="Q313" s="20">
        <f t="shared" si="137"/>
        <v>0</v>
      </c>
      <c r="R313" s="20">
        <f t="shared" si="138"/>
        <v>0</v>
      </c>
      <c r="S313" s="20">
        <f t="shared" si="139"/>
        <v>0</v>
      </c>
      <c r="T313" s="20">
        <f t="shared" si="140"/>
        <v>3</v>
      </c>
      <c r="U313" s="23">
        <f t="shared" si="141"/>
        <v>1</v>
      </c>
      <c r="V313" s="23">
        <f t="shared" si="142"/>
        <v>0</v>
      </c>
      <c r="W313" s="23">
        <f t="shared" si="143"/>
        <v>0</v>
      </c>
      <c r="X313" s="23">
        <f t="shared" si="144"/>
        <v>0</v>
      </c>
      <c r="Y313" s="21">
        <f t="shared" si="145"/>
        <v>31.333333333333332</v>
      </c>
    </row>
    <row r="314" spans="1:25" x14ac:dyDescent="0.25">
      <c r="A314" s="20" t="s">
        <v>279</v>
      </c>
      <c r="B314" s="20" t="s">
        <v>280</v>
      </c>
      <c r="C314" s="20" t="s">
        <v>266</v>
      </c>
      <c r="D314" s="20"/>
      <c r="E314" s="20"/>
      <c r="F314" s="20"/>
      <c r="G314" s="20"/>
      <c r="H314" s="20"/>
      <c r="I314" s="20"/>
      <c r="J314" s="20"/>
      <c r="K314" s="20">
        <v>1</v>
      </c>
      <c r="L314" s="20"/>
      <c r="M314" s="20">
        <v>1</v>
      </c>
      <c r="N314" s="21">
        <v>43</v>
      </c>
      <c r="O314" s="20" t="s">
        <v>267</v>
      </c>
      <c r="P314" s="20">
        <f t="shared" si="136"/>
        <v>1</v>
      </c>
      <c r="Q314" s="20">
        <f t="shared" si="137"/>
        <v>0</v>
      </c>
      <c r="R314" s="20">
        <f t="shared" si="138"/>
        <v>0</v>
      </c>
      <c r="S314" s="20">
        <f t="shared" si="139"/>
        <v>0</v>
      </c>
      <c r="T314" s="20">
        <f t="shared" si="140"/>
        <v>1</v>
      </c>
      <c r="U314" s="23">
        <f t="shared" si="141"/>
        <v>1</v>
      </c>
      <c r="V314" s="23">
        <f t="shared" si="142"/>
        <v>0</v>
      </c>
      <c r="W314" s="23">
        <f t="shared" si="143"/>
        <v>0</v>
      </c>
      <c r="X314" s="23">
        <f t="shared" si="144"/>
        <v>0</v>
      </c>
      <c r="Y314" s="21">
        <f t="shared" si="145"/>
        <v>43</v>
      </c>
    </row>
    <row r="315" spans="1:25" x14ac:dyDescent="0.25">
      <c r="A315" s="20" t="s">
        <v>281</v>
      </c>
      <c r="B315" s="20" t="s">
        <v>282</v>
      </c>
      <c r="C315" s="20" t="s">
        <v>266</v>
      </c>
      <c r="D315" s="20"/>
      <c r="E315" s="20"/>
      <c r="F315" s="20"/>
      <c r="G315" s="20"/>
      <c r="H315" s="20"/>
      <c r="I315" s="20">
        <v>2</v>
      </c>
      <c r="J315" s="20"/>
      <c r="K315" s="20"/>
      <c r="L315" s="20"/>
      <c r="M315" s="20">
        <v>2</v>
      </c>
      <c r="N315" s="21">
        <v>42</v>
      </c>
      <c r="O315" s="20" t="s">
        <v>267</v>
      </c>
      <c r="P315" s="20">
        <f t="shared" si="136"/>
        <v>0</v>
      </c>
      <c r="Q315" s="20">
        <f t="shared" si="137"/>
        <v>0</v>
      </c>
      <c r="R315" s="20">
        <f t="shared" si="138"/>
        <v>2</v>
      </c>
      <c r="S315" s="20">
        <f t="shared" si="139"/>
        <v>0</v>
      </c>
      <c r="T315" s="20">
        <f t="shared" si="140"/>
        <v>2</v>
      </c>
      <c r="U315" s="23">
        <f t="shared" si="141"/>
        <v>0</v>
      </c>
      <c r="V315" s="23">
        <f t="shared" si="142"/>
        <v>0</v>
      </c>
      <c r="W315" s="23">
        <f t="shared" si="143"/>
        <v>1</v>
      </c>
      <c r="X315" s="23">
        <f t="shared" si="144"/>
        <v>0</v>
      </c>
      <c r="Y315" s="21">
        <f t="shared" si="145"/>
        <v>42</v>
      </c>
    </row>
    <row r="316" spans="1:25" x14ac:dyDescent="0.25">
      <c r="A316" s="20" t="s">
        <v>293</v>
      </c>
      <c r="B316" s="20" t="s">
        <v>294</v>
      </c>
      <c r="C316" s="20" t="s">
        <v>266</v>
      </c>
      <c r="D316" s="20"/>
      <c r="E316" s="20"/>
      <c r="F316" s="20"/>
      <c r="G316" s="20"/>
      <c r="H316" s="20">
        <v>1</v>
      </c>
      <c r="I316" s="20"/>
      <c r="J316" s="20"/>
      <c r="K316" s="20"/>
      <c r="L316" s="20"/>
      <c r="M316" s="20">
        <v>1</v>
      </c>
      <c r="N316" s="21">
        <v>28</v>
      </c>
      <c r="O316" s="20" t="s">
        <v>267</v>
      </c>
      <c r="P316" s="20">
        <f t="shared" si="136"/>
        <v>0</v>
      </c>
      <c r="Q316" s="20">
        <f t="shared" si="137"/>
        <v>1</v>
      </c>
      <c r="R316" s="20">
        <f t="shared" si="138"/>
        <v>0</v>
      </c>
      <c r="S316" s="20">
        <f t="shared" si="139"/>
        <v>0</v>
      </c>
      <c r="T316" s="20">
        <f t="shared" si="140"/>
        <v>1</v>
      </c>
      <c r="U316" s="23">
        <f t="shared" si="141"/>
        <v>0</v>
      </c>
      <c r="V316" s="23">
        <f t="shared" si="142"/>
        <v>1</v>
      </c>
      <c r="W316" s="23">
        <f t="shared" si="143"/>
        <v>0</v>
      </c>
      <c r="X316" s="23">
        <f t="shared" si="144"/>
        <v>0</v>
      </c>
      <c r="Y316" s="21">
        <f t="shared" si="145"/>
        <v>28</v>
      </c>
    </row>
    <row r="317" spans="1:25" x14ac:dyDescent="0.25">
      <c r="A317" s="20" t="s">
        <v>295</v>
      </c>
      <c r="B317" s="20" t="s">
        <v>296</v>
      </c>
      <c r="C317" s="20" t="s">
        <v>266</v>
      </c>
      <c r="D317" s="20"/>
      <c r="E317" s="20"/>
      <c r="F317" s="20"/>
      <c r="G317" s="20"/>
      <c r="H317" s="20">
        <v>1</v>
      </c>
      <c r="I317" s="20">
        <v>1</v>
      </c>
      <c r="J317" s="20">
        <v>1</v>
      </c>
      <c r="K317" s="20"/>
      <c r="L317" s="20"/>
      <c r="M317" s="20">
        <v>3</v>
      </c>
      <c r="N317" s="21">
        <v>47.666666666666664</v>
      </c>
      <c r="O317" s="20" t="s">
        <v>267</v>
      </c>
      <c r="P317" s="20">
        <f t="shared" si="136"/>
        <v>0</v>
      </c>
      <c r="Q317" s="20">
        <f t="shared" si="137"/>
        <v>1</v>
      </c>
      <c r="R317" s="20">
        <f t="shared" si="138"/>
        <v>1</v>
      </c>
      <c r="S317" s="20">
        <f t="shared" si="139"/>
        <v>1</v>
      </c>
      <c r="T317" s="20">
        <f t="shared" si="140"/>
        <v>3</v>
      </c>
      <c r="U317" s="23">
        <f t="shared" si="141"/>
        <v>0</v>
      </c>
      <c r="V317" s="23">
        <f t="shared" si="142"/>
        <v>0.33333333333333331</v>
      </c>
      <c r="W317" s="23">
        <f t="shared" si="143"/>
        <v>0.33333333333333331</v>
      </c>
      <c r="X317" s="23">
        <f t="shared" si="144"/>
        <v>0.33333333333333331</v>
      </c>
      <c r="Y317" s="21">
        <f t="shared" si="145"/>
        <v>47.666666666666664</v>
      </c>
    </row>
    <row r="318" spans="1:25" x14ac:dyDescent="0.25">
      <c r="A318" s="20" t="s">
        <v>297</v>
      </c>
      <c r="B318" s="20" t="s">
        <v>298</v>
      </c>
      <c r="C318" s="20" t="s">
        <v>266</v>
      </c>
      <c r="D318" s="20"/>
      <c r="E318" s="20"/>
      <c r="F318" s="20"/>
      <c r="G318" s="20"/>
      <c r="H318" s="20">
        <v>1</v>
      </c>
      <c r="I318" s="20">
        <v>1</v>
      </c>
      <c r="J318" s="20"/>
      <c r="K318" s="20">
        <v>3</v>
      </c>
      <c r="L318" s="20"/>
      <c r="M318" s="20">
        <v>5</v>
      </c>
      <c r="N318" s="21">
        <v>36.6</v>
      </c>
      <c r="O318" s="20" t="s">
        <v>267</v>
      </c>
      <c r="P318" s="20">
        <f t="shared" si="136"/>
        <v>3</v>
      </c>
      <c r="Q318" s="20">
        <f t="shared" si="137"/>
        <v>1</v>
      </c>
      <c r="R318" s="20">
        <f t="shared" si="138"/>
        <v>1</v>
      </c>
      <c r="S318" s="20">
        <f t="shared" si="139"/>
        <v>0</v>
      </c>
      <c r="T318" s="20">
        <f t="shared" si="140"/>
        <v>5</v>
      </c>
      <c r="U318" s="23">
        <f t="shared" si="141"/>
        <v>0.6</v>
      </c>
      <c r="V318" s="23">
        <f t="shared" si="142"/>
        <v>0.2</v>
      </c>
      <c r="W318" s="23">
        <f t="shared" si="143"/>
        <v>0.2</v>
      </c>
      <c r="X318" s="23">
        <f t="shared" si="144"/>
        <v>0</v>
      </c>
      <c r="Y318" s="21">
        <f t="shared" si="145"/>
        <v>36.6</v>
      </c>
    </row>
    <row r="319" spans="1:25" x14ac:dyDescent="0.25">
      <c r="A319" s="20" t="s">
        <v>309</v>
      </c>
      <c r="B319" s="20" t="s">
        <v>310</v>
      </c>
      <c r="C319" s="20" t="s">
        <v>266</v>
      </c>
      <c r="D319" s="20"/>
      <c r="E319" s="20"/>
      <c r="F319" s="20"/>
      <c r="G319" s="20"/>
      <c r="H319" s="20"/>
      <c r="I319" s="20"/>
      <c r="J319" s="20"/>
      <c r="K319" s="20">
        <v>6</v>
      </c>
      <c r="L319" s="20"/>
      <c r="M319" s="20">
        <v>6</v>
      </c>
      <c r="N319" s="21">
        <v>42.5</v>
      </c>
      <c r="O319" s="20" t="s">
        <v>267</v>
      </c>
      <c r="P319" s="20">
        <f t="shared" si="136"/>
        <v>6</v>
      </c>
      <c r="Q319" s="20">
        <f t="shared" si="137"/>
        <v>0</v>
      </c>
      <c r="R319" s="20">
        <f t="shared" si="138"/>
        <v>0</v>
      </c>
      <c r="S319" s="20">
        <f t="shared" si="139"/>
        <v>0</v>
      </c>
      <c r="T319" s="20">
        <f t="shared" si="140"/>
        <v>6</v>
      </c>
      <c r="U319" s="23">
        <f t="shared" si="141"/>
        <v>1</v>
      </c>
      <c r="V319" s="23">
        <f t="shared" si="142"/>
        <v>0</v>
      </c>
      <c r="W319" s="23">
        <f t="shared" si="143"/>
        <v>0</v>
      </c>
      <c r="X319" s="23">
        <f t="shared" si="144"/>
        <v>0</v>
      </c>
      <c r="Y319" s="21">
        <f t="shared" si="145"/>
        <v>42.5</v>
      </c>
    </row>
    <row r="320" spans="1:25" x14ac:dyDescent="0.25">
      <c r="A320" s="20" t="s">
        <v>313</v>
      </c>
      <c r="B320" s="20" t="s">
        <v>314</v>
      </c>
      <c r="C320" s="20" t="s">
        <v>266</v>
      </c>
      <c r="D320" s="20"/>
      <c r="E320" s="20"/>
      <c r="F320" s="20"/>
      <c r="G320" s="20"/>
      <c r="H320" s="20"/>
      <c r="I320" s="20">
        <v>1</v>
      </c>
      <c r="J320" s="20"/>
      <c r="K320" s="20"/>
      <c r="L320" s="20"/>
      <c r="M320" s="20">
        <v>1</v>
      </c>
      <c r="N320" s="21">
        <v>26</v>
      </c>
      <c r="O320" s="20" t="s">
        <v>267</v>
      </c>
      <c r="P320" s="20">
        <f t="shared" si="136"/>
        <v>0</v>
      </c>
      <c r="Q320" s="20">
        <f t="shared" si="137"/>
        <v>0</v>
      </c>
      <c r="R320" s="20">
        <f t="shared" si="138"/>
        <v>1</v>
      </c>
      <c r="S320" s="20">
        <f t="shared" si="139"/>
        <v>0</v>
      </c>
      <c r="T320" s="20">
        <f t="shared" si="140"/>
        <v>1</v>
      </c>
      <c r="U320" s="23">
        <f t="shared" si="141"/>
        <v>0</v>
      </c>
      <c r="V320" s="23">
        <f t="shared" si="142"/>
        <v>0</v>
      </c>
      <c r="W320" s="23">
        <f t="shared" si="143"/>
        <v>1</v>
      </c>
      <c r="X320" s="23">
        <f t="shared" si="144"/>
        <v>0</v>
      </c>
      <c r="Y320" s="21">
        <f t="shared" si="145"/>
        <v>26</v>
      </c>
    </row>
    <row r="321" spans="1:25" x14ac:dyDescent="0.25">
      <c r="A321" s="20" t="s">
        <v>323</v>
      </c>
      <c r="B321" s="20" t="s">
        <v>324</v>
      </c>
      <c r="C321" s="20" t="s">
        <v>266</v>
      </c>
      <c r="D321" s="20"/>
      <c r="E321" s="20"/>
      <c r="F321" s="20"/>
      <c r="G321" s="20"/>
      <c r="H321" s="20">
        <v>1</v>
      </c>
      <c r="I321" s="20"/>
      <c r="J321" s="20"/>
      <c r="K321" s="20">
        <v>1</v>
      </c>
      <c r="L321" s="20"/>
      <c r="M321" s="20">
        <v>2</v>
      </c>
      <c r="N321" s="21">
        <v>47</v>
      </c>
      <c r="O321" s="20" t="s">
        <v>267</v>
      </c>
      <c r="P321" s="20">
        <f t="shared" si="136"/>
        <v>1</v>
      </c>
      <c r="Q321" s="20">
        <f t="shared" si="137"/>
        <v>1</v>
      </c>
      <c r="R321" s="20">
        <f t="shared" si="138"/>
        <v>0</v>
      </c>
      <c r="S321" s="20">
        <f t="shared" si="139"/>
        <v>0</v>
      </c>
      <c r="T321" s="20">
        <f t="shared" si="140"/>
        <v>2</v>
      </c>
      <c r="U321" s="23">
        <f t="shared" si="141"/>
        <v>0.5</v>
      </c>
      <c r="V321" s="23">
        <f t="shared" si="142"/>
        <v>0.5</v>
      </c>
      <c r="W321" s="23">
        <f t="shared" si="143"/>
        <v>0</v>
      </c>
      <c r="X321" s="23">
        <f t="shared" si="144"/>
        <v>0</v>
      </c>
      <c r="Y321" s="21">
        <f t="shared" si="145"/>
        <v>47</v>
      </c>
    </row>
    <row r="322" spans="1:25" x14ac:dyDescent="0.25">
      <c r="A322" s="20" t="s">
        <v>325</v>
      </c>
      <c r="B322" s="20" t="s">
        <v>326</v>
      </c>
      <c r="C322" s="20" t="s">
        <v>266</v>
      </c>
      <c r="D322" s="20"/>
      <c r="E322" s="20"/>
      <c r="F322" s="20"/>
      <c r="G322" s="20"/>
      <c r="H322" s="20">
        <v>4</v>
      </c>
      <c r="I322" s="20"/>
      <c r="J322" s="20"/>
      <c r="K322" s="20"/>
      <c r="L322" s="20"/>
      <c r="M322" s="20">
        <v>4</v>
      </c>
      <c r="N322" s="21">
        <v>35.75</v>
      </c>
      <c r="O322" s="20" t="s">
        <v>267</v>
      </c>
      <c r="P322" s="20">
        <f t="shared" si="136"/>
        <v>0</v>
      </c>
      <c r="Q322" s="20">
        <f t="shared" si="137"/>
        <v>4</v>
      </c>
      <c r="R322" s="20">
        <f t="shared" si="138"/>
        <v>0</v>
      </c>
      <c r="S322" s="20">
        <f t="shared" si="139"/>
        <v>0</v>
      </c>
      <c r="T322" s="20">
        <f t="shared" si="140"/>
        <v>4</v>
      </c>
      <c r="U322" s="23">
        <f t="shared" si="141"/>
        <v>0</v>
      </c>
      <c r="V322" s="23">
        <f t="shared" si="142"/>
        <v>1</v>
      </c>
      <c r="W322" s="23">
        <f t="shared" si="143"/>
        <v>0</v>
      </c>
      <c r="X322" s="23">
        <f t="shared" si="144"/>
        <v>0</v>
      </c>
      <c r="Y322" s="21">
        <f t="shared" si="145"/>
        <v>35.75</v>
      </c>
    </row>
    <row r="323" spans="1:25" x14ac:dyDescent="0.25">
      <c r="A323" s="20" t="s">
        <v>329</v>
      </c>
      <c r="B323" s="20" t="s">
        <v>330</v>
      </c>
      <c r="C323" s="20" t="s">
        <v>266</v>
      </c>
      <c r="D323" s="20"/>
      <c r="E323" s="20"/>
      <c r="F323" s="20"/>
      <c r="G323" s="20"/>
      <c r="H323" s="20"/>
      <c r="I323" s="20"/>
      <c r="J323" s="20"/>
      <c r="K323" s="20">
        <v>1</v>
      </c>
      <c r="L323" s="20"/>
      <c r="M323" s="20">
        <v>1</v>
      </c>
      <c r="N323" s="21">
        <v>39</v>
      </c>
      <c r="O323" s="20" t="s">
        <v>267</v>
      </c>
      <c r="P323" s="20">
        <f t="shared" si="136"/>
        <v>1</v>
      </c>
      <c r="Q323" s="20">
        <f t="shared" si="137"/>
        <v>0</v>
      </c>
      <c r="R323" s="20">
        <f t="shared" si="138"/>
        <v>0</v>
      </c>
      <c r="S323" s="20">
        <f t="shared" si="139"/>
        <v>0</v>
      </c>
      <c r="T323" s="20">
        <f t="shared" si="140"/>
        <v>1</v>
      </c>
      <c r="U323" s="23">
        <f t="shared" si="141"/>
        <v>1</v>
      </c>
      <c r="V323" s="23">
        <f t="shared" si="142"/>
        <v>0</v>
      </c>
      <c r="W323" s="23">
        <f t="shared" si="143"/>
        <v>0</v>
      </c>
      <c r="X323" s="23">
        <f t="shared" si="144"/>
        <v>0</v>
      </c>
      <c r="Y323" s="21">
        <f t="shared" si="145"/>
        <v>39</v>
      </c>
    </row>
    <row r="324" spans="1:25" x14ac:dyDescent="0.25">
      <c r="A324" s="20" t="s">
        <v>335</v>
      </c>
      <c r="B324" s="20" t="s">
        <v>336</v>
      </c>
      <c r="C324" s="20" t="s">
        <v>266</v>
      </c>
      <c r="D324" s="20"/>
      <c r="E324" s="20"/>
      <c r="F324" s="20"/>
      <c r="G324" s="20"/>
      <c r="H324" s="20">
        <v>1</v>
      </c>
      <c r="I324" s="20"/>
      <c r="J324" s="20"/>
      <c r="K324" s="20">
        <v>2</v>
      </c>
      <c r="L324" s="20"/>
      <c r="M324" s="20">
        <v>3</v>
      </c>
      <c r="N324" s="21">
        <v>38.666666666666664</v>
      </c>
      <c r="O324" s="20" t="s">
        <v>267</v>
      </c>
      <c r="P324" s="20">
        <f t="shared" si="136"/>
        <v>2</v>
      </c>
      <c r="Q324" s="20">
        <f t="shared" si="137"/>
        <v>1</v>
      </c>
      <c r="R324" s="20">
        <f t="shared" si="138"/>
        <v>0</v>
      </c>
      <c r="S324" s="20">
        <f t="shared" si="139"/>
        <v>0</v>
      </c>
      <c r="T324" s="20">
        <f t="shared" si="140"/>
        <v>3</v>
      </c>
      <c r="U324" s="23">
        <f t="shared" si="141"/>
        <v>0.66666666666666663</v>
      </c>
      <c r="V324" s="23">
        <f t="shared" si="142"/>
        <v>0.33333333333333331</v>
      </c>
      <c r="W324" s="23">
        <f t="shared" si="143"/>
        <v>0</v>
      </c>
      <c r="X324" s="23">
        <f t="shared" si="144"/>
        <v>0</v>
      </c>
      <c r="Y324" s="21">
        <f t="shared" si="145"/>
        <v>38.666666666666664</v>
      </c>
    </row>
    <row r="325" spans="1:25" x14ac:dyDescent="0.25">
      <c r="A325" s="18"/>
      <c r="B325" s="18"/>
      <c r="C325" s="26" t="s">
        <v>347</v>
      </c>
      <c r="D325" s="18"/>
      <c r="E325" s="18">
        <f>SUM(E311:E324)</f>
        <v>1</v>
      </c>
      <c r="F325" s="18">
        <f t="shared" ref="F325:M325" si="146">SUM(F311:F324)</f>
        <v>0</v>
      </c>
      <c r="G325" s="18">
        <f t="shared" si="146"/>
        <v>0</v>
      </c>
      <c r="H325" s="18">
        <f t="shared" si="146"/>
        <v>9</v>
      </c>
      <c r="I325" s="18">
        <f t="shared" si="146"/>
        <v>5</v>
      </c>
      <c r="J325" s="18">
        <f t="shared" si="146"/>
        <v>1</v>
      </c>
      <c r="K325" s="18">
        <f t="shared" si="146"/>
        <v>20</v>
      </c>
      <c r="L325" s="18">
        <f t="shared" si="146"/>
        <v>0</v>
      </c>
      <c r="M325" s="18">
        <f t="shared" si="146"/>
        <v>36</v>
      </c>
      <c r="N325" s="24">
        <f>AVERAGE(N311:N324)</f>
        <v>38.32261904761905</v>
      </c>
      <c r="O325" s="18"/>
      <c r="P325" s="20">
        <f t="shared" si="136"/>
        <v>20</v>
      </c>
      <c r="Q325" s="20">
        <f t="shared" si="137"/>
        <v>9</v>
      </c>
      <c r="R325" s="20">
        <f t="shared" si="138"/>
        <v>5</v>
      </c>
      <c r="S325" s="20">
        <f t="shared" si="139"/>
        <v>2</v>
      </c>
      <c r="T325" s="20">
        <f t="shared" si="140"/>
        <v>36</v>
      </c>
      <c r="U325" s="23">
        <f t="shared" si="141"/>
        <v>0.55555555555555558</v>
      </c>
      <c r="V325" s="23">
        <f t="shared" si="142"/>
        <v>0.25</v>
      </c>
      <c r="W325" s="23">
        <f t="shared" si="143"/>
        <v>0.1388888888888889</v>
      </c>
      <c r="X325" s="23">
        <f t="shared" si="144"/>
        <v>5.5555555555555552E-2</v>
      </c>
      <c r="Y325" s="21">
        <f t="shared" si="145"/>
        <v>38.32261904761905</v>
      </c>
    </row>
    <row r="327" spans="1:25" x14ac:dyDescent="0.25">
      <c r="A327" s="20" t="s">
        <v>273</v>
      </c>
      <c r="B327" s="20" t="s">
        <v>274</v>
      </c>
      <c r="C327" s="20" t="s">
        <v>141</v>
      </c>
      <c r="D327" s="20">
        <v>1</v>
      </c>
      <c r="E327" s="20"/>
      <c r="F327" s="20"/>
      <c r="G327" s="20">
        <v>1</v>
      </c>
      <c r="H327" s="20"/>
      <c r="I327" s="20">
        <v>1</v>
      </c>
      <c r="J327" s="20"/>
      <c r="K327" s="20">
        <v>10</v>
      </c>
      <c r="L327" s="20"/>
      <c r="M327" s="20">
        <v>12</v>
      </c>
      <c r="N327" s="21">
        <v>38.5</v>
      </c>
      <c r="O327" s="20" t="s">
        <v>267</v>
      </c>
      <c r="P327" s="20">
        <f t="shared" ref="P327:P335" si="147">K327</f>
        <v>10</v>
      </c>
      <c r="Q327" s="20">
        <f t="shared" ref="Q327:Q335" si="148">H327</f>
        <v>0</v>
      </c>
      <c r="R327" s="20">
        <f t="shared" ref="R327:R335" si="149">I327</f>
        <v>1</v>
      </c>
      <c r="S327" s="20">
        <f t="shared" ref="S327:S335" si="150">M327-SUM(P327:R327)</f>
        <v>1</v>
      </c>
      <c r="T327" s="20">
        <f t="shared" ref="T327:T335" si="151">SUM(P327:S327)</f>
        <v>12</v>
      </c>
      <c r="U327" s="23">
        <f t="shared" ref="U327:U335" si="152">P327/M327</f>
        <v>0.83333333333333337</v>
      </c>
      <c r="V327" s="23">
        <f t="shared" ref="V327:V335" si="153">Q327/M327</f>
        <v>0</v>
      </c>
      <c r="W327" s="23">
        <f t="shared" ref="W327:W335" si="154">R327/M327</f>
        <v>8.3333333333333329E-2</v>
      </c>
      <c r="X327" s="23">
        <f t="shared" ref="X327:X335" si="155">S327/M327</f>
        <v>8.3333333333333329E-2</v>
      </c>
      <c r="Y327" s="21">
        <f t="shared" ref="Y327:Y335" si="156">N327</f>
        <v>38.5</v>
      </c>
    </row>
    <row r="328" spans="1:25" x14ac:dyDescent="0.25">
      <c r="A328" s="20" t="s">
        <v>297</v>
      </c>
      <c r="B328" s="20" t="s">
        <v>298</v>
      </c>
      <c r="C328" s="20" t="s">
        <v>143</v>
      </c>
      <c r="D328" s="20">
        <v>1</v>
      </c>
      <c r="E328" s="20">
        <v>2</v>
      </c>
      <c r="F328" s="20">
        <v>5</v>
      </c>
      <c r="G328" s="20">
        <v>9</v>
      </c>
      <c r="H328" s="20">
        <v>6</v>
      </c>
      <c r="I328" s="20">
        <v>10</v>
      </c>
      <c r="J328" s="20">
        <v>3</v>
      </c>
      <c r="K328" s="20">
        <v>281</v>
      </c>
      <c r="L328" s="20">
        <v>1</v>
      </c>
      <c r="M328" s="20">
        <v>317</v>
      </c>
      <c r="N328" s="21">
        <v>38.5993690851735</v>
      </c>
      <c r="O328" s="20" t="s">
        <v>267</v>
      </c>
      <c r="P328" s="20">
        <f t="shared" si="147"/>
        <v>281</v>
      </c>
      <c r="Q328" s="20">
        <f t="shared" si="148"/>
        <v>6</v>
      </c>
      <c r="R328" s="20">
        <f t="shared" si="149"/>
        <v>10</v>
      </c>
      <c r="S328" s="20">
        <f t="shared" si="150"/>
        <v>20</v>
      </c>
      <c r="T328" s="20">
        <f t="shared" si="151"/>
        <v>317</v>
      </c>
      <c r="U328" s="23">
        <f t="shared" si="152"/>
        <v>0.88643533123028395</v>
      </c>
      <c r="V328" s="23">
        <f t="shared" si="153"/>
        <v>1.8927444794952682E-2</v>
      </c>
      <c r="W328" s="23">
        <f t="shared" si="154"/>
        <v>3.1545741324921134E-2</v>
      </c>
      <c r="X328" s="23">
        <f t="shared" si="155"/>
        <v>6.3091482649842268E-2</v>
      </c>
      <c r="Y328" s="21">
        <f t="shared" si="156"/>
        <v>38.5993690851735</v>
      </c>
    </row>
    <row r="329" spans="1:25" x14ac:dyDescent="0.25">
      <c r="A329" s="20" t="s">
        <v>297</v>
      </c>
      <c r="B329" s="20" t="s">
        <v>298</v>
      </c>
      <c r="C329" s="20" t="s">
        <v>143</v>
      </c>
      <c r="D329" s="20">
        <v>2</v>
      </c>
      <c r="E329" s="20"/>
      <c r="F329" s="20">
        <v>5</v>
      </c>
      <c r="G329" s="20">
        <v>2</v>
      </c>
      <c r="H329" s="20">
        <v>5</v>
      </c>
      <c r="I329" s="20">
        <v>20</v>
      </c>
      <c r="J329" s="20">
        <v>1</v>
      </c>
      <c r="K329" s="20">
        <v>285</v>
      </c>
      <c r="L329" s="20"/>
      <c r="M329" s="20">
        <v>318</v>
      </c>
      <c r="N329" s="21">
        <v>36.751572327044023</v>
      </c>
      <c r="O329" s="20" t="s">
        <v>267</v>
      </c>
      <c r="P329" s="20">
        <f t="shared" si="147"/>
        <v>285</v>
      </c>
      <c r="Q329" s="20">
        <f t="shared" si="148"/>
        <v>5</v>
      </c>
      <c r="R329" s="20">
        <f t="shared" si="149"/>
        <v>20</v>
      </c>
      <c r="S329" s="20">
        <f t="shared" si="150"/>
        <v>8</v>
      </c>
      <c r="T329" s="20">
        <f t="shared" si="151"/>
        <v>318</v>
      </c>
      <c r="U329" s="23">
        <f t="shared" si="152"/>
        <v>0.89622641509433965</v>
      </c>
      <c r="V329" s="23">
        <f t="shared" si="153"/>
        <v>1.5723270440251572E-2</v>
      </c>
      <c r="W329" s="23">
        <f t="shared" si="154"/>
        <v>6.2893081761006289E-2</v>
      </c>
      <c r="X329" s="23">
        <f t="shared" si="155"/>
        <v>2.5157232704402517E-2</v>
      </c>
      <c r="Y329" s="21">
        <f t="shared" si="156"/>
        <v>36.751572327044023</v>
      </c>
    </row>
    <row r="330" spans="1:25" x14ac:dyDescent="0.25">
      <c r="A330" s="20" t="s">
        <v>303</v>
      </c>
      <c r="B330" s="20" t="s">
        <v>304</v>
      </c>
      <c r="C330" s="20" t="s">
        <v>145</v>
      </c>
      <c r="D330" s="20">
        <v>1</v>
      </c>
      <c r="E330" s="20"/>
      <c r="F330" s="20">
        <v>1</v>
      </c>
      <c r="G330" s="20"/>
      <c r="H330" s="20"/>
      <c r="I330" s="20">
        <v>2</v>
      </c>
      <c r="J330" s="20"/>
      <c r="K330" s="20">
        <v>42</v>
      </c>
      <c r="L330" s="20"/>
      <c r="M330" s="20">
        <v>45</v>
      </c>
      <c r="N330" s="21">
        <v>35.155555555555559</v>
      </c>
      <c r="O330" s="20" t="s">
        <v>267</v>
      </c>
      <c r="P330" s="20">
        <f t="shared" si="147"/>
        <v>42</v>
      </c>
      <c r="Q330" s="20">
        <f t="shared" si="148"/>
        <v>0</v>
      </c>
      <c r="R330" s="20">
        <f t="shared" si="149"/>
        <v>2</v>
      </c>
      <c r="S330" s="20">
        <f t="shared" si="150"/>
        <v>1</v>
      </c>
      <c r="T330" s="20">
        <f t="shared" si="151"/>
        <v>45</v>
      </c>
      <c r="U330" s="23">
        <f t="shared" si="152"/>
        <v>0.93333333333333335</v>
      </c>
      <c r="V330" s="23">
        <f t="shared" si="153"/>
        <v>0</v>
      </c>
      <c r="W330" s="23">
        <f t="shared" si="154"/>
        <v>4.4444444444444446E-2</v>
      </c>
      <c r="X330" s="23">
        <f t="shared" si="155"/>
        <v>2.2222222222222223E-2</v>
      </c>
      <c r="Y330" s="21">
        <f t="shared" si="156"/>
        <v>35.155555555555559</v>
      </c>
    </row>
    <row r="331" spans="1:25" x14ac:dyDescent="0.25">
      <c r="A331" s="20" t="s">
        <v>315</v>
      </c>
      <c r="B331" s="20" t="s">
        <v>316</v>
      </c>
      <c r="C331" s="20" t="s">
        <v>146</v>
      </c>
      <c r="D331" s="20">
        <v>1</v>
      </c>
      <c r="E331" s="20">
        <v>7</v>
      </c>
      <c r="F331" s="20">
        <v>6</v>
      </c>
      <c r="G331" s="20">
        <v>12</v>
      </c>
      <c r="H331" s="20">
        <v>5</v>
      </c>
      <c r="I331" s="20">
        <v>12</v>
      </c>
      <c r="J331" s="20">
        <v>3</v>
      </c>
      <c r="K331" s="20">
        <v>360</v>
      </c>
      <c r="L331" s="20"/>
      <c r="M331" s="20">
        <v>405</v>
      </c>
      <c r="N331" s="21">
        <v>31.661728395061729</v>
      </c>
      <c r="O331" s="20" t="s">
        <v>267</v>
      </c>
      <c r="P331" s="20">
        <f t="shared" si="147"/>
        <v>360</v>
      </c>
      <c r="Q331" s="20">
        <f t="shared" si="148"/>
        <v>5</v>
      </c>
      <c r="R331" s="20">
        <f t="shared" si="149"/>
        <v>12</v>
      </c>
      <c r="S331" s="20">
        <f t="shared" si="150"/>
        <v>28</v>
      </c>
      <c r="T331" s="20">
        <f t="shared" si="151"/>
        <v>405</v>
      </c>
      <c r="U331" s="23">
        <f t="shared" si="152"/>
        <v>0.88888888888888884</v>
      </c>
      <c r="V331" s="23">
        <f t="shared" si="153"/>
        <v>1.2345679012345678E-2</v>
      </c>
      <c r="W331" s="23">
        <f t="shared" si="154"/>
        <v>2.9629629629629631E-2</v>
      </c>
      <c r="X331" s="23">
        <f t="shared" si="155"/>
        <v>6.9135802469135796E-2</v>
      </c>
      <c r="Y331" s="21">
        <f t="shared" si="156"/>
        <v>31.661728395061729</v>
      </c>
    </row>
    <row r="332" spans="1:25" x14ac:dyDescent="0.25">
      <c r="A332" s="20" t="s">
        <v>315</v>
      </c>
      <c r="B332" s="20" t="s">
        <v>316</v>
      </c>
      <c r="C332" s="20" t="s">
        <v>146</v>
      </c>
      <c r="D332" s="20">
        <v>2</v>
      </c>
      <c r="E332" s="20"/>
      <c r="F332" s="20">
        <v>1</v>
      </c>
      <c r="G332" s="20"/>
      <c r="H332" s="20"/>
      <c r="I332" s="20">
        <v>1</v>
      </c>
      <c r="J332" s="20"/>
      <c r="K332" s="20">
        <v>403</v>
      </c>
      <c r="L332" s="20"/>
      <c r="M332" s="20">
        <v>405</v>
      </c>
      <c r="N332" s="21">
        <v>31.886419753086418</v>
      </c>
      <c r="O332" s="20" t="s">
        <v>267</v>
      </c>
      <c r="P332" s="20">
        <f t="shared" si="147"/>
        <v>403</v>
      </c>
      <c r="Q332" s="20">
        <f t="shared" si="148"/>
        <v>0</v>
      </c>
      <c r="R332" s="20">
        <f t="shared" si="149"/>
        <v>1</v>
      </c>
      <c r="S332" s="20">
        <f t="shared" si="150"/>
        <v>1</v>
      </c>
      <c r="T332" s="20">
        <f t="shared" si="151"/>
        <v>405</v>
      </c>
      <c r="U332" s="23">
        <f t="shared" si="152"/>
        <v>0.99506172839506168</v>
      </c>
      <c r="V332" s="23">
        <f t="shared" si="153"/>
        <v>0</v>
      </c>
      <c r="W332" s="23">
        <f t="shared" si="154"/>
        <v>2.4691358024691358E-3</v>
      </c>
      <c r="X332" s="23">
        <f t="shared" si="155"/>
        <v>2.4691358024691358E-3</v>
      </c>
      <c r="Y332" s="21">
        <f t="shared" si="156"/>
        <v>31.886419753086418</v>
      </c>
    </row>
    <row r="333" spans="1:25" x14ac:dyDescent="0.25">
      <c r="A333" s="20" t="s">
        <v>315</v>
      </c>
      <c r="B333" s="20" t="s">
        <v>316</v>
      </c>
      <c r="C333" s="20" t="s">
        <v>146</v>
      </c>
      <c r="D333" s="20">
        <v>3</v>
      </c>
      <c r="E333" s="20">
        <v>2</v>
      </c>
      <c r="F333" s="20">
        <v>3</v>
      </c>
      <c r="G333" s="20">
        <v>12</v>
      </c>
      <c r="H333" s="20"/>
      <c r="I333" s="20">
        <v>8</v>
      </c>
      <c r="J333" s="20">
        <v>3</v>
      </c>
      <c r="K333" s="20">
        <v>377</v>
      </c>
      <c r="L333" s="20">
        <v>1</v>
      </c>
      <c r="M333" s="20">
        <v>406</v>
      </c>
      <c r="N333" s="21">
        <v>31.7807881773399</v>
      </c>
      <c r="O333" s="20" t="s">
        <v>267</v>
      </c>
      <c r="P333" s="20">
        <f t="shared" si="147"/>
        <v>377</v>
      </c>
      <c r="Q333" s="20">
        <f t="shared" si="148"/>
        <v>0</v>
      </c>
      <c r="R333" s="20">
        <f t="shared" si="149"/>
        <v>8</v>
      </c>
      <c r="S333" s="20">
        <f t="shared" si="150"/>
        <v>21</v>
      </c>
      <c r="T333" s="20">
        <f t="shared" si="151"/>
        <v>406</v>
      </c>
      <c r="U333" s="23">
        <f t="shared" si="152"/>
        <v>0.9285714285714286</v>
      </c>
      <c r="V333" s="23">
        <f t="shared" si="153"/>
        <v>0</v>
      </c>
      <c r="W333" s="23">
        <f t="shared" si="154"/>
        <v>1.9704433497536946E-2</v>
      </c>
      <c r="X333" s="23">
        <f t="shared" si="155"/>
        <v>5.1724137931034482E-2</v>
      </c>
      <c r="Y333" s="21">
        <f t="shared" si="156"/>
        <v>31.7807881773399</v>
      </c>
    </row>
    <row r="334" spans="1:25" x14ac:dyDescent="0.25">
      <c r="A334" s="20" t="s">
        <v>315</v>
      </c>
      <c r="B334" s="20" t="s">
        <v>316</v>
      </c>
      <c r="C334" s="20" t="s">
        <v>146</v>
      </c>
      <c r="D334" s="20">
        <v>4</v>
      </c>
      <c r="E334" s="20">
        <v>6</v>
      </c>
      <c r="F334" s="20">
        <v>4</v>
      </c>
      <c r="G334" s="20">
        <v>9</v>
      </c>
      <c r="H334" s="20">
        <v>1</v>
      </c>
      <c r="I334" s="20">
        <v>5</v>
      </c>
      <c r="J334" s="20">
        <v>1</v>
      </c>
      <c r="K334" s="20">
        <v>380</v>
      </c>
      <c r="L334" s="20"/>
      <c r="M334" s="20">
        <v>406</v>
      </c>
      <c r="N334" s="21">
        <v>34.238916256157637</v>
      </c>
      <c r="O334" s="20" t="s">
        <v>267</v>
      </c>
      <c r="P334" s="20">
        <f t="shared" si="147"/>
        <v>380</v>
      </c>
      <c r="Q334" s="20">
        <f t="shared" si="148"/>
        <v>1</v>
      </c>
      <c r="R334" s="20">
        <f t="shared" si="149"/>
        <v>5</v>
      </c>
      <c r="S334" s="20">
        <f t="shared" si="150"/>
        <v>20</v>
      </c>
      <c r="T334" s="20">
        <f t="shared" si="151"/>
        <v>406</v>
      </c>
      <c r="U334" s="23">
        <f t="shared" si="152"/>
        <v>0.93596059113300489</v>
      </c>
      <c r="V334" s="23">
        <f t="shared" si="153"/>
        <v>2.4630541871921183E-3</v>
      </c>
      <c r="W334" s="23">
        <f t="shared" si="154"/>
        <v>1.2315270935960592E-2</v>
      </c>
      <c r="X334" s="23">
        <f t="shared" si="155"/>
        <v>4.9261083743842367E-2</v>
      </c>
      <c r="Y334" s="21">
        <f t="shared" si="156"/>
        <v>34.238916256157637</v>
      </c>
    </row>
    <row r="335" spans="1:25" x14ac:dyDescent="0.25">
      <c r="A335" s="20" t="s">
        <v>317</v>
      </c>
      <c r="B335" s="20" t="s">
        <v>318</v>
      </c>
      <c r="C335" s="20" t="s">
        <v>148</v>
      </c>
      <c r="D335" s="20">
        <v>1</v>
      </c>
      <c r="E335" s="20"/>
      <c r="F335" s="20">
        <v>1</v>
      </c>
      <c r="G335" s="20"/>
      <c r="H335" s="20"/>
      <c r="I335" s="20"/>
      <c r="J335" s="20"/>
      <c r="K335" s="20">
        <v>22</v>
      </c>
      <c r="L335" s="20"/>
      <c r="M335" s="20">
        <v>23</v>
      </c>
      <c r="N335" s="21">
        <v>35.652173913043477</v>
      </c>
      <c r="O335" s="20" t="s">
        <v>267</v>
      </c>
      <c r="P335" s="20">
        <f t="shared" si="147"/>
        <v>22</v>
      </c>
      <c r="Q335" s="20">
        <f t="shared" si="148"/>
        <v>0</v>
      </c>
      <c r="R335" s="20">
        <f t="shared" si="149"/>
        <v>0</v>
      </c>
      <c r="S335" s="20">
        <f t="shared" si="150"/>
        <v>1</v>
      </c>
      <c r="T335" s="20">
        <f t="shared" si="151"/>
        <v>23</v>
      </c>
      <c r="U335" s="23">
        <f t="shared" si="152"/>
        <v>0.95652173913043481</v>
      </c>
      <c r="V335" s="23">
        <f t="shared" si="153"/>
        <v>0</v>
      </c>
      <c r="W335" s="23">
        <f t="shared" si="154"/>
        <v>0</v>
      </c>
      <c r="X335" s="23">
        <f t="shared" si="155"/>
        <v>4.3478260869565216E-2</v>
      </c>
      <c r="Y335" s="21">
        <f t="shared" si="156"/>
        <v>35.652173913043477</v>
      </c>
    </row>
  </sheetData>
  <autoFilter ref="A1:Y309" xr:uid="{B3FB2FD5-ADEE-4862-8CD1-D2CDBC2004C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A2" sqref="A2:K19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5" customHeight="1" x14ac:dyDescent="0.25">
      <c r="A4" s="42"/>
      <c r="B4" s="45"/>
      <c r="C4" s="45"/>
      <c r="D4" s="48"/>
      <c r="E4" s="51"/>
      <c r="F4" s="2" t="s">
        <v>133</v>
      </c>
      <c r="G4" s="2" t="s">
        <v>134</v>
      </c>
      <c r="H4" s="2" t="s">
        <v>135</v>
      </c>
      <c r="I4" s="59"/>
      <c r="J4" s="57"/>
      <c r="K4" s="51"/>
    </row>
    <row r="5" spans="1:11" ht="19.2" customHeight="1" x14ac:dyDescent="0.25">
      <c r="A5" s="3">
        <v>1</v>
      </c>
      <c r="B5" s="60" t="s">
        <v>13</v>
      </c>
      <c r="C5" s="61"/>
      <c r="D5" s="2"/>
      <c r="E5" s="5">
        <v>2119</v>
      </c>
      <c r="F5" s="6">
        <v>541</v>
      </c>
      <c r="G5" s="6">
        <v>332</v>
      </c>
      <c r="H5" s="6">
        <v>860</v>
      </c>
      <c r="I5" s="7">
        <v>1733</v>
      </c>
      <c r="J5" s="6">
        <v>61</v>
      </c>
      <c r="K5" s="8">
        <v>325</v>
      </c>
    </row>
    <row r="6" spans="1:11" ht="18.75" customHeight="1" x14ac:dyDescent="0.25">
      <c r="A6" s="62" t="s">
        <v>14</v>
      </c>
      <c r="B6" s="63"/>
      <c r="C6" s="63"/>
      <c r="D6" s="63"/>
      <c r="E6" s="63"/>
      <c r="F6" s="63"/>
      <c r="G6" s="63"/>
      <c r="H6" s="63"/>
      <c r="I6" s="63"/>
      <c r="J6" s="63"/>
      <c r="K6" s="64"/>
    </row>
    <row r="7" spans="1:11" ht="23.7" customHeight="1" x14ac:dyDescent="0.25">
      <c r="A7" s="3">
        <v>2</v>
      </c>
      <c r="B7" s="9" t="s">
        <v>15</v>
      </c>
      <c r="C7" s="10" t="s">
        <v>16</v>
      </c>
      <c r="D7" s="11">
        <v>1</v>
      </c>
      <c r="E7" s="6">
        <v>10</v>
      </c>
      <c r="F7" s="6">
        <v>5</v>
      </c>
      <c r="G7" s="6">
        <v>3</v>
      </c>
      <c r="H7" s="6">
        <v>2</v>
      </c>
      <c r="I7" s="8">
        <v>10</v>
      </c>
      <c r="J7" s="6">
        <v>0</v>
      </c>
      <c r="K7" s="8">
        <v>0</v>
      </c>
    </row>
    <row r="8" spans="1:11" ht="17.25" customHeight="1" x14ac:dyDescent="0.25">
      <c r="A8" s="65">
        <v>3</v>
      </c>
      <c r="B8" s="67" t="s">
        <v>17</v>
      </c>
      <c r="C8" s="69" t="s">
        <v>18</v>
      </c>
      <c r="D8" s="11">
        <v>1</v>
      </c>
      <c r="E8" s="6">
        <v>296</v>
      </c>
      <c r="F8" s="6">
        <v>165</v>
      </c>
      <c r="G8" s="6">
        <v>114</v>
      </c>
      <c r="H8" s="6">
        <v>15</v>
      </c>
      <c r="I8" s="8">
        <v>294</v>
      </c>
      <c r="J8" s="6">
        <v>2</v>
      </c>
      <c r="K8" s="8">
        <v>0</v>
      </c>
    </row>
    <row r="9" spans="1:11" ht="17.25" customHeight="1" x14ac:dyDescent="0.25">
      <c r="A9" s="66"/>
      <c r="B9" s="68"/>
      <c r="C9" s="70"/>
      <c r="D9" s="11">
        <v>2</v>
      </c>
      <c r="E9" s="6">
        <v>300</v>
      </c>
      <c r="F9" s="6">
        <v>164</v>
      </c>
      <c r="G9" s="6">
        <v>115</v>
      </c>
      <c r="H9" s="6">
        <v>19</v>
      </c>
      <c r="I9" s="8">
        <v>298</v>
      </c>
      <c r="J9" s="6">
        <v>2</v>
      </c>
      <c r="K9" s="8">
        <v>0</v>
      </c>
    </row>
    <row r="10" spans="1:11" ht="32.700000000000003" customHeight="1" x14ac:dyDescent="0.25">
      <c r="A10" s="65">
        <v>4</v>
      </c>
      <c r="B10" s="72" t="s">
        <v>19</v>
      </c>
      <c r="C10" s="4" t="s">
        <v>20</v>
      </c>
      <c r="D10" s="11">
        <v>1</v>
      </c>
      <c r="E10" s="6">
        <v>37</v>
      </c>
      <c r="F10" s="6">
        <v>16</v>
      </c>
      <c r="G10" s="6">
        <v>19</v>
      </c>
      <c r="H10" s="6">
        <v>2</v>
      </c>
      <c r="I10" s="8">
        <v>37</v>
      </c>
      <c r="J10" s="6">
        <v>0</v>
      </c>
      <c r="K10" s="8">
        <v>0</v>
      </c>
    </row>
    <row r="11" spans="1:11" ht="17.25" customHeight="1" x14ac:dyDescent="0.25">
      <c r="A11" s="71"/>
      <c r="B11" s="73"/>
      <c r="C11" s="75" t="s">
        <v>21</v>
      </c>
      <c r="D11" s="11">
        <v>1</v>
      </c>
      <c r="E11" s="6">
        <v>316</v>
      </c>
      <c r="F11" s="6">
        <v>126</v>
      </c>
      <c r="G11" s="6">
        <v>156</v>
      </c>
      <c r="H11" s="6">
        <v>28</v>
      </c>
      <c r="I11" s="8">
        <v>310</v>
      </c>
      <c r="J11" s="6">
        <v>6</v>
      </c>
      <c r="K11" s="8">
        <v>0</v>
      </c>
    </row>
    <row r="12" spans="1:11" ht="17.25" customHeight="1" x14ac:dyDescent="0.25">
      <c r="A12" s="71"/>
      <c r="B12" s="73"/>
      <c r="C12" s="76"/>
      <c r="D12" s="11">
        <v>2</v>
      </c>
      <c r="E12" s="6">
        <v>333</v>
      </c>
      <c r="F12" s="6">
        <v>151</v>
      </c>
      <c r="G12" s="6">
        <v>162</v>
      </c>
      <c r="H12" s="6">
        <v>12</v>
      </c>
      <c r="I12" s="8">
        <v>325</v>
      </c>
      <c r="J12" s="6">
        <v>8</v>
      </c>
      <c r="K12" s="8">
        <v>0</v>
      </c>
    </row>
    <row r="13" spans="1:11" ht="17.25" customHeight="1" x14ac:dyDescent="0.25">
      <c r="A13" s="71"/>
      <c r="B13" s="73"/>
      <c r="C13" s="76"/>
      <c r="D13" s="11">
        <v>3</v>
      </c>
      <c r="E13" s="6">
        <v>339</v>
      </c>
      <c r="F13" s="6">
        <v>160</v>
      </c>
      <c r="G13" s="6">
        <v>154</v>
      </c>
      <c r="H13" s="6">
        <v>25</v>
      </c>
      <c r="I13" s="8">
        <v>339</v>
      </c>
      <c r="J13" s="6">
        <v>0</v>
      </c>
      <c r="K13" s="8">
        <v>0</v>
      </c>
    </row>
    <row r="14" spans="1:11" ht="17.25" customHeight="1" x14ac:dyDescent="0.25">
      <c r="A14" s="66"/>
      <c r="B14" s="74"/>
      <c r="C14" s="77"/>
      <c r="D14" s="11">
        <v>4</v>
      </c>
      <c r="E14" s="6">
        <v>370</v>
      </c>
      <c r="F14" s="6">
        <v>153</v>
      </c>
      <c r="G14" s="6">
        <v>185</v>
      </c>
      <c r="H14" s="6">
        <v>29</v>
      </c>
      <c r="I14" s="8">
        <v>367</v>
      </c>
      <c r="J14" s="6">
        <v>3</v>
      </c>
      <c r="K14" s="8">
        <v>0</v>
      </c>
    </row>
    <row r="15" spans="1:11" ht="32.700000000000003" customHeight="1" x14ac:dyDescent="0.25">
      <c r="A15" s="12">
        <v>5</v>
      </c>
      <c r="B15" s="9" t="s">
        <v>22</v>
      </c>
      <c r="C15" s="4" t="s">
        <v>23</v>
      </c>
      <c r="D15" s="11">
        <v>1</v>
      </c>
      <c r="E15" s="6">
        <v>19</v>
      </c>
      <c r="F15" s="6">
        <v>16</v>
      </c>
      <c r="G15" s="6">
        <v>3</v>
      </c>
      <c r="H15" s="6">
        <v>0</v>
      </c>
      <c r="I15" s="8">
        <v>19</v>
      </c>
      <c r="J15" s="6">
        <v>0</v>
      </c>
      <c r="K15" s="8">
        <v>0</v>
      </c>
    </row>
    <row r="16" spans="1:11" ht="19.05" customHeight="1" x14ac:dyDescent="0.25">
      <c r="A16" s="62" t="s">
        <v>24</v>
      </c>
      <c r="B16" s="63"/>
      <c r="C16" s="63"/>
      <c r="D16" s="63"/>
      <c r="E16" s="63"/>
      <c r="F16" s="63"/>
      <c r="G16" s="63"/>
      <c r="H16" s="63"/>
      <c r="I16" s="63"/>
      <c r="J16" s="63"/>
      <c r="K16" s="64"/>
    </row>
    <row r="17" spans="1:11" ht="17.25" customHeight="1" x14ac:dyDescent="0.25">
      <c r="A17" s="65">
        <v>6</v>
      </c>
      <c r="B17" s="78" t="s">
        <v>25</v>
      </c>
      <c r="C17" s="69" t="s">
        <v>26</v>
      </c>
      <c r="D17" s="11">
        <v>1</v>
      </c>
      <c r="E17" s="6">
        <v>281</v>
      </c>
      <c r="F17" s="6">
        <v>165</v>
      </c>
      <c r="G17" s="6">
        <v>81</v>
      </c>
      <c r="H17" s="6">
        <v>33</v>
      </c>
      <c r="I17" s="8">
        <v>279</v>
      </c>
      <c r="J17" s="6">
        <v>2</v>
      </c>
      <c r="K17" s="8">
        <v>0</v>
      </c>
    </row>
    <row r="18" spans="1:11" ht="17.25" customHeight="1" x14ac:dyDescent="0.25">
      <c r="A18" s="71"/>
      <c r="B18" s="79"/>
      <c r="C18" s="81"/>
      <c r="D18" s="11">
        <v>2</v>
      </c>
      <c r="E18" s="6">
        <v>392</v>
      </c>
      <c r="F18" s="6">
        <v>139</v>
      </c>
      <c r="G18" s="6">
        <v>197</v>
      </c>
      <c r="H18" s="6">
        <v>51</v>
      </c>
      <c r="I18" s="8">
        <v>387</v>
      </c>
      <c r="J18" s="6">
        <v>5</v>
      </c>
      <c r="K18" s="8">
        <v>0</v>
      </c>
    </row>
    <row r="19" spans="1:11" ht="17.25" customHeight="1" x14ac:dyDescent="0.25">
      <c r="A19" s="66"/>
      <c r="B19" s="80"/>
      <c r="C19" s="70"/>
      <c r="D19" s="11">
        <v>3</v>
      </c>
      <c r="E19" s="6">
        <v>415</v>
      </c>
      <c r="F19" s="6">
        <v>124</v>
      </c>
      <c r="G19" s="6">
        <v>219</v>
      </c>
      <c r="H19" s="6">
        <v>72</v>
      </c>
      <c r="I19" s="8">
        <v>415</v>
      </c>
      <c r="J19" s="6">
        <v>0</v>
      </c>
      <c r="K19" s="8">
        <v>0</v>
      </c>
    </row>
    <row r="20" spans="1:11" ht="30" customHeight="1" x14ac:dyDescent="0.25"/>
    <row r="21" spans="1:11" ht="19.05" customHeight="1" x14ac:dyDescent="0.25"/>
    <row r="22" spans="1:11" ht="187.05" customHeight="1" x14ac:dyDescent="0.25"/>
    <row r="23" spans="1:11" ht="187.05" customHeight="1" x14ac:dyDescent="0.25"/>
    <row r="24" spans="1:11" ht="49.05" customHeight="1" x14ac:dyDescent="0.25"/>
    <row r="25" spans="1:11" ht="49.05" customHeight="1" x14ac:dyDescent="0.25"/>
  </sheetData>
  <mergeCells count="22">
    <mergeCell ref="A10:A14"/>
    <mergeCell ref="B10:B14"/>
    <mergeCell ref="C11:C14"/>
    <mergeCell ref="A16:K16"/>
    <mergeCell ref="A17:A19"/>
    <mergeCell ref="B17:B19"/>
    <mergeCell ref="C17:C19"/>
    <mergeCell ref="B5:C5"/>
    <mergeCell ref="A6:K6"/>
    <mergeCell ref="A8:A9"/>
    <mergeCell ref="B8:B9"/>
    <mergeCell ref="C8:C9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opLeftCell="A5" workbookViewId="0">
      <selection activeCell="A5" sqref="A5:K25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33203125" customWidth="1"/>
    <col min="7" max="7" width="19.5546875" customWidth="1"/>
    <col min="8" max="8" width="19.33203125" customWidth="1"/>
    <col min="9" max="9" width="13.109375" customWidth="1"/>
    <col min="10" max="10" width="12.88671875" customWidth="1"/>
    <col min="11" max="11" width="13.109375" customWidth="1"/>
  </cols>
  <sheetData>
    <row r="1" spans="1:11" ht="34.799999999999997" customHeight="1" x14ac:dyDescent="0.25">
      <c r="A1" s="37" t="s">
        <v>27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6</v>
      </c>
      <c r="B5" s="78" t="s">
        <v>25</v>
      </c>
      <c r="C5" s="82" t="s">
        <v>28</v>
      </c>
      <c r="D5" s="11">
        <v>1</v>
      </c>
      <c r="E5" s="11">
        <v>276</v>
      </c>
      <c r="F5" s="6">
        <v>62</v>
      </c>
      <c r="G5" s="6">
        <v>53</v>
      </c>
      <c r="H5" s="6">
        <v>153</v>
      </c>
      <c r="I5" s="8">
        <v>268</v>
      </c>
      <c r="J5" s="6">
        <v>8</v>
      </c>
      <c r="K5" s="8">
        <v>0</v>
      </c>
    </row>
    <row r="6" spans="1:11" ht="17.25" customHeight="1" x14ac:dyDescent="0.25">
      <c r="A6" s="71"/>
      <c r="B6" s="79"/>
      <c r="C6" s="83"/>
      <c r="D6" s="11">
        <v>2</v>
      </c>
      <c r="E6" s="11">
        <v>313</v>
      </c>
      <c r="F6" s="6">
        <v>59</v>
      </c>
      <c r="G6" s="6">
        <v>106</v>
      </c>
      <c r="H6" s="6">
        <v>147</v>
      </c>
      <c r="I6" s="8">
        <v>312</v>
      </c>
      <c r="J6" s="6">
        <v>1</v>
      </c>
      <c r="K6" s="8">
        <v>0</v>
      </c>
    </row>
    <row r="7" spans="1:11" ht="17.25" customHeight="1" x14ac:dyDescent="0.25">
      <c r="A7" s="71"/>
      <c r="B7" s="79"/>
      <c r="C7" s="83"/>
      <c r="D7" s="11">
        <v>3</v>
      </c>
      <c r="E7" s="11">
        <v>298</v>
      </c>
      <c r="F7" s="6">
        <v>44</v>
      </c>
      <c r="G7" s="6">
        <v>96</v>
      </c>
      <c r="H7" s="6">
        <v>158</v>
      </c>
      <c r="I7" s="8">
        <v>298</v>
      </c>
      <c r="J7" s="6">
        <v>0</v>
      </c>
      <c r="K7" s="8">
        <v>0</v>
      </c>
    </row>
    <row r="8" spans="1:11" ht="17.25" customHeight="1" x14ac:dyDescent="0.25">
      <c r="A8" s="71"/>
      <c r="B8" s="79"/>
      <c r="C8" s="83"/>
      <c r="D8" s="11">
        <v>4</v>
      </c>
      <c r="E8" s="11">
        <v>562</v>
      </c>
      <c r="F8" s="6">
        <v>60</v>
      </c>
      <c r="G8" s="6">
        <v>155</v>
      </c>
      <c r="H8" s="6">
        <v>343</v>
      </c>
      <c r="I8" s="8">
        <v>558</v>
      </c>
      <c r="J8" s="6">
        <v>4</v>
      </c>
      <c r="K8" s="8">
        <v>0</v>
      </c>
    </row>
    <row r="9" spans="1:11" ht="17.25" customHeight="1" x14ac:dyDescent="0.25">
      <c r="A9" s="71"/>
      <c r="B9" s="79"/>
      <c r="C9" s="83"/>
      <c r="D9" s="11">
        <v>5</v>
      </c>
      <c r="E9" s="11">
        <v>530</v>
      </c>
      <c r="F9" s="6">
        <v>53</v>
      </c>
      <c r="G9" s="6">
        <v>173</v>
      </c>
      <c r="H9" s="6">
        <v>302</v>
      </c>
      <c r="I9" s="8">
        <v>528</v>
      </c>
      <c r="J9" s="6">
        <v>2</v>
      </c>
      <c r="K9" s="8">
        <v>0</v>
      </c>
    </row>
    <row r="10" spans="1:11" ht="17.25" customHeight="1" x14ac:dyDescent="0.25">
      <c r="A10" s="71"/>
      <c r="B10" s="79"/>
      <c r="C10" s="83"/>
      <c r="D10" s="11">
        <v>6</v>
      </c>
      <c r="E10" s="11">
        <v>584</v>
      </c>
      <c r="F10" s="6">
        <v>60</v>
      </c>
      <c r="G10" s="6">
        <v>231</v>
      </c>
      <c r="H10" s="6">
        <v>292</v>
      </c>
      <c r="I10" s="8">
        <v>583</v>
      </c>
      <c r="J10" s="6">
        <v>1</v>
      </c>
      <c r="K10" s="8">
        <v>0</v>
      </c>
    </row>
    <row r="11" spans="1:11" ht="17.25" customHeight="1" x14ac:dyDescent="0.25">
      <c r="A11" s="71"/>
      <c r="B11" s="79"/>
      <c r="C11" s="84"/>
      <c r="D11" s="11">
        <v>7</v>
      </c>
      <c r="E11" s="11">
        <v>602</v>
      </c>
      <c r="F11" s="6">
        <v>55</v>
      </c>
      <c r="G11" s="6">
        <v>279</v>
      </c>
      <c r="H11" s="6">
        <v>266</v>
      </c>
      <c r="I11" s="8">
        <v>600</v>
      </c>
      <c r="J11" s="6">
        <v>2</v>
      </c>
      <c r="K11" s="8">
        <v>0</v>
      </c>
    </row>
    <row r="12" spans="1:11" ht="17.25" customHeight="1" x14ac:dyDescent="0.25">
      <c r="A12" s="71"/>
      <c r="B12" s="79"/>
      <c r="C12" s="69" t="s">
        <v>29</v>
      </c>
      <c r="D12" s="11">
        <v>1</v>
      </c>
      <c r="E12" s="11">
        <v>265</v>
      </c>
      <c r="F12" s="6">
        <v>158</v>
      </c>
      <c r="G12" s="6">
        <v>54</v>
      </c>
      <c r="H12" s="6">
        <v>44</v>
      </c>
      <c r="I12" s="8">
        <v>256</v>
      </c>
      <c r="J12" s="6">
        <v>9</v>
      </c>
      <c r="K12" s="8">
        <v>0</v>
      </c>
    </row>
    <row r="13" spans="1:11" ht="17.25" customHeight="1" x14ac:dyDescent="0.25">
      <c r="A13" s="71"/>
      <c r="B13" s="79"/>
      <c r="C13" s="81"/>
      <c r="D13" s="11">
        <v>2</v>
      </c>
      <c r="E13" s="11">
        <v>275</v>
      </c>
      <c r="F13" s="6">
        <v>125</v>
      </c>
      <c r="G13" s="6">
        <v>95</v>
      </c>
      <c r="H13" s="6">
        <v>51</v>
      </c>
      <c r="I13" s="8">
        <v>271</v>
      </c>
      <c r="J13" s="6">
        <v>4</v>
      </c>
      <c r="K13" s="8">
        <v>0</v>
      </c>
    </row>
    <row r="14" spans="1:11" ht="17.25" customHeight="1" x14ac:dyDescent="0.25">
      <c r="A14" s="71"/>
      <c r="B14" s="79"/>
      <c r="C14" s="70"/>
      <c r="D14" s="11">
        <v>3</v>
      </c>
      <c r="E14" s="11">
        <v>308</v>
      </c>
      <c r="F14" s="6">
        <v>117</v>
      </c>
      <c r="G14" s="6">
        <v>131</v>
      </c>
      <c r="H14" s="6">
        <v>59</v>
      </c>
      <c r="I14" s="8">
        <v>307</v>
      </c>
      <c r="J14" s="6">
        <v>1</v>
      </c>
      <c r="K14" s="8">
        <v>0</v>
      </c>
    </row>
    <row r="15" spans="1:11" ht="17.25" customHeight="1" x14ac:dyDescent="0.25">
      <c r="A15" s="71"/>
      <c r="B15" s="79"/>
      <c r="C15" s="82" t="s">
        <v>30</v>
      </c>
      <c r="D15" s="11">
        <v>1</v>
      </c>
      <c r="E15" s="11">
        <v>280</v>
      </c>
      <c r="F15" s="6">
        <v>85</v>
      </c>
      <c r="G15" s="6">
        <v>102</v>
      </c>
      <c r="H15" s="6">
        <v>91</v>
      </c>
      <c r="I15" s="8">
        <v>278</v>
      </c>
      <c r="J15" s="6">
        <v>2</v>
      </c>
      <c r="K15" s="8">
        <v>0</v>
      </c>
    </row>
    <row r="16" spans="1:11" ht="17.25" customHeight="1" x14ac:dyDescent="0.25">
      <c r="A16" s="71"/>
      <c r="B16" s="79"/>
      <c r="C16" s="83"/>
      <c r="D16" s="11">
        <v>2</v>
      </c>
      <c r="E16" s="11">
        <v>308</v>
      </c>
      <c r="F16" s="6">
        <v>92</v>
      </c>
      <c r="G16" s="6">
        <v>127</v>
      </c>
      <c r="H16" s="6">
        <v>85</v>
      </c>
      <c r="I16" s="8">
        <v>304</v>
      </c>
      <c r="J16" s="6">
        <v>4</v>
      </c>
      <c r="K16" s="8">
        <v>0</v>
      </c>
    </row>
    <row r="17" spans="1:11" ht="17.25" customHeight="1" x14ac:dyDescent="0.25">
      <c r="A17" s="71"/>
      <c r="B17" s="79"/>
      <c r="C17" s="83"/>
      <c r="D17" s="11">
        <v>3</v>
      </c>
      <c r="E17" s="11">
        <v>533</v>
      </c>
      <c r="F17" s="6">
        <v>108</v>
      </c>
      <c r="G17" s="6">
        <v>295</v>
      </c>
      <c r="H17" s="6">
        <v>128</v>
      </c>
      <c r="I17" s="8">
        <v>531</v>
      </c>
      <c r="J17" s="6">
        <v>2</v>
      </c>
      <c r="K17" s="8">
        <v>0</v>
      </c>
    </row>
    <row r="18" spans="1:11" ht="17.25" customHeight="1" x14ac:dyDescent="0.25">
      <c r="A18" s="71"/>
      <c r="B18" s="79"/>
      <c r="C18" s="83"/>
      <c r="D18" s="11">
        <v>4</v>
      </c>
      <c r="E18" s="11">
        <v>518</v>
      </c>
      <c r="F18" s="6">
        <v>104</v>
      </c>
      <c r="G18" s="6">
        <v>264</v>
      </c>
      <c r="H18" s="6">
        <v>149</v>
      </c>
      <c r="I18" s="8">
        <v>517</v>
      </c>
      <c r="J18" s="6">
        <v>1</v>
      </c>
      <c r="K18" s="8">
        <v>0</v>
      </c>
    </row>
    <row r="19" spans="1:11" ht="17.25" customHeight="1" x14ac:dyDescent="0.25">
      <c r="A19" s="71"/>
      <c r="B19" s="79"/>
      <c r="C19" s="83"/>
      <c r="D19" s="11">
        <v>5</v>
      </c>
      <c r="E19" s="11">
        <v>538</v>
      </c>
      <c r="F19" s="6">
        <v>95</v>
      </c>
      <c r="G19" s="6">
        <v>231</v>
      </c>
      <c r="H19" s="6">
        <v>211</v>
      </c>
      <c r="I19" s="8">
        <v>537</v>
      </c>
      <c r="J19" s="6">
        <v>1</v>
      </c>
      <c r="K19" s="8">
        <v>0</v>
      </c>
    </row>
    <row r="20" spans="1:11" ht="17.25" customHeight="1" x14ac:dyDescent="0.25">
      <c r="A20" s="71"/>
      <c r="B20" s="79"/>
      <c r="C20" s="84"/>
      <c r="D20" s="11">
        <v>6</v>
      </c>
      <c r="E20" s="11">
        <v>575</v>
      </c>
      <c r="F20" s="6">
        <v>89</v>
      </c>
      <c r="G20" s="6">
        <v>277</v>
      </c>
      <c r="H20" s="6">
        <v>209</v>
      </c>
      <c r="I20" s="8">
        <v>575</v>
      </c>
      <c r="J20" s="6">
        <v>0</v>
      </c>
      <c r="K20" s="8">
        <v>0</v>
      </c>
    </row>
    <row r="21" spans="1:11" ht="17.25" customHeight="1" x14ac:dyDescent="0.25">
      <c r="A21" s="71"/>
      <c r="B21" s="79"/>
      <c r="C21" s="69" t="s">
        <v>31</v>
      </c>
      <c r="D21" s="11">
        <v>1</v>
      </c>
      <c r="E21" s="11">
        <v>315</v>
      </c>
      <c r="F21" s="6">
        <v>91</v>
      </c>
      <c r="G21" s="6">
        <v>138</v>
      </c>
      <c r="H21" s="6">
        <v>84</v>
      </c>
      <c r="I21" s="8">
        <v>313</v>
      </c>
      <c r="J21" s="6">
        <v>2</v>
      </c>
      <c r="K21" s="8">
        <v>0</v>
      </c>
    </row>
    <row r="22" spans="1:11" ht="17.25" customHeight="1" x14ac:dyDescent="0.25">
      <c r="A22" s="71"/>
      <c r="B22" s="79"/>
      <c r="C22" s="81"/>
      <c r="D22" s="11">
        <v>2</v>
      </c>
      <c r="E22" s="11">
        <v>319</v>
      </c>
      <c r="F22" s="6">
        <v>71</v>
      </c>
      <c r="G22" s="6">
        <v>163</v>
      </c>
      <c r="H22" s="6">
        <v>84</v>
      </c>
      <c r="I22" s="8">
        <v>318</v>
      </c>
      <c r="J22" s="6">
        <v>1</v>
      </c>
      <c r="K22" s="8">
        <v>0</v>
      </c>
    </row>
    <row r="23" spans="1:11" ht="17.25" customHeight="1" x14ac:dyDescent="0.25">
      <c r="A23" s="71"/>
      <c r="B23" s="79"/>
      <c r="C23" s="81"/>
      <c r="D23" s="11">
        <v>3</v>
      </c>
      <c r="E23" s="11">
        <v>509</v>
      </c>
      <c r="F23" s="6">
        <v>105</v>
      </c>
      <c r="G23" s="6">
        <v>236</v>
      </c>
      <c r="H23" s="6">
        <v>164</v>
      </c>
      <c r="I23" s="8">
        <v>505</v>
      </c>
      <c r="J23" s="6">
        <v>4</v>
      </c>
      <c r="K23" s="8">
        <v>0</v>
      </c>
    </row>
    <row r="24" spans="1:11" ht="17.25" customHeight="1" x14ac:dyDescent="0.25">
      <c r="A24" s="71"/>
      <c r="B24" s="79"/>
      <c r="C24" s="81"/>
      <c r="D24" s="11">
        <v>4</v>
      </c>
      <c r="E24" s="11">
        <v>520</v>
      </c>
      <c r="F24" s="6">
        <v>63</v>
      </c>
      <c r="G24" s="6">
        <v>214</v>
      </c>
      <c r="H24" s="6">
        <v>243</v>
      </c>
      <c r="I24" s="8">
        <v>520</v>
      </c>
      <c r="J24" s="6">
        <v>0</v>
      </c>
      <c r="K24" s="8">
        <v>0</v>
      </c>
    </row>
    <row r="25" spans="1:11" ht="17.25" customHeight="1" x14ac:dyDescent="0.25">
      <c r="A25" s="66"/>
      <c r="B25" s="80"/>
      <c r="C25" s="70"/>
      <c r="D25" s="11">
        <v>5</v>
      </c>
      <c r="E25" s="11">
        <v>535</v>
      </c>
      <c r="F25" s="6">
        <v>63</v>
      </c>
      <c r="G25" s="6">
        <v>274</v>
      </c>
      <c r="H25" s="6">
        <v>196</v>
      </c>
      <c r="I25" s="8">
        <v>533</v>
      </c>
      <c r="J25" s="6">
        <v>2</v>
      </c>
      <c r="K25" s="8">
        <v>0</v>
      </c>
    </row>
    <row r="26" spans="1:11" ht="30" customHeight="1" x14ac:dyDescent="0.25"/>
    <row r="27" spans="1:11" ht="342" customHeight="1" x14ac:dyDescent="0.25"/>
    <row r="28" spans="1:11" ht="342" customHeight="1" x14ac:dyDescent="0.25"/>
  </sheetData>
  <mergeCells count="16">
    <mergeCell ref="A5:A25"/>
    <mergeCell ref="B5:B25"/>
    <mergeCell ref="C5:C11"/>
    <mergeCell ref="C12:C14"/>
    <mergeCell ref="C15:C20"/>
    <mergeCell ref="C21:C25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topLeftCell="A5" workbookViewId="0">
      <selection activeCell="A5" sqref="A5:K23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32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7</v>
      </c>
      <c r="B5" s="75" t="s">
        <v>33</v>
      </c>
      <c r="C5" s="69" t="s">
        <v>34</v>
      </c>
      <c r="D5" s="11">
        <v>1</v>
      </c>
      <c r="E5" s="11">
        <v>284</v>
      </c>
      <c r="F5" s="6">
        <v>157</v>
      </c>
      <c r="G5" s="6">
        <v>54</v>
      </c>
      <c r="H5" s="6">
        <v>61</v>
      </c>
      <c r="I5" s="8">
        <v>272</v>
      </c>
      <c r="J5" s="6">
        <v>12</v>
      </c>
      <c r="K5" s="8">
        <v>0</v>
      </c>
    </row>
    <row r="6" spans="1:11" ht="17.25" customHeight="1" x14ac:dyDescent="0.25">
      <c r="A6" s="71"/>
      <c r="B6" s="76"/>
      <c r="C6" s="81"/>
      <c r="D6" s="11">
        <v>2</v>
      </c>
      <c r="E6" s="11">
        <v>320</v>
      </c>
      <c r="F6" s="6">
        <v>125</v>
      </c>
      <c r="G6" s="6">
        <v>94</v>
      </c>
      <c r="H6" s="6">
        <v>97</v>
      </c>
      <c r="I6" s="8">
        <v>316</v>
      </c>
      <c r="J6" s="6">
        <v>4</v>
      </c>
      <c r="K6" s="8">
        <v>0</v>
      </c>
    </row>
    <row r="7" spans="1:11" ht="17.25" customHeight="1" x14ac:dyDescent="0.25">
      <c r="A7" s="71"/>
      <c r="B7" s="76"/>
      <c r="C7" s="81"/>
      <c r="D7" s="11">
        <v>3</v>
      </c>
      <c r="E7" s="11">
        <v>394</v>
      </c>
      <c r="F7" s="6">
        <v>154</v>
      </c>
      <c r="G7" s="6">
        <v>152</v>
      </c>
      <c r="H7" s="6">
        <v>87</v>
      </c>
      <c r="I7" s="8">
        <v>393</v>
      </c>
      <c r="J7" s="6">
        <v>1</v>
      </c>
      <c r="K7" s="8">
        <v>0</v>
      </c>
    </row>
    <row r="8" spans="1:11" ht="17.25" customHeight="1" x14ac:dyDescent="0.25">
      <c r="A8" s="71"/>
      <c r="B8" s="76"/>
      <c r="C8" s="81"/>
      <c r="D8" s="11">
        <v>4</v>
      </c>
      <c r="E8" s="11">
        <v>398</v>
      </c>
      <c r="F8" s="6">
        <v>137</v>
      </c>
      <c r="G8" s="6">
        <v>174</v>
      </c>
      <c r="H8" s="6">
        <v>84</v>
      </c>
      <c r="I8" s="8">
        <v>395</v>
      </c>
      <c r="J8" s="6">
        <v>3</v>
      </c>
      <c r="K8" s="8">
        <v>0</v>
      </c>
    </row>
    <row r="9" spans="1:11" ht="17.25" customHeight="1" x14ac:dyDescent="0.25">
      <c r="A9" s="66"/>
      <c r="B9" s="77"/>
      <c r="C9" s="70"/>
      <c r="D9" s="11">
        <v>5</v>
      </c>
      <c r="E9" s="11">
        <v>428</v>
      </c>
      <c r="F9" s="6">
        <v>148</v>
      </c>
      <c r="G9" s="6">
        <v>186</v>
      </c>
      <c r="H9" s="6">
        <v>93</v>
      </c>
      <c r="I9" s="8">
        <v>427</v>
      </c>
      <c r="J9" s="6">
        <v>1</v>
      </c>
      <c r="K9" s="8">
        <v>0</v>
      </c>
    </row>
    <row r="10" spans="1:11" ht="17.25" customHeight="1" x14ac:dyDescent="0.25">
      <c r="A10" s="65">
        <v>8</v>
      </c>
      <c r="B10" s="78" t="s">
        <v>35</v>
      </c>
      <c r="C10" s="82" t="s">
        <v>36</v>
      </c>
      <c r="D10" s="11">
        <v>1</v>
      </c>
      <c r="E10" s="11">
        <v>223</v>
      </c>
      <c r="F10" s="6">
        <v>95</v>
      </c>
      <c r="G10" s="6">
        <v>17</v>
      </c>
      <c r="H10" s="6">
        <v>105</v>
      </c>
      <c r="I10" s="8">
        <v>217</v>
      </c>
      <c r="J10" s="6">
        <v>6</v>
      </c>
      <c r="K10" s="8">
        <v>0</v>
      </c>
    </row>
    <row r="11" spans="1:11" ht="17.25" customHeight="1" x14ac:dyDescent="0.25">
      <c r="A11" s="71"/>
      <c r="B11" s="79"/>
      <c r="C11" s="83"/>
      <c r="D11" s="11">
        <v>2</v>
      </c>
      <c r="E11" s="11">
        <v>276</v>
      </c>
      <c r="F11" s="6">
        <v>118</v>
      </c>
      <c r="G11" s="6">
        <v>25</v>
      </c>
      <c r="H11" s="6">
        <v>118</v>
      </c>
      <c r="I11" s="8">
        <v>261</v>
      </c>
      <c r="J11" s="6">
        <v>15</v>
      </c>
      <c r="K11" s="8">
        <v>0</v>
      </c>
    </row>
    <row r="12" spans="1:11" ht="17.25" customHeight="1" x14ac:dyDescent="0.25">
      <c r="A12" s="71"/>
      <c r="B12" s="79"/>
      <c r="C12" s="83"/>
      <c r="D12" s="11">
        <v>3</v>
      </c>
      <c r="E12" s="11">
        <v>315</v>
      </c>
      <c r="F12" s="6">
        <v>134</v>
      </c>
      <c r="G12" s="6">
        <v>45</v>
      </c>
      <c r="H12" s="6">
        <v>129</v>
      </c>
      <c r="I12" s="8">
        <v>308</v>
      </c>
      <c r="J12" s="6">
        <v>7</v>
      </c>
      <c r="K12" s="8">
        <v>0</v>
      </c>
    </row>
    <row r="13" spans="1:11" ht="17.25" customHeight="1" x14ac:dyDescent="0.25">
      <c r="A13" s="71"/>
      <c r="B13" s="79"/>
      <c r="C13" s="83"/>
      <c r="D13" s="11">
        <v>4</v>
      </c>
      <c r="E13" s="11">
        <v>504</v>
      </c>
      <c r="F13" s="6">
        <v>145</v>
      </c>
      <c r="G13" s="6">
        <v>92</v>
      </c>
      <c r="H13" s="6">
        <v>260</v>
      </c>
      <c r="I13" s="8">
        <v>497</v>
      </c>
      <c r="J13" s="6">
        <v>7</v>
      </c>
      <c r="K13" s="8">
        <v>0</v>
      </c>
    </row>
    <row r="14" spans="1:11" ht="17.25" customHeight="1" x14ac:dyDescent="0.25">
      <c r="A14" s="71"/>
      <c r="B14" s="79"/>
      <c r="C14" s="83"/>
      <c r="D14" s="11">
        <v>5</v>
      </c>
      <c r="E14" s="11">
        <v>481</v>
      </c>
      <c r="F14" s="6">
        <v>153</v>
      </c>
      <c r="G14" s="6">
        <v>96</v>
      </c>
      <c r="H14" s="6">
        <v>231</v>
      </c>
      <c r="I14" s="8">
        <v>480</v>
      </c>
      <c r="J14" s="6">
        <v>1</v>
      </c>
      <c r="K14" s="8">
        <v>0</v>
      </c>
    </row>
    <row r="15" spans="1:11" ht="17.25" customHeight="1" x14ac:dyDescent="0.25">
      <c r="A15" s="71"/>
      <c r="B15" s="79"/>
      <c r="C15" s="83"/>
      <c r="D15" s="11">
        <v>6</v>
      </c>
      <c r="E15" s="11">
        <v>473</v>
      </c>
      <c r="F15" s="6">
        <v>120</v>
      </c>
      <c r="G15" s="6">
        <v>113</v>
      </c>
      <c r="H15" s="6">
        <v>237</v>
      </c>
      <c r="I15" s="8">
        <v>470</v>
      </c>
      <c r="J15" s="6">
        <v>3</v>
      </c>
      <c r="K15" s="8">
        <v>0</v>
      </c>
    </row>
    <row r="16" spans="1:11" ht="17.25" customHeight="1" x14ac:dyDescent="0.25">
      <c r="A16" s="71"/>
      <c r="B16" s="79"/>
      <c r="C16" s="84"/>
      <c r="D16" s="11">
        <v>7</v>
      </c>
      <c r="E16" s="11">
        <v>482</v>
      </c>
      <c r="F16" s="6">
        <v>118</v>
      </c>
      <c r="G16" s="6">
        <v>117</v>
      </c>
      <c r="H16" s="6">
        <v>245</v>
      </c>
      <c r="I16" s="8">
        <v>480</v>
      </c>
      <c r="J16" s="6">
        <v>2</v>
      </c>
      <c r="K16" s="8">
        <v>0</v>
      </c>
    </row>
    <row r="17" spans="1:11" ht="17.25" customHeight="1" x14ac:dyDescent="0.25">
      <c r="A17" s="71"/>
      <c r="B17" s="79"/>
      <c r="C17" s="69" t="s">
        <v>37</v>
      </c>
      <c r="D17" s="11">
        <v>1</v>
      </c>
      <c r="E17" s="11">
        <v>254</v>
      </c>
      <c r="F17" s="6">
        <v>82</v>
      </c>
      <c r="G17" s="6">
        <v>68</v>
      </c>
      <c r="H17" s="6">
        <v>101</v>
      </c>
      <c r="I17" s="8">
        <v>251</v>
      </c>
      <c r="J17" s="6">
        <v>3</v>
      </c>
      <c r="K17" s="8">
        <v>0</v>
      </c>
    </row>
    <row r="18" spans="1:11" ht="17.25" customHeight="1" x14ac:dyDescent="0.25">
      <c r="A18" s="66"/>
      <c r="B18" s="80"/>
      <c r="C18" s="70"/>
      <c r="D18" s="11">
        <v>2</v>
      </c>
      <c r="E18" s="11">
        <v>328</v>
      </c>
      <c r="F18" s="6">
        <v>114</v>
      </c>
      <c r="G18" s="6">
        <v>136</v>
      </c>
      <c r="H18" s="6">
        <v>77</v>
      </c>
      <c r="I18" s="8">
        <v>327</v>
      </c>
      <c r="J18" s="6">
        <v>1</v>
      </c>
      <c r="K18" s="8">
        <v>0</v>
      </c>
    </row>
    <row r="19" spans="1:11" ht="17.25" customHeight="1" x14ac:dyDescent="0.25">
      <c r="A19" s="65">
        <v>9</v>
      </c>
      <c r="B19" s="78" t="s">
        <v>38</v>
      </c>
      <c r="C19" s="82" t="s">
        <v>39</v>
      </c>
      <c r="D19" s="11">
        <v>1</v>
      </c>
      <c r="E19" s="11">
        <v>238</v>
      </c>
      <c r="F19" s="6">
        <v>79</v>
      </c>
      <c r="G19" s="6">
        <v>17</v>
      </c>
      <c r="H19" s="6">
        <v>129</v>
      </c>
      <c r="I19" s="8">
        <v>225</v>
      </c>
      <c r="J19" s="6">
        <v>13</v>
      </c>
      <c r="K19" s="8">
        <v>0</v>
      </c>
    </row>
    <row r="20" spans="1:11" ht="17.25" customHeight="1" x14ac:dyDescent="0.25">
      <c r="A20" s="71"/>
      <c r="B20" s="79"/>
      <c r="C20" s="83"/>
      <c r="D20" s="11">
        <v>2</v>
      </c>
      <c r="E20" s="11">
        <v>304</v>
      </c>
      <c r="F20" s="6">
        <v>88</v>
      </c>
      <c r="G20" s="6">
        <v>46</v>
      </c>
      <c r="H20" s="6">
        <v>164</v>
      </c>
      <c r="I20" s="8">
        <v>298</v>
      </c>
      <c r="J20" s="6">
        <v>6</v>
      </c>
      <c r="K20" s="8">
        <v>0</v>
      </c>
    </row>
    <row r="21" spans="1:11" ht="17.25" customHeight="1" x14ac:dyDescent="0.25">
      <c r="A21" s="71"/>
      <c r="B21" s="79"/>
      <c r="C21" s="83"/>
      <c r="D21" s="11">
        <v>3</v>
      </c>
      <c r="E21" s="11">
        <v>338</v>
      </c>
      <c r="F21" s="6">
        <v>87</v>
      </c>
      <c r="G21" s="6">
        <v>69</v>
      </c>
      <c r="H21" s="6">
        <v>180</v>
      </c>
      <c r="I21" s="8">
        <v>336</v>
      </c>
      <c r="J21" s="6">
        <v>2</v>
      </c>
      <c r="K21" s="8">
        <v>0</v>
      </c>
    </row>
    <row r="22" spans="1:11" ht="17.25" customHeight="1" x14ac:dyDescent="0.25">
      <c r="A22" s="71"/>
      <c r="B22" s="79"/>
      <c r="C22" s="83"/>
      <c r="D22" s="11">
        <v>4</v>
      </c>
      <c r="E22" s="11">
        <v>312</v>
      </c>
      <c r="F22" s="6">
        <v>67</v>
      </c>
      <c r="G22" s="6">
        <v>55</v>
      </c>
      <c r="H22" s="6">
        <v>187</v>
      </c>
      <c r="I22" s="8">
        <v>309</v>
      </c>
      <c r="J22" s="6">
        <v>3</v>
      </c>
      <c r="K22" s="8">
        <v>0</v>
      </c>
    </row>
    <row r="23" spans="1:11" ht="17.25" customHeight="1" x14ac:dyDescent="0.25">
      <c r="A23" s="66"/>
      <c r="B23" s="80"/>
      <c r="C23" s="84"/>
      <c r="D23" s="11">
        <v>5</v>
      </c>
      <c r="E23" s="11">
        <v>314</v>
      </c>
      <c r="F23" s="6">
        <v>85</v>
      </c>
      <c r="G23" s="6">
        <v>79</v>
      </c>
      <c r="H23" s="6">
        <v>150</v>
      </c>
      <c r="I23" s="8">
        <v>314</v>
      </c>
      <c r="J23" s="6">
        <v>0</v>
      </c>
      <c r="K23" s="8">
        <v>0</v>
      </c>
    </row>
    <row r="24" spans="1:11" ht="30" customHeight="1" x14ac:dyDescent="0.25"/>
    <row r="25" spans="1:11" ht="310.05" customHeight="1" x14ac:dyDescent="0.25"/>
    <row r="26" spans="1:11" ht="310.05" customHeight="1" x14ac:dyDescent="0.25"/>
  </sheetData>
  <mergeCells count="20">
    <mergeCell ref="A19:A23"/>
    <mergeCell ref="B19:B23"/>
    <mergeCell ref="C19:C23"/>
    <mergeCell ref="A5:A9"/>
    <mergeCell ref="B5:B9"/>
    <mergeCell ref="C5:C9"/>
    <mergeCell ref="A10:A18"/>
    <mergeCell ref="B10:B18"/>
    <mergeCell ref="C10:C16"/>
    <mergeCell ref="C17:C18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topLeftCell="A5" workbookViewId="0">
      <selection activeCell="A5" sqref="A5:K21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40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9</v>
      </c>
      <c r="B5" s="78" t="s">
        <v>38</v>
      </c>
      <c r="C5" s="69" t="s">
        <v>41</v>
      </c>
      <c r="D5" s="11">
        <v>1</v>
      </c>
      <c r="E5" s="11">
        <v>282</v>
      </c>
      <c r="F5" s="6">
        <v>173</v>
      </c>
      <c r="G5" s="6">
        <v>58</v>
      </c>
      <c r="H5" s="6">
        <v>44</v>
      </c>
      <c r="I5" s="8">
        <v>275</v>
      </c>
      <c r="J5" s="6">
        <v>7</v>
      </c>
      <c r="K5" s="8">
        <v>0</v>
      </c>
    </row>
    <row r="6" spans="1:11" ht="17.25" customHeight="1" x14ac:dyDescent="0.25">
      <c r="A6" s="71"/>
      <c r="B6" s="79"/>
      <c r="C6" s="81"/>
      <c r="D6" s="11">
        <v>2</v>
      </c>
      <c r="E6" s="11">
        <v>299</v>
      </c>
      <c r="F6" s="6">
        <v>150</v>
      </c>
      <c r="G6" s="6">
        <v>93</v>
      </c>
      <c r="H6" s="6">
        <v>52</v>
      </c>
      <c r="I6" s="8">
        <v>295</v>
      </c>
      <c r="J6" s="6">
        <v>4</v>
      </c>
      <c r="K6" s="8">
        <v>0</v>
      </c>
    </row>
    <row r="7" spans="1:11" ht="17.25" customHeight="1" x14ac:dyDescent="0.25">
      <c r="A7" s="71"/>
      <c r="B7" s="79"/>
      <c r="C7" s="81"/>
      <c r="D7" s="11">
        <v>3</v>
      </c>
      <c r="E7" s="11">
        <v>365</v>
      </c>
      <c r="F7" s="6">
        <v>161</v>
      </c>
      <c r="G7" s="6">
        <v>124</v>
      </c>
      <c r="H7" s="6">
        <v>78</v>
      </c>
      <c r="I7" s="8">
        <v>363</v>
      </c>
      <c r="J7" s="6">
        <v>2</v>
      </c>
      <c r="K7" s="8">
        <v>0</v>
      </c>
    </row>
    <row r="8" spans="1:11" ht="17.25" customHeight="1" x14ac:dyDescent="0.25">
      <c r="A8" s="66"/>
      <c r="B8" s="80"/>
      <c r="C8" s="70"/>
      <c r="D8" s="11">
        <v>4</v>
      </c>
      <c r="E8" s="11">
        <v>387</v>
      </c>
      <c r="F8" s="6">
        <v>148</v>
      </c>
      <c r="G8" s="6">
        <v>121</v>
      </c>
      <c r="H8" s="6">
        <v>113</v>
      </c>
      <c r="I8" s="8">
        <v>382</v>
      </c>
      <c r="J8" s="6">
        <v>5</v>
      </c>
      <c r="K8" s="8">
        <v>0</v>
      </c>
    </row>
    <row r="9" spans="1:11" ht="17.25" customHeight="1" x14ac:dyDescent="0.25">
      <c r="A9" s="65">
        <v>10</v>
      </c>
      <c r="B9" s="72" t="s">
        <v>42</v>
      </c>
      <c r="C9" s="75" t="s">
        <v>43</v>
      </c>
      <c r="D9" s="11">
        <v>1</v>
      </c>
      <c r="E9" s="11">
        <v>237</v>
      </c>
      <c r="F9" s="6">
        <v>130</v>
      </c>
      <c r="G9" s="6">
        <v>41</v>
      </c>
      <c r="H9" s="6">
        <v>61</v>
      </c>
      <c r="I9" s="8">
        <v>232</v>
      </c>
      <c r="J9" s="6">
        <v>5</v>
      </c>
      <c r="K9" s="8">
        <v>0</v>
      </c>
    </row>
    <row r="10" spans="1:11" ht="17.25" customHeight="1" x14ac:dyDescent="0.25">
      <c r="A10" s="71"/>
      <c r="B10" s="73"/>
      <c r="C10" s="76"/>
      <c r="D10" s="11">
        <v>2</v>
      </c>
      <c r="E10" s="11">
        <v>298</v>
      </c>
      <c r="F10" s="6">
        <v>121</v>
      </c>
      <c r="G10" s="6">
        <v>63</v>
      </c>
      <c r="H10" s="6">
        <v>110</v>
      </c>
      <c r="I10" s="8">
        <v>294</v>
      </c>
      <c r="J10" s="6">
        <v>4</v>
      </c>
      <c r="K10" s="8">
        <v>0</v>
      </c>
    </row>
    <row r="11" spans="1:11" ht="17.25" customHeight="1" x14ac:dyDescent="0.25">
      <c r="A11" s="71"/>
      <c r="B11" s="73"/>
      <c r="C11" s="76"/>
      <c r="D11" s="11">
        <v>3</v>
      </c>
      <c r="E11" s="11">
        <v>469</v>
      </c>
      <c r="F11" s="6">
        <v>194</v>
      </c>
      <c r="G11" s="6">
        <v>143</v>
      </c>
      <c r="H11" s="6">
        <v>131</v>
      </c>
      <c r="I11" s="8">
        <v>468</v>
      </c>
      <c r="J11" s="6">
        <v>1</v>
      </c>
      <c r="K11" s="8">
        <v>0</v>
      </c>
    </row>
    <row r="12" spans="1:11" ht="17.25" customHeight="1" x14ac:dyDescent="0.25">
      <c r="A12" s="71"/>
      <c r="B12" s="73"/>
      <c r="C12" s="76"/>
      <c r="D12" s="11">
        <v>4</v>
      </c>
      <c r="E12" s="11">
        <v>451</v>
      </c>
      <c r="F12" s="6">
        <v>161</v>
      </c>
      <c r="G12" s="6">
        <v>162</v>
      </c>
      <c r="H12" s="6">
        <v>127</v>
      </c>
      <c r="I12" s="8">
        <v>450</v>
      </c>
      <c r="J12" s="6">
        <v>1</v>
      </c>
      <c r="K12" s="8">
        <v>0</v>
      </c>
    </row>
    <row r="13" spans="1:11" ht="17.25" customHeight="1" x14ac:dyDescent="0.25">
      <c r="A13" s="71"/>
      <c r="B13" s="73"/>
      <c r="C13" s="76"/>
      <c r="D13" s="11">
        <v>5</v>
      </c>
      <c r="E13" s="11">
        <v>448</v>
      </c>
      <c r="F13" s="6">
        <v>111</v>
      </c>
      <c r="G13" s="6">
        <v>169</v>
      </c>
      <c r="H13" s="6">
        <v>162</v>
      </c>
      <c r="I13" s="8">
        <v>442</v>
      </c>
      <c r="J13" s="6">
        <v>6</v>
      </c>
      <c r="K13" s="8">
        <v>0</v>
      </c>
    </row>
    <row r="14" spans="1:11" ht="17.25" customHeight="1" x14ac:dyDescent="0.25">
      <c r="A14" s="71"/>
      <c r="B14" s="73"/>
      <c r="C14" s="76"/>
      <c r="D14" s="11">
        <v>6</v>
      </c>
      <c r="E14" s="11">
        <v>461</v>
      </c>
      <c r="F14" s="6">
        <v>107</v>
      </c>
      <c r="G14" s="6">
        <v>212</v>
      </c>
      <c r="H14" s="6">
        <v>142</v>
      </c>
      <c r="I14" s="8">
        <v>461</v>
      </c>
      <c r="J14" s="6">
        <v>0</v>
      </c>
      <c r="K14" s="8">
        <v>0</v>
      </c>
    </row>
    <row r="15" spans="1:11" ht="17.25" customHeight="1" x14ac:dyDescent="0.25">
      <c r="A15" s="66"/>
      <c r="B15" s="74"/>
      <c r="C15" s="77"/>
      <c r="D15" s="11">
        <v>7</v>
      </c>
      <c r="E15" s="11">
        <v>479</v>
      </c>
      <c r="F15" s="6">
        <v>100</v>
      </c>
      <c r="G15" s="6">
        <v>271</v>
      </c>
      <c r="H15" s="6">
        <v>106</v>
      </c>
      <c r="I15" s="8">
        <v>477</v>
      </c>
      <c r="J15" s="6">
        <v>2</v>
      </c>
      <c r="K15" s="8">
        <v>0</v>
      </c>
    </row>
    <row r="16" spans="1:11" ht="17.25" customHeight="1" x14ac:dyDescent="0.25">
      <c r="A16" s="65">
        <v>11</v>
      </c>
      <c r="B16" s="85" t="s">
        <v>44</v>
      </c>
      <c r="C16" s="82" t="s">
        <v>45</v>
      </c>
      <c r="D16" s="11">
        <v>1</v>
      </c>
      <c r="E16" s="11">
        <v>276</v>
      </c>
      <c r="F16" s="6">
        <v>137</v>
      </c>
      <c r="G16" s="6">
        <v>44</v>
      </c>
      <c r="H16" s="6">
        <v>89</v>
      </c>
      <c r="I16" s="8">
        <v>270</v>
      </c>
      <c r="J16" s="6">
        <v>6</v>
      </c>
      <c r="K16" s="8">
        <v>0</v>
      </c>
    </row>
    <row r="17" spans="1:11" ht="17.25" customHeight="1" x14ac:dyDescent="0.25">
      <c r="A17" s="71"/>
      <c r="B17" s="86"/>
      <c r="C17" s="83"/>
      <c r="D17" s="11">
        <v>2</v>
      </c>
      <c r="E17" s="11">
        <v>326</v>
      </c>
      <c r="F17" s="6">
        <v>164</v>
      </c>
      <c r="G17" s="6">
        <v>71</v>
      </c>
      <c r="H17" s="6">
        <v>89</v>
      </c>
      <c r="I17" s="8">
        <v>324</v>
      </c>
      <c r="J17" s="6">
        <v>2</v>
      </c>
      <c r="K17" s="8">
        <v>0</v>
      </c>
    </row>
    <row r="18" spans="1:11" ht="17.25" customHeight="1" x14ac:dyDescent="0.25">
      <c r="A18" s="71"/>
      <c r="B18" s="86"/>
      <c r="C18" s="83"/>
      <c r="D18" s="11">
        <v>3</v>
      </c>
      <c r="E18" s="11">
        <v>592</v>
      </c>
      <c r="F18" s="6">
        <v>217</v>
      </c>
      <c r="G18" s="6">
        <v>230</v>
      </c>
      <c r="H18" s="6">
        <v>142</v>
      </c>
      <c r="I18" s="8">
        <v>589</v>
      </c>
      <c r="J18" s="6">
        <v>3</v>
      </c>
      <c r="K18" s="8">
        <v>0</v>
      </c>
    </row>
    <row r="19" spans="1:11" ht="17.25" customHeight="1" x14ac:dyDescent="0.25">
      <c r="A19" s="71"/>
      <c r="B19" s="86"/>
      <c r="C19" s="83"/>
      <c r="D19" s="11">
        <v>4</v>
      </c>
      <c r="E19" s="11">
        <v>548</v>
      </c>
      <c r="F19" s="6">
        <v>145</v>
      </c>
      <c r="G19" s="6">
        <v>206</v>
      </c>
      <c r="H19" s="6">
        <v>189</v>
      </c>
      <c r="I19" s="8">
        <v>540</v>
      </c>
      <c r="J19" s="6">
        <v>8</v>
      </c>
      <c r="K19" s="8">
        <v>0</v>
      </c>
    </row>
    <row r="20" spans="1:11" ht="17.25" customHeight="1" x14ac:dyDescent="0.25">
      <c r="A20" s="71"/>
      <c r="B20" s="86"/>
      <c r="C20" s="83"/>
      <c r="D20" s="11">
        <v>5</v>
      </c>
      <c r="E20" s="11">
        <v>550</v>
      </c>
      <c r="F20" s="6">
        <v>161</v>
      </c>
      <c r="G20" s="6">
        <v>250</v>
      </c>
      <c r="H20" s="6">
        <v>139</v>
      </c>
      <c r="I20" s="8">
        <v>550</v>
      </c>
      <c r="J20" s="6">
        <v>0</v>
      </c>
      <c r="K20" s="8">
        <v>0</v>
      </c>
    </row>
    <row r="21" spans="1:11" ht="17.25" customHeight="1" x14ac:dyDescent="0.25">
      <c r="A21" s="66"/>
      <c r="B21" s="87"/>
      <c r="C21" s="84"/>
      <c r="D21" s="11">
        <v>6</v>
      </c>
      <c r="E21" s="11">
        <v>572</v>
      </c>
      <c r="F21" s="6">
        <v>171</v>
      </c>
      <c r="G21" s="6">
        <v>293</v>
      </c>
      <c r="H21" s="6">
        <v>107</v>
      </c>
      <c r="I21" s="8">
        <v>571</v>
      </c>
      <c r="J21" s="6">
        <v>1</v>
      </c>
      <c r="K21" s="8">
        <v>0</v>
      </c>
    </row>
    <row r="22" spans="1:11" ht="30" customHeight="1" x14ac:dyDescent="0.25"/>
    <row r="23" spans="1:11" ht="277.05" customHeight="1" x14ac:dyDescent="0.25"/>
    <row r="24" spans="1:11" ht="277.05" customHeight="1" x14ac:dyDescent="0.25"/>
  </sheetData>
  <mergeCells count="19">
    <mergeCell ref="A16:A21"/>
    <mergeCell ref="B16:B21"/>
    <mergeCell ref="C16:C21"/>
    <mergeCell ref="A5:A8"/>
    <mergeCell ref="B5:B8"/>
    <mergeCell ref="C5:C8"/>
    <mergeCell ref="A9:A15"/>
    <mergeCell ref="B9:B15"/>
    <mergeCell ref="C9:C15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activeCell="A5" sqref="A5:K18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46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12</v>
      </c>
      <c r="B5" s="82" t="s">
        <v>47</v>
      </c>
      <c r="C5" s="75" t="s">
        <v>48</v>
      </c>
      <c r="D5" s="11">
        <v>1</v>
      </c>
      <c r="E5" s="11">
        <v>307</v>
      </c>
      <c r="F5" s="6">
        <v>51</v>
      </c>
      <c r="G5" s="6">
        <v>14</v>
      </c>
      <c r="H5" s="6">
        <v>239</v>
      </c>
      <c r="I5" s="8">
        <v>304</v>
      </c>
      <c r="J5" s="6">
        <v>3</v>
      </c>
      <c r="K5" s="8">
        <v>0</v>
      </c>
    </row>
    <row r="6" spans="1:11" ht="17.25" customHeight="1" x14ac:dyDescent="0.25">
      <c r="A6" s="71"/>
      <c r="B6" s="83"/>
      <c r="C6" s="76"/>
      <c r="D6" s="11">
        <v>2</v>
      </c>
      <c r="E6" s="11">
        <v>553</v>
      </c>
      <c r="F6" s="6">
        <v>77</v>
      </c>
      <c r="G6" s="6">
        <v>43</v>
      </c>
      <c r="H6" s="6">
        <v>431</v>
      </c>
      <c r="I6" s="8">
        <v>551</v>
      </c>
      <c r="J6" s="6">
        <v>2</v>
      </c>
      <c r="K6" s="8">
        <v>0</v>
      </c>
    </row>
    <row r="7" spans="1:11" ht="17.25" customHeight="1" x14ac:dyDescent="0.25">
      <c r="A7" s="71"/>
      <c r="B7" s="83"/>
      <c r="C7" s="76"/>
      <c r="D7" s="11">
        <v>3</v>
      </c>
      <c r="E7" s="11">
        <v>538</v>
      </c>
      <c r="F7" s="6">
        <v>51</v>
      </c>
      <c r="G7" s="6">
        <v>66</v>
      </c>
      <c r="H7" s="6">
        <v>418</v>
      </c>
      <c r="I7" s="8">
        <v>535</v>
      </c>
      <c r="J7" s="6">
        <v>3</v>
      </c>
      <c r="K7" s="8">
        <v>0</v>
      </c>
    </row>
    <row r="8" spans="1:11" ht="17.25" customHeight="1" x14ac:dyDescent="0.25">
      <c r="A8" s="71"/>
      <c r="B8" s="83"/>
      <c r="C8" s="76"/>
      <c r="D8" s="11">
        <v>4</v>
      </c>
      <c r="E8" s="11">
        <v>511</v>
      </c>
      <c r="F8" s="6">
        <v>43</v>
      </c>
      <c r="G8" s="6">
        <v>35</v>
      </c>
      <c r="H8" s="6">
        <v>431</v>
      </c>
      <c r="I8" s="8">
        <v>509</v>
      </c>
      <c r="J8" s="6">
        <v>2</v>
      </c>
      <c r="K8" s="8">
        <v>0</v>
      </c>
    </row>
    <row r="9" spans="1:11" ht="17.25" customHeight="1" x14ac:dyDescent="0.25">
      <c r="A9" s="71"/>
      <c r="B9" s="83"/>
      <c r="C9" s="77"/>
      <c r="D9" s="11">
        <v>5</v>
      </c>
      <c r="E9" s="11">
        <v>572</v>
      </c>
      <c r="F9" s="6">
        <v>51</v>
      </c>
      <c r="G9" s="6">
        <v>72</v>
      </c>
      <c r="H9" s="6">
        <v>448</v>
      </c>
      <c r="I9" s="8">
        <v>571</v>
      </c>
      <c r="J9" s="6">
        <v>1</v>
      </c>
      <c r="K9" s="8">
        <v>0</v>
      </c>
    </row>
    <row r="10" spans="1:11" ht="17.25" customHeight="1" x14ac:dyDescent="0.25">
      <c r="A10" s="71"/>
      <c r="B10" s="83"/>
      <c r="C10" s="88" t="s">
        <v>49</v>
      </c>
      <c r="D10" s="11">
        <v>1</v>
      </c>
      <c r="E10" s="11">
        <v>238</v>
      </c>
      <c r="F10" s="6">
        <v>30</v>
      </c>
      <c r="G10" s="6">
        <v>9</v>
      </c>
      <c r="H10" s="6">
        <v>194</v>
      </c>
      <c r="I10" s="8">
        <v>233</v>
      </c>
      <c r="J10" s="6">
        <v>5</v>
      </c>
      <c r="K10" s="8">
        <v>0</v>
      </c>
    </row>
    <row r="11" spans="1:11" ht="17.25" customHeight="1" x14ac:dyDescent="0.25">
      <c r="A11" s="71"/>
      <c r="B11" s="83"/>
      <c r="C11" s="89"/>
      <c r="D11" s="11">
        <v>2</v>
      </c>
      <c r="E11" s="11">
        <v>301</v>
      </c>
      <c r="F11" s="6">
        <v>54</v>
      </c>
      <c r="G11" s="6">
        <v>18</v>
      </c>
      <c r="H11" s="6">
        <v>226</v>
      </c>
      <c r="I11" s="8">
        <v>298</v>
      </c>
      <c r="J11" s="6">
        <v>3</v>
      </c>
      <c r="K11" s="8">
        <v>0</v>
      </c>
    </row>
    <row r="12" spans="1:11" ht="17.25" customHeight="1" x14ac:dyDescent="0.25">
      <c r="A12" s="71"/>
      <c r="B12" s="83"/>
      <c r="C12" s="89"/>
      <c r="D12" s="11">
        <v>3</v>
      </c>
      <c r="E12" s="11">
        <v>291</v>
      </c>
      <c r="F12" s="6">
        <v>36</v>
      </c>
      <c r="G12" s="6">
        <v>15</v>
      </c>
      <c r="H12" s="6">
        <v>239</v>
      </c>
      <c r="I12" s="8">
        <v>290</v>
      </c>
      <c r="J12" s="6">
        <v>1</v>
      </c>
      <c r="K12" s="8">
        <v>0</v>
      </c>
    </row>
    <row r="13" spans="1:11" ht="17.25" customHeight="1" x14ac:dyDescent="0.25">
      <c r="A13" s="71"/>
      <c r="B13" s="83"/>
      <c r="C13" s="89"/>
      <c r="D13" s="11">
        <v>4</v>
      </c>
      <c r="E13" s="11">
        <v>567</v>
      </c>
      <c r="F13" s="6">
        <v>44</v>
      </c>
      <c r="G13" s="6">
        <v>39</v>
      </c>
      <c r="H13" s="6">
        <v>481</v>
      </c>
      <c r="I13" s="8">
        <v>564</v>
      </c>
      <c r="J13" s="6">
        <v>3</v>
      </c>
      <c r="K13" s="8">
        <v>0</v>
      </c>
    </row>
    <row r="14" spans="1:11" ht="17.25" customHeight="1" x14ac:dyDescent="0.25">
      <c r="A14" s="71"/>
      <c r="B14" s="83"/>
      <c r="C14" s="89"/>
      <c r="D14" s="11">
        <v>5</v>
      </c>
      <c r="E14" s="11">
        <v>520</v>
      </c>
      <c r="F14" s="6">
        <v>55</v>
      </c>
      <c r="G14" s="6">
        <v>58</v>
      </c>
      <c r="H14" s="6">
        <v>405</v>
      </c>
      <c r="I14" s="8">
        <v>518</v>
      </c>
      <c r="J14" s="6">
        <v>2</v>
      </c>
      <c r="K14" s="8">
        <v>0</v>
      </c>
    </row>
    <row r="15" spans="1:11" ht="17.25" customHeight="1" x14ac:dyDescent="0.25">
      <c r="A15" s="71"/>
      <c r="B15" s="83"/>
      <c r="C15" s="89"/>
      <c r="D15" s="11">
        <v>6</v>
      </c>
      <c r="E15" s="11">
        <v>508</v>
      </c>
      <c r="F15" s="6">
        <v>59</v>
      </c>
      <c r="G15" s="6">
        <v>72</v>
      </c>
      <c r="H15" s="6">
        <v>373</v>
      </c>
      <c r="I15" s="8">
        <v>504</v>
      </c>
      <c r="J15" s="6">
        <v>4</v>
      </c>
      <c r="K15" s="8">
        <v>0</v>
      </c>
    </row>
    <row r="16" spans="1:11" ht="17.25" customHeight="1" x14ac:dyDescent="0.25">
      <c r="A16" s="71"/>
      <c r="B16" s="83"/>
      <c r="C16" s="89"/>
      <c r="D16" s="11">
        <v>7</v>
      </c>
      <c r="E16" s="11">
        <v>483</v>
      </c>
      <c r="F16" s="6">
        <v>56</v>
      </c>
      <c r="G16" s="6">
        <v>56</v>
      </c>
      <c r="H16" s="6">
        <v>370</v>
      </c>
      <c r="I16" s="8">
        <v>482</v>
      </c>
      <c r="J16" s="6">
        <v>1</v>
      </c>
      <c r="K16" s="8">
        <v>0</v>
      </c>
    </row>
    <row r="17" spans="1:11" ht="17.25" customHeight="1" x14ac:dyDescent="0.25">
      <c r="A17" s="71"/>
      <c r="B17" s="83"/>
      <c r="C17" s="89"/>
      <c r="D17" s="11">
        <v>8</v>
      </c>
      <c r="E17" s="11">
        <v>519</v>
      </c>
      <c r="F17" s="6">
        <v>56</v>
      </c>
      <c r="G17" s="6">
        <v>53</v>
      </c>
      <c r="H17" s="6">
        <v>408</v>
      </c>
      <c r="I17" s="8">
        <v>517</v>
      </c>
      <c r="J17" s="6">
        <v>2</v>
      </c>
      <c r="K17" s="8">
        <v>0</v>
      </c>
    </row>
    <row r="18" spans="1:11" ht="17.25" customHeight="1" x14ac:dyDescent="0.25">
      <c r="A18" s="66"/>
      <c r="B18" s="84"/>
      <c r="C18" s="90"/>
      <c r="D18" s="11">
        <v>9</v>
      </c>
      <c r="E18" s="11">
        <v>543</v>
      </c>
      <c r="F18" s="6">
        <v>40</v>
      </c>
      <c r="G18" s="6">
        <v>69</v>
      </c>
      <c r="H18" s="6">
        <v>434</v>
      </c>
      <c r="I18" s="8">
        <v>543</v>
      </c>
      <c r="J18" s="6">
        <v>0</v>
      </c>
      <c r="K18" s="8">
        <v>0</v>
      </c>
    </row>
    <row r="19" spans="1:11" ht="30" customHeight="1" x14ac:dyDescent="0.25"/>
    <row r="20" spans="1:11" ht="228" customHeight="1" x14ac:dyDescent="0.25"/>
    <row r="21" spans="1:11" ht="228" customHeight="1" x14ac:dyDescent="0.25"/>
  </sheetData>
  <mergeCells count="14">
    <mergeCell ref="A5:A18"/>
    <mergeCell ref="B5:B18"/>
    <mergeCell ref="C5:C9"/>
    <mergeCell ref="C10:C18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topLeftCell="A5" workbookViewId="0">
      <selection activeCell="A5" sqref="A5:K23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50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13</v>
      </c>
      <c r="B5" s="82" t="s">
        <v>51</v>
      </c>
      <c r="C5" s="82" t="s">
        <v>52</v>
      </c>
      <c r="D5" s="11">
        <v>1</v>
      </c>
      <c r="E5" s="11">
        <v>260</v>
      </c>
      <c r="F5" s="6">
        <v>28</v>
      </c>
      <c r="G5" s="6">
        <v>9</v>
      </c>
      <c r="H5" s="6">
        <v>220</v>
      </c>
      <c r="I5" s="8">
        <v>257</v>
      </c>
      <c r="J5" s="6">
        <v>3</v>
      </c>
      <c r="K5" s="8">
        <v>0</v>
      </c>
    </row>
    <row r="6" spans="1:11" ht="17.25" customHeight="1" x14ac:dyDescent="0.25">
      <c r="A6" s="71"/>
      <c r="B6" s="83"/>
      <c r="C6" s="83"/>
      <c r="D6" s="11">
        <v>2</v>
      </c>
      <c r="E6" s="11">
        <v>317</v>
      </c>
      <c r="F6" s="6">
        <v>52</v>
      </c>
      <c r="G6" s="6">
        <v>8</v>
      </c>
      <c r="H6" s="6">
        <v>254</v>
      </c>
      <c r="I6" s="8">
        <v>314</v>
      </c>
      <c r="J6" s="6">
        <v>3</v>
      </c>
      <c r="K6" s="8">
        <v>0</v>
      </c>
    </row>
    <row r="7" spans="1:11" ht="17.25" customHeight="1" x14ac:dyDescent="0.25">
      <c r="A7" s="71"/>
      <c r="B7" s="83"/>
      <c r="C7" s="83"/>
      <c r="D7" s="11">
        <v>3</v>
      </c>
      <c r="E7" s="11">
        <v>316</v>
      </c>
      <c r="F7" s="6">
        <v>19</v>
      </c>
      <c r="G7" s="6">
        <v>7</v>
      </c>
      <c r="H7" s="6">
        <v>281</v>
      </c>
      <c r="I7" s="8">
        <v>307</v>
      </c>
      <c r="J7" s="6">
        <v>9</v>
      </c>
      <c r="K7" s="8">
        <v>0</v>
      </c>
    </row>
    <row r="8" spans="1:11" ht="17.25" customHeight="1" x14ac:dyDescent="0.25">
      <c r="A8" s="71"/>
      <c r="B8" s="83"/>
      <c r="C8" s="83"/>
      <c r="D8" s="11">
        <v>4</v>
      </c>
      <c r="E8" s="11">
        <v>580</v>
      </c>
      <c r="F8" s="6">
        <v>37</v>
      </c>
      <c r="G8" s="6">
        <v>25</v>
      </c>
      <c r="H8" s="6">
        <v>512</v>
      </c>
      <c r="I8" s="8">
        <v>574</v>
      </c>
      <c r="J8" s="6">
        <v>6</v>
      </c>
      <c r="K8" s="8">
        <v>0</v>
      </c>
    </row>
    <row r="9" spans="1:11" ht="17.25" customHeight="1" x14ac:dyDescent="0.25">
      <c r="A9" s="71"/>
      <c r="B9" s="83"/>
      <c r="C9" s="83"/>
      <c r="D9" s="11">
        <v>5</v>
      </c>
      <c r="E9" s="11">
        <v>542</v>
      </c>
      <c r="F9" s="6">
        <v>41</v>
      </c>
      <c r="G9" s="6">
        <v>31</v>
      </c>
      <c r="H9" s="6">
        <v>469</v>
      </c>
      <c r="I9" s="8">
        <v>541</v>
      </c>
      <c r="J9" s="6">
        <v>1</v>
      </c>
      <c r="K9" s="8">
        <v>0</v>
      </c>
    </row>
    <row r="10" spans="1:11" ht="17.25" customHeight="1" x14ac:dyDescent="0.25">
      <c r="A10" s="71"/>
      <c r="B10" s="83"/>
      <c r="C10" s="83"/>
      <c r="D10" s="11">
        <v>6</v>
      </c>
      <c r="E10" s="11">
        <v>530</v>
      </c>
      <c r="F10" s="6">
        <v>40</v>
      </c>
      <c r="G10" s="6">
        <v>41</v>
      </c>
      <c r="H10" s="6">
        <v>449</v>
      </c>
      <c r="I10" s="8">
        <v>530</v>
      </c>
      <c r="J10" s="6">
        <v>0</v>
      </c>
      <c r="K10" s="8">
        <v>0</v>
      </c>
    </row>
    <row r="11" spans="1:11" ht="17.25" customHeight="1" x14ac:dyDescent="0.25">
      <c r="A11" s="71"/>
      <c r="B11" s="83"/>
      <c r="C11" s="83"/>
      <c r="D11" s="11">
        <v>7</v>
      </c>
      <c r="E11" s="11">
        <v>522</v>
      </c>
      <c r="F11" s="6">
        <v>40</v>
      </c>
      <c r="G11" s="6">
        <v>42</v>
      </c>
      <c r="H11" s="6">
        <v>440</v>
      </c>
      <c r="I11" s="8">
        <v>522</v>
      </c>
      <c r="J11" s="6">
        <v>0</v>
      </c>
      <c r="K11" s="8">
        <v>0</v>
      </c>
    </row>
    <row r="12" spans="1:11" ht="17.25" customHeight="1" x14ac:dyDescent="0.25">
      <c r="A12" s="71"/>
      <c r="B12" s="83"/>
      <c r="C12" s="84"/>
      <c r="D12" s="11">
        <v>8</v>
      </c>
      <c r="E12" s="11">
        <v>540</v>
      </c>
      <c r="F12" s="6">
        <v>43</v>
      </c>
      <c r="G12" s="6">
        <v>40</v>
      </c>
      <c r="H12" s="6">
        <v>457</v>
      </c>
      <c r="I12" s="8">
        <v>540</v>
      </c>
      <c r="J12" s="6">
        <v>0</v>
      </c>
      <c r="K12" s="8">
        <v>0</v>
      </c>
    </row>
    <row r="13" spans="1:11" ht="17.25" customHeight="1" x14ac:dyDescent="0.25">
      <c r="A13" s="71"/>
      <c r="B13" s="83"/>
      <c r="C13" s="69" t="s">
        <v>53</v>
      </c>
      <c r="D13" s="11">
        <v>1</v>
      </c>
      <c r="E13" s="11">
        <v>294</v>
      </c>
      <c r="F13" s="6">
        <v>53</v>
      </c>
      <c r="G13" s="6">
        <v>16</v>
      </c>
      <c r="H13" s="6">
        <v>217</v>
      </c>
      <c r="I13" s="8">
        <v>286</v>
      </c>
      <c r="J13" s="6">
        <v>8</v>
      </c>
      <c r="K13" s="8">
        <v>0</v>
      </c>
    </row>
    <row r="14" spans="1:11" ht="17.25" customHeight="1" x14ac:dyDescent="0.25">
      <c r="A14" s="71"/>
      <c r="B14" s="83"/>
      <c r="C14" s="81"/>
      <c r="D14" s="11">
        <v>2</v>
      </c>
      <c r="E14" s="11">
        <v>423</v>
      </c>
      <c r="F14" s="6">
        <v>71</v>
      </c>
      <c r="G14" s="6">
        <v>51</v>
      </c>
      <c r="H14" s="6">
        <v>299</v>
      </c>
      <c r="I14" s="8">
        <v>421</v>
      </c>
      <c r="J14" s="6">
        <v>2</v>
      </c>
      <c r="K14" s="8">
        <v>0</v>
      </c>
    </row>
    <row r="15" spans="1:11" ht="17.25" customHeight="1" x14ac:dyDescent="0.25">
      <c r="A15" s="71"/>
      <c r="B15" s="83"/>
      <c r="C15" s="70"/>
      <c r="D15" s="11">
        <v>3</v>
      </c>
      <c r="E15" s="11">
        <v>432</v>
      </c>
      <c r="F15" s="6">
        <v>37</v>
      </c>
      <c r="G15" s="6">
        <v>47</v>
      </c>
      <c r="H15" s="6">
        <v>347</v>
      </c>
      <c r="I15" s="8">
        <v>431</v>
      </c>
      <c r="J15" s="6">
        <v>1</v>
      </c>
      <c r="K15" s="8">
        <v>0</v>
      </c>
    </row>
    <row r="16" spans="1:11" ht="17.25" customHeight="1" x14ac:dyDescent="0.25">
      <c r="A16" s="71"/>
      <c r="B16" s="83"/>
      <c r="C16" s="82" t="s">
        <v>54</v>
      </c>
      <c r="D16" s="11">
        <v>1</v>
      </c>
      <c r="E16" s="11">
        <v>249</v>
      </c>
      <c r="F16" s="6">
        <v>11</v>
      </c>
      <c r="G16" s="6">
        <v>6</v>
      </c>
      <c r="H16" s="6">
        <v>227</v>
      </c>
      <c r="I16" s="8">
        <v>244</v>
      </c>
      <c r="J16" s="6">
        <v>5</v>
      </c>
      <c r="K16" s="8">
        <v>0</v>
      </c>
    </row>
    <row r="17" spans="1:11" ht="17.25" customHeight="1" x14ac:dyDescent="0.25">
      <c r="A17" s="71"/>
      <c r="B17" s="83"/>
      <c r="C17" s="83"/>
      <c r="D17" s="11">
        <v>2</v>
      </c>
      <c r="E17" s="11">
        <v>281</v>
      </c>
      <c r="F17" s="6">
        <v>18</v>
      </c>
      <c r="G17" s="6">
        <v>7</v>
      </c>
      <c r="H17" s="6">
        <v>254</v>
      </c>
      <c r="I17" s="8">
        <v>279</v>
      </c>
      <c r="J17" s="6">
        <v>2</v>
      </c>
      <c r="K17" s="8">
        <v>0</v>
      </c>
    </row>
    <row r="18" spans="1:11" ht="17.25" customHeight="1" x14ac:dyDescent="0.25">
      <c r="A18" s="71"/>
      <c r="B18" s="83"/>
      <c r="C18" s="83"/>
      <c r="D18" s="11">
        <v>3</v>
      </c>
      <c r="E18" s="11">
        <v>467</v>
      </c>
      <c r="F18" s="6">
        <v>16</v>
      </c>
      <c r="G18" s="6">
        <v>8</v>
      </c>
      <c r="H18" s="6">
        <v>442</v>
      </c>
      <c r="I18" s="8">
        <v>466</v>
      </c>
      <c r="J18" s="6">
        <v>1</v>
      </c>
      <c r="K18" s="8">
        <v>0</v>
      </c>
    </row>
    <row r="19" spans="1:11" ht="17.25" customHeight="1" x14ac:dyDescent="0.25">
      <c r="A19" s="66"/>
      <c r="B19" s="84"/>
      <c r="C19" s="84"/>
      <c r="D19" s="11">
        <v>4</v>
      </c>
      <c r="E19" s="11">
        <v>493</v>
      </c>
      <c r="F19" s="6">
        <v>16</v>
      </c>
      <c r="G19" s="6">
        <v>8</v>
      </c>
      <c r="H19" s="6">
        <v>469</v>
      </c>
      <c r="I19" s="8">
        <v>493</v>
      </c>
      <c r="J19" s="6">
        <v>0</v>
      </c>
      <c r="K19" s="8">
        <v>0</v>
      </c>
    </row>
    <row r="20" spans="1:11" ht="32.700000000000003" customHeight="1" x14ac:dyDescent="0.25">
      <c r="A20" s="12">
        <v>14</v>
      </c>
      <c r="B20" s="10" t="s">
        <v>55</v>
      </c>
      <c r="C20" s="4" t="s">
        <v>56</v>
      </c>
      <c r="D20" s="11">
        <v>1</v>
      </c>
      <c r="E20" s="11">
        <v>162</v>
      </c>
      <c r="F20" s="6">
        <v>10</v>
      </c>
      <c r="G20" s="6">
        <v>6</v>
      </c>
      <c r="H20" s="6">
        <v>144</v>
      </c>
      <c r="I20" s="8">
        <v>160</v>
      </c>
      <c r="J20" s="6">
        <v>2</v>
      </c>
      <c r="K20" s="8">
        <v>0</v>
      </c>
    </row>
    <row r="21" spans="1:11" ht="17.25" customHeight="1" x14ac:dyDescent="0.25">
      <c r="A21" s="65">
        <v>15</v>
      </c>
      <c r="B21" s="69" t="s">
        <v>57</v>
      </c>
      <c r="C21" s="69" t="s">
        <v>58</v>
      </c>
      <c r="D21" s="11">
        <v>1</v>
      </c>
      <c r="E21" s="11">
        <v>149</v>
      </c>
      <c r="F21" s="6">
        <v>13</v>
      </c>
      <c r="G21" s="6">
        <v>2</v>
      </c>
      <c r="H21" s="6">
        <v>134</v>
      </c>
      <c r="I21" s="8">
        <v>149</v>
      </c>
      <c r="J21" s="6">
        <v>0</v>
      </c>
      <c r="K21" s="8">
        <v>0</v>
      </c>
    </row>
    <row r="22" spans="1:11" ht="17.25" customHeight="1" x14ac:dyDescent="0.25">
      <c r="A22" s="71"/>
      <c r="B22" s="81"/>
      <c r="C22" s="81"/>
      <c r="D22" s="11">
        <v>2</v>
      </c>
      <c r="E22" s="11">
        <v>220</v>
      </c>
      <c r="F22" s="6">
        <v>16</v>
      </c>
      <c r="G22" s="6">
        <v>5</v>
      </c>
      <c r="H22" s="6">
        <v>197</v>
      </c>
      <c r="I22" s="8">
        <v>218</v>
      </c>
      <c r="J22" s="6">
        <v>2</v>
      </c>
      <c r="K22" s="8">
        <v>0</v>
      </c>
    </row>
    <row r="23" spans="1:11" ht="17.25" customHeight="1" x14ac:dyDescent="0.25">
      <c r="A23" s="66"/>
      <c r="B23" s="70"/>
      <c r="C23" s="70"/>
      <c r="D23" s="11">
        <v>3</v>
      </c>
      <c r="E23" s="11">
        <v>248</v>
      </c>
      <c r="F23" s="6">
        <v>6</v>
      </c>
      <c r="G23" s="6">
        <v>1</v>
      </c>
      <c r="H23" s="6">
        <v>240</v>
      </c>
      <c r="I23" s="8">
        <v>247</v>
      </c>
      <c r="J23" s="6">
        <v>1</v>
      </c>
      <c r="K23" s="8">
        <v>0</v>
      </c>
    </row>
    <row r="24" spans="1:11" ht="30" customHeight="1" x14ac:dyDescent="0.25"/>
    <row r="25" spans="1:11" ht="325.95" customHeight="1" x14ac:dyDescent="0.25"/>
    <row r="26" spans="1:11" ht="325.95" customHeight="1" x14ac:dyDescent="0.25"/>
  </sheetData>
  <mergeCells count="18">
    <mergeCell ref="A21:A23"/>
    <mergeCell ref="B21:B23"/>
    <mergeCell ref="C21:C23"/>
    <mergeCell ref="A5:A19"/>
    <mergeCell ref="B5:B19"/>
    <mergeCell ref="C5:C12"/>
    <mergeCell ref="C13:C15"/>
    <mergeCell ref="C16:C19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topLeftCell="A5" workbookViewId="0">
      <selection activeCell="A5" sqref="A5:K21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59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16</v>
      </c>
      <c r="B5" s="82" t="s">
        <v>60</v>
      </c>
      <c r="C5" s="69" t="s">
        <v>61</v>
      </c>
      <c r="D5" s="11">
        <v>1</v>
      </c>
      <c r="E5" s="11">
        <v>158</v>
      </c>
      <c r="F5" s="6">
        <v>11</v>
      </c>
      <c r="G5" s="6">
        <v>3</v>
      </c>
      <c r="H5" s="6">
        <v>144</v>
      </c>
      <c r="I5" s="13">
        <v>158</v>
      </c>
      <c r="J5" s="6">
        <v>0</v>
      </c>
      <c r="K5" s="8">
        <v>0</v>
      </c>
    </row>
    <row r="6" spans="1:11" ht="17.25" customHeight="1" x14ac:dyDescent="0.25">
      <c r="A6" s="71"/>
      <c r="B6" s="83"/>
      <c r="C6" s="81"/>
      <c r="D6" s="11">
        <v>2</v>
      </c>
      <c r="E6" s="11">
        <v>278</v>
      </c>
      <c r="F6" s="6">
        <v>8</v>
      </c>
      <c r="G6" s="6">
        <v>3</v>
      </c>
      <c r="H6" s="6">
        <v>265</v>
      </c>
      <c r="I6" s="13">
        <v>276</v>
      </c>
      <c r="J6" s="6">
        <v>2</v>
      </c>
      <c r="K6" s="8">
        <v>0</v>
      </c>
    </row>
    <row r="7" spans="1:11" ht="17.25" customHeight="1" x14ac:dyDescent="0.25">
      <c r="A7" s="66"/>
      <c r="B7" s="84"/>
      <c r="C7" s="70"/>
      <c r="D7" s="11">
        <v>3</v>
      </c>
      <c r="E7" s="11">
        <v>269</v>
      </c>
      <c r="F7" s="6">
        <v>12</v>
      </c>
      <c r="G7" s="6">
        <v>4</v>
      </c>
      <c r="H7" s="6">
        <v>253</v>
      </c>
      <c r="I7" s="13">
        <v>269</v>
      </c>
      <c r="J7" s="6">
        <v>0</v>
      </c>
      <c r="K7" s="8">
        <v>0</v>
      </c>
    </row>
    <row r="8" spans="1:11" ht="17.25" customHeight="1" x14ac:dyDescent="0.25">
      <c r="A8" s="65">
        <v>17</v>
      </c>
      <c r="B8" s="91" t="s">
        <v>62</v>
      </c>
      <c r="C8" s="67" t="s">
        <v>63</v>
      </c>
      <c r="D8" s="11">
        <v>1</v>
      </c>
      <c r="E8" s="11">
        <v>129</v>
      </c>
      <c r="F8" s="6">
        <v>13</v>
      </c>
      <c r="G8" s="6">
        <v>2</v>
      </c>
      <c r="H8" s="6">
        <v>113</v>
      </c>
      <c r="I8" s="13">
        <v>128</v>
      </c>
      <c r="J8" s="6">
        <v>1</v>
      </c>
      <c r="K8" s="8">
        <v>0</v>
      </c>
    </row>
    <row r="9" spans="1:11" ht="17.25" customHeight="1" x14ac:dyDescent="0.25">
      <c r="A9" s="66"/>
      <c r="B9" s="92"/>
      <c r="C9" s="68"/>
      <c r="D9" s="11">
        <v>2</v>
      </c>
      <c r="E9" s="11">
        <v>165</v>
      </c>
      <c r="F9" s="6">
        <v>6</v>
      </c>
      <c r="G9" s="6">
        <v>2</v>
      </c>
      <c r="H9" s="6">
        <v>157</v>
      </c>
      <c r="I9" s="13">
        <v>165</v>
      </c>
      <c r="J9" s="6">
        <v>0</v>
      </c>
      <c r="K9" s="8">
        <v>0</v>
      </c>
    </row>
    <row r="10" spans="1:11" ht="17.25" customHeight="1" x14ac:dyDescent="0.25">
      <c r="A10" s="65">
        <v>18</v>
      </c>
      <c r="B10" s="69" t="s">
        <v>64</v>
      </c>
      <c r="C10" s="69" t="s">
        <v>65</v>
      </c>
      <c r="D10" s="11">
        <v>1</v>
      </c>
      <c r="E10" s="11">
        <v>117</v>
      </c>
      <c r="F10" s="6">
        <v>18</v>
      </c>
      <c r="G10" s="6">
        <v>2</v>
      </c>
      <c r="H10" s="6">
        <v>97</v>
      </c>
      <c r="I10" s="13">
        <v>117</v>
      </c>
      <c r="J10" s="6">
        <v>0</v>
      </c>
      <c r="K10" s="8">
        <v>0</v>
      </c>
    </row>
    <row r="11" spans="1:11" ht="17.25" customHeight="1" x14ac:dyDescent="0.25">
      <c r="A11" s="66"/>
      <c r="B11" s="70"/>
      <c r="C11" s="70"/>
      <c r="D11" s="11">
        <v>2</v>
      </c>
      <c r="E11" s="11">
        <v>144</v>
      </c>
      <c r="F11" s="6">
        <v>11</v>
      </c>
      <c r="G11" s="6">
        <v>9</v>
      </c>
      <c r="H11" s="6">
        <v>124</v>
      </c>
      <c r="I11" s="13">
        <v>144</v>
      </c>
      <c r="J11" s="6">
        <v>0</v>
      </c>
      <c r="K11" s="8">
        <v>0</v>
      </c>
    </row>
    <row r="12" spans="1:11" ht="17.25" customHeight="1" x14ac:dyDescent="0.25">
      <c r="A12" s="65">
        <v>19</v>
      </c>
      <c r="B12" s="82" t="s">
        <v>66</v>
      </c>
      <c r="C12" s="82" t="s">
        <v>67</v>
      </c>
      <c r="D12" s="11">
        <v>1</v>
      </c>
      <c r="E12" s="11">
        <v>182</v>
      </c>
      <c r="F12" s="6">
        <v>26</v>
      </c>
      <c r="G12" s="6">
        <v>6</v>
      </c>
      <c r="H12" s="6">
        <v>146</v>
      </c>
      <c r="I12" s="13">
        <v>178</v>
      </c>
      <c r="J12" s="6">
        <v>4</v>
      </c>
      <c r="K12" s="8">
        <v>0</v>
      </c>
    </row>
    <row r="13" spans="1:11" ht="17.25" customHeight="1" x14ac:dyDescent="0.25">
      <c r="A13" s="71"/>
      <c r="B13" s="83"/>
      <c r="C13" s="83"/>
      <c r="D13" s="11">
        <v>2</v>
      </c>
      <c r="E13" s="11">
        <v>252</v>
      </c>
      <c r="F13" s="6">
        <v>21</v>
      </c>
      <c r="G13" s="6">
        <v>4</v>
      </c>
      <c r="H13" s="6">
        <v>226</v>
      </c>
      <c r="I13" s="13">
        <v>251</v>
      </c>
      <c r="J13" s="6">
        <v>1</v>
      </c>
      <c r="K13" s="8">
        <v>0</v>
      </c>
    </row>
    <row r="14" spans="1:11" ht="17.25" customHeight="1" x14ac:dyDescent="0.25">
      <c r="A14" s="66"/>
      <c r="B14" s="84"/>
      <c r="C14" s="84"/>
      <c r="D14" s="11">
        <v>3</v>
      </c>
      <c r="E14" s="11">
        <v>309</v>
      </c>
      <c r="F14" s="6">
        <v>27</v>
      </c>
      <c r="G14" s="6">
        <v>23</v>
      </c>
      <c r="H14" s="6">
        <v>257</v>
      </c>
      <c r="I14" s="13">
        <v>307</v>
      </c>
      <c r="J14" s="6">
        <v>2</v>
      </c>
      <c r="K14" s="8">
        <v>0</v>
      </c>
    </row>
    <row r="15" spans="1:11" ht="17.25" customHeight="1" x14ac:dyDescent="0.25">
      <c r="A15" s="65">
        <v>20</v>
      </c>
      <c r="B15" s="75" t="s">
        <v>68</v>
      </c>
      <c r="C15" s="82" t="s">
        <v>69</v>
      </c>
      <c r="D15" s="11">
        <v>1</v>
      </c>
      <c r="E15" s="11">
        <v>224</v>
      </c>
      <c r="F15" s="6">
        <v>16</v>
      </c>
      <c r="G15" s="6">
        <v>10</v>
      </c>
      <c r="H15" s="6">
        <v>195</v>
      </c>
      <c r="I15" s="13">
        <v>221</v>
      </c>
      <c r="J15" s="6">
        <v>3</v>
      </c>
      <c r="K15" s="8">
        <v>0</v>
      </c>
    </row>
    <row r="16" spans="1:11" ht="17.25" customHeight="1" x14ac:dyDescent="0.25">
      <c r="A16" s="71"/>
      <c r="B16" s="76"/>
      <c r="C16" s="83"/>
      <c r="D16" s="11">
        <v>2</v>
      </c>
      <c r="E16" s="11">
        <v>283</v>
      </c>
      <c r="F16" s="6">
        <v>21</v>
      </c>
      <c r="G16" s="6">
        <v>10</v>
      </c>
      <c r="H16" s="6">
        <v>248</v>
      </c>
      <c r="I16" s="13">
        <v>279</v>
      </c>
      <c r="J16" s="6">
        <v>4</v>
      </c>
      <c r="K16" s="8">
        <v>0</v>
      </c>
    </row>
    <row r="17" spans="1:11" ht="17.25" customHeight="1" x14ac:dyDescent="0.25">
      <c r="A17" s="71"/>
      <c r="B17" s="76"/>
      <c r="C17" s="83"/>
      <c r="D17" s="11">
        <v>3</v>
      </c>
      <c r="E17" s="11">
        <v>287</v>
      </c>
      <c r="F17" s="6">
        <v>22</v>
      </c>
      <c r="G17" s="6">
        <v>3</v>
      </c>
      <c r="H17" s="6">
        <v>260</v>
      </c>
      <c r="I17" s="13">
        <v>285</v>
      </c>
      <c r="J17" s="6">
        <v>2</v>
      </c>
      <c r="K17" s="8">
        <v>0</v>
      </c>
    </row>
    <row r="18" spans="1:11" ht="17.25" customHeight="1" x14ac:dyDescent="0.25">
      <c r="A18" s="71"/>
      <c r="B18" s="76"/>
      <c r="C18" s="83"/>
      <c r="D18" s="11">
        <v>4</v>
      </c>
      <c r="E18" s="11">
        <v>413</v>
      </c>
      <c r="F18" s="6">
        <v>14</v>
      </c>
      <c r="G18" s="6">
        <v>7</v>
      </c>
      <c r="H18" s="6">
        <v>392</v>
      </c>
      <c r="I18" s="13">
        <v>413</v>
      </c>
      <c r="J18" s="6">
        <v>0</v>
      </c>
      <c r="K18" s="8">
        <v>0</v>
      </c>
    </row>
    <row r="19" spans="1:11" ht="17.25" customHeight="1" x14ac:dyDescent="0.25">
      <c r="A19" s="71"/>
      <c r="B19" s="76"/>
      <c r="C19" s="83"/>
      <c r="D19" s="11">
        <v>5</v>
      </c>
      <c r="E19" s="11">
        <v>388</v>
      </c>
      <c r="F19" s="6">
        <v>21</v>
      </c>
      <c r="G19" s="6">
        <v>7</v>
      </c>
      <c r="H19" s="6">
        <v>360</v>
      </c>
      <c r="I19" s="13">
        <v>388</v>
      </c>
      <c r="J19" s="6">
        <v>0</v>
      </c>
      <c r="K19" s="8">
        <v>0</v>
      </c>
    </row>
    <row r="20" spans="1:11" ht="17.25" customHeight="1" x14ac:dyDescent="0.25">
      <c r="A20" s="71"/>
      <c r="B20" s="76"/>
      <c r="C20" s="83"/>
      <c r="D20" s="11">
        <v>6</v>
      </c>
      <c r="E20" s="11">
        <v>378</v>
      </c>
      <c r="F20" s="6">
        <v>18</v>
      </c>
      <c r="G20" s="6">
        <v>6</v>
      </c>
      <c r="H20" s="6">
        <v>354</v>
      </c>
      <c r="I20" s="13">
        <v>378</v>
      </c>
      <c r="J20" s="6">
        <v>0</v>
      </c>
      <c r="K20" s="8">
        <v>0</v>
      </c>
    </row>
    <row r="21" spans="1:11" ht="17.25" customHeight="1" x14ac:dyDescent="0.25">
      <c r="A21" s="66"/>
      <c r="B21" s="77"/>
      <c r="C21" s="84"/>
      <c r="D21" s="11">
        <v>7</v>
      </c>
      <c r="E21" s="11">
        <v>423</v>
      </c>
      <c r="F21" s="6">
        <v>26</v>
      </c>
      <c r="G21" s="6">
        <v>21</v>
      </c>
      <c r="H21" s="6">
        <v>375</v>
      </c>
      <c r="I21" s="13">
        <v>422</v>
      </c>
      <c r="J21" s="6">
        <v>1</v>
      </c>
      <c r="K21" s="8">
        <v>0</v>
      </c>
    </row>
    <row r="22" spans="1:11" ht="30" customHeight="1" x14ac:dyDescent="0.25"/>
    <row r="23" spans="1:11" ht="277.05" customHeight="1" x14ac:dyDescent="0.25"/>
    <row r="24" spans="1:11" ht="277.05" customHeight="1" x14ac:dyDescent="0.25"/>
  </sheetData>
  <mergeCells count="25">
    <mergeCell ref="A15:A21"/>
    <mergeCell ref="B15:B21"/>
    <mergeCell ref="C15:C21"/>
    <mergeCell ref="A10:A11"/>
    <mergeCell ref="B10:B11"/>
    <mergeCell ref="C10:C11"/>
    <mergeCell ref="A12:A14"/>
    <mergeCell ref="B12:B14"/>
    <mergeCell ref="C12:C14"/>
    <mergeCell ref="A5:A7"/>
    <mergeCell ref="B5:B7"/>
    <mergeCell ref="C5:C7"/>
    <mergeCell ref="A8:A9"/>
    <mergeCell ref="B8:B9"/>
    <mergeCell ref="C8:C9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"/>
  <sheetViews>
    <sheetView workbookViewId="0">
      <selection activeCell="A5" sqref="A5:K19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70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21</v>
      </c>
      <c r="B5" s="72" t="s">
        <v>71</v>
      </c>
      <c r="C5" s="82" t="s">
        <v>72</v>
      </c>
      <c r="D5" s="11">
        <v>1</v>
      </c>
      <c r="E5" s="11">
        <v>292</v>
      </c>
      <c r="F5" s="6">
        <v>44</v>
      </c>
      <c r="G5" s="6">
        <v>26</v>
      </c>
      <c r="H5" s="6">
        <v>217</v>
      </c>
      <c r="I5" s="13">
        <v>287</v>
      </c>
      <c r="J5" s="6">
        <v>5</v>
      </c>
      <c r="K5" s="8">
        <v>0</v>
      </c>
    </row>
    <row r="6" spans="1:11" ht="17.25" customHeight="1" x14ac:dyDescent="0.25">
      <c r="A6" s="71"/>
      <c r="B6" s="73"/>
      <c r="C6" s="83"/>
      <c r="D6" s="11">
        <v>2</v>
      </c>
      <c r="E6" s="11">
        <v>316</v>
      </c>
      <c r="F6" s="6">
        <v>56</v>
      </c>
      <c r="G6" s="6">
        <v>47</v>
      </c>
      <c r="H6" s="6">
        <v>208</v>
      </c>
      <c r="I6" s="13">
        <v>311</v>
      </c>
      <c r="J6" s="6">
        <v>5</v>
      </c>
      <c r="K6" s="8">
        <v>0</v>
      </c>
    </row>
    <row r="7" spans="1:11" ht="17.25" customHeight="1" x14ac:dyDescent="0.25">
      <c r="A7" s="71"/>
      <c r="B7" s="73"/>
      <c r="C7" s="83"/>
      <c r="D7" s="11">
        <v>3</v>
      </c>
      <c r="E7" s="11">
        <v>306</v>
      </c>
      <c r="F7" s="6">
        <v>53</v>
      </c>
      <c r="G7" s="6">
        <v>54</v>
      </c>
      <c r="H7" s="6">
        <v>197</v>
      </c>
      <c r="I7" s="13">
        <v>304</v>
      </c>
      <c r="J7" s="6">
        <v>2</v>
      </c>
      <c r="K7" s="8">
        <v>0</v>
      </c>
    </row>
    <row r="8" spans="1:11" ht="17.25" customHeight="1" x14ac:dyDescent="0.25">
      <c r="A8" s="71"/>
      <c r="B8" s="73"/>
      <c r="C8" s="83"/>
      <c r="D8" s="11">
        <v>4</v>
      </c>
      <c r="E8" s="11">
        <v>436</v>
      </c>
      <c r="F8" s="6">
        <v>66</v>
      </c>
      <c r="G8" s="6">
        <v>55</v>
      </c>
      <c r="H8" s="6">
        <v>315</v>
      </c>
      <c r="I8" s="13">
        <v>436</v>
      </c>
      <c r="J8" s="6">
        <v>0</v>
      </c>
      <c r="K8" s="8">
        <v>0</v>
      </c>
    </row>
    <row r="9" spans="1:11" ht="17.25" customHeight="1" x14ac:dyDescent="0.25">
      <c r="A9" s="71"/>
      <c r="B9" s="73"/>
      <c r="C9" s="83"/>
      <c r="D9" s="11">
        <v>5</v>
      </c>
      <c r="E9" s="11">
        <v>433</v>
      </c>
      <c r="F9" s="6">
        <v>62</v>
      </c>
      <c r="G9" s="6">
        <v>70</v>
      </c>
      <c r="H9" s="6">
        <v>301</v>
      </c>
      <c r="I9" s="13">
        <v>433</v>
      </c>
      <c r="J9" s="6">
        <v>0</v>
      </c>
      <c r="K9" s="8">
        <v>0</v>
      </c>
    </row>
    <row r="10" spans="1:11" ht="17.25" customHeight="1" x14ac:dyDescent="0.25">
      <c r="A10" s="71"/>
      <c r="B10" s="73"/>
      <c r="C10" s="83"/>
      <c r="D10" s="11">
        <v>6</v>
      </c>
      <c r="E10" s="11">
        <v>468</v>
      </c>
      <c r="F10" s="6">
        <v>58</v>
      </c>
      <c r="G10" s="6">
        <v>108</v>
      </c>
      <c r="H10" s="6">
        <v>301</v>
      </c>
      <c r="I10" s="13">
        <v>467</v>
      </c>
      <c r="J10" s="6">
        <v>1</v>
      </c>
      <c r="K10" s="8">
        <v>0</v>
      </c>
    </row>
    <row r="11" spans="1:11" ht="17.25" customHeight="1" x14ac:dyDescent="0.25">
      <c r="A11" s="71"/>
      <c r="B11" s="73"/>
      <c r="C11" s="83"/>
      <c r="D11" s="11">
        <v>7</v>
      </c>
      <c r="E11" s="11">
        <v>478</v>
      </c>
      <c r="F11" s="6">
        <v>60</v>
      </c>
      <c r="G11" s="6">
        <v>115</v>
      </c>
      <c r="H11" s="6">
        <v>300</v>
      </c>
      <c r="I11" s="13">
        <v>475</v>
      </c>
      <c r="J11" s="6">
        <v>3</v>
      </c>
      <c r="K11" s="8">
        <v>0</v>
      </c>
    </row>
    <row r="12" spans="1:11" ht="17.25" customHeight="1" x14ac:dyDescent="0.25">
      <c r="A12" s="71"/>
      <c r="B12" s="73"/>
      <c r="C12" s="84"/>
      <c r="D12" s="11">
        <v>8</v>
      </c>
      <c r="E12" s="11">
        <v>470</v>
      </c>
      <c r="F12" s="6">
        <v>62</v>
      </c>
      <c r="G12" s="6">
        <v>132</v>
      </c>
      <c r="H12" s="6">
        <v>273</v>
      </c>
      <c r="I12" s="13">
        <v>467</v>
      </c>
      <c r="J12" s="6">
        <v>3</v>
      </c>
      <c r="K12" s="8">
        <v>0</v>
      </c>
    </row>
    <row r="13" spans="1:11" ht="17.25" customHeight="1" x14ac:dyDescent="0.25">
      <c r="A13" s="71"/>
      <c r="B13" s="73"/>
      <c r="C13" s="82" t="s">
        <v>73</v>
      </c>
      <c r="D13" s="11">
        <v>1</v>
      </c>
      <c r="E13" s="11">
        <v>278</v>
      </c>
      <c r="F13" s="6">
        <v>53</v>
      </c>
      <c r="G13" s="6">
        <v>21</v>
      </c>
      <c r="H13" s="6">
        <v>202</v>
      </c>
      <c r="I13" s="13">
        <v>276</v>
      </c>
      <c r="J13" s="6">
        <v>2</v>
      </c>
      <c r="K13" s="8">
        <v>0</v>
      </c>
    </row>
    <row r="14" spans="1:11" ht="17.25" customHeight="1" x14ac:dyDescent="0.25">
      <c r="A14" s="71"/>
      <c r="B14" s="73"/>
      <c r="C14" s="83"/>
      <c r="D14" s="11">
        <v>2</v>
      </c>
      <c r="E14" s="11">
        <v>312</v>
      </c>
      <c r="F14" s="6">
        <v>58</v>
      </c>
      <c r="G14" s="6">
        <v>45</v>
      </c>
      <c r="H14" s="6">
        <v>209</v>
      </c>
      <c r="I14" s="13">
        <v>312</v>
      </c>
      <c r="J14" s="6">
        <v>0</v>
      </c>
      <c r="K14" s="8">
        <v>0</v>
      </c>
    </row>
    <row r="15" spans="1:11" ht="17.25" customHeight="1" x14ac:dyDescent="0.25">
      <c r="A15" s="71"/>
      <c r="B15" s="73"/>
      <c r="C15" s="83"/>
      <c r="D15" s="11">
        <v>3</v>
      </c>
      <c r="E15" s="11">
        <v>306</v>
      </c>
      <c r="F15" s="6">
        <v>33</v>
      </c>
      <c r="G15" s="6">
        <v>45</v>
      </c>
      <c r="H15" s="6">
        <v>225</v>
      </c>
      <c r="I15" s="13">
        <v>303</v>
      </c>
      <c r="J15" s="6">
        <v>1</v>
      </c>
      <c r="K15" s="8">
        <v>2</v>
      </c>
    </row>
    <row r="16" spans="1:11" ht="17.25" customHeight="1" x14ac:dyDescent="0.25">
      <c r="A16" s="71"/>
      <c r="B16" s="73"/>
      <c r="C16" s="83"/>
      <c r="D16" s="11">
        <v>4</v>
      </c>
      <c r="E16" s="11">
        <v>477</v>
      </c>
      <c r="F16" s="6">
        <v>55</v>
      </c>
      <c r="G16" s="6">
        <v>73</v>
      </c>
      <c r="H16" s="6">
        <v>348</v>
      </c>
      <c r="I16" s="13">
        <v>476</v>
      </c>
      <c r="J16" s="6">
        <v>1</v>
      </c>
      <c r="K16" s="8">
        <v>0</v>
      </c>
    </row>
    <row r="17" spans="1:11" ht="17.25" customHeight="1" x14ac:dyDescent="0.25">
      <c r="A17" s="71"/>
      <c r="B17" s="73"/>
      <c r="C17" s="83"/>
      <c r="D17" s="11">
        <v>5</v>
      </c>
      <c r="E17" s="11">
        <v>444</v>
      </c>
      <c r="F17" s="6">
        <v>66</v>
      </c>
      <c r="G17" s="6">
        <v>75</v>
      </c>
      <c r="H17" s="6">
        <v>303</v>
      </c>
      <c r="I17" s="13">
        <v>444</v>
      </c>
      <c r="J17" s="6">
        <v>0</v>
      </c>
      <c r="K17" s="8">
        <v>0</v>
      </c>
    </row>
    <row r="18" spans="1:11" ht="17.25" customHeight="1" x14ac:dyDescent="0.25">
      <c r="A18" s="71"/>
      <c r="B18" s="73"/>
      <c r="C18" s="83"/>
      <c r="D18" s="11">
        <v>6</v>
      </c>
      <c r="E18" s="11">
        <v>463</v>
      </c>
      <c r="F18" s="6">
        <v>63</v>
      </c>
      <c r="G18" s="6">
        <v>84</v>
      </c>
      <c r="H18" s="6">
        <v>316</v>
      </c>
      <c r="I18" s="13">
        <v>463</v>
      </c>
      <c r="J18" s="6">
        <v>0</v>
      </c>
      <c r="K18" s="8">
        <v>0</v>
      </c>
    </row>
    <row r="19" spans="1:11" ht="17.25" customHeight="1" x14ac:dyDescent="0.25">
      <c r="A19" s="66"/>
      <c r="B19" s="74"/>
      <c r="C19" s="84"/>
      <c r="D19" s="11">
        <v>7</v>
      </c>
      <c r="E19" s="11">
        <v>482</v>
      </c>
      <c r="F19" s="6">
        <v>70</v>
      </c>
      <c r="G19" s="6">
        <v>111</v>
      </c>
      <c r="H19" s="6">
        <v>301</v>
      </c>
      <c r="I19" s="13">
        <v>482</v>
      </c>
      <c r="J19" s="6">
        <v>0</v>
      </c>
      <c r="K19" s="8">
        <v>0</v>
      </c>
    </row>
    <row r="20" spans="1:11" ht="30" customHeight="1" x14ac:dyDescent="0.25"/>
    <row r="21" spans="1:11" ht="244.95" customHeight="1" x14ac:dyDescent="0.25"/>
    <row r="22" spans="1:11" ht="244.95" customHeight="1" x14ac:dyDescent="0.25"/>
  </sheetData>
  <mergeCells count="14">
    <mergeCell ref="A5:A19"/>
    <mergeCell ref="B5:B19"/>
    <mergeCell ref="C5:C12"/>
    <mergeCell ref="C13:C19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3"/>
  <sheetViews>
    <sheetView topLeftCell="A5" workbookViewId="0">
      <selection activeCell="A5" sqref="A5:K20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74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21</v>
      </c>
      <c r="B5" s="72" t="s">
        <v>71</v>
      </c>
      <c r="C5" s="82" t="s">
        <v>75</v>
      </c>
      <c r="D5" s="11">
        <v>1</v>
      </c>
      <c r="E5" s="11">
        <v>280</v>
      </c>
      <c r="F5" s="6">
        <v>31</v>
      </c>
      <c r="G5" s="6">
        <v>12</v>
      </c>
      <c r="H5" s="6">
        <v>235</v>
      </c>
      <c r="I5" s="8">
        <v>278</v>
      </c>
      <c r="J5" s="6">
        <v>2</v>
      </c>
      <c r="K5" s="8">
        <v>0</v>
      </c>
    </row>
    <row r="6" spans="1:11" ht="17.25" customHeight="1" x14ac:dyDescent="0.25">
      <c r="A6" s="71"/>
      <c r="B6" s="73"/>
      <c r="C6" s="83"/>
      <c r="D6" s="11">
        <v>2</v>
      </c>
      <c r="E6" s="11">
        <v>318</v>
      </c>
      <c r="F6" s="6">
        <v>53</v>
      </c>
      <c r="G6" s="6">
        <v>29</v>
      </c>
      <c r="H6" s="6">
        <v>235</v>
      </c>
      <c r="I6" s="8">
        <v>317</v>
      </c>
      <c r="J6" s="6">
        <v>1</v>
      </c>
      <c r="K6" s="8">
        <v>0</v>
      </c>
    </row>
    <row r="7" spans="1:11" ht="17.25" customHeight="1" x14ac:dyDescent="0.25">
      <c r="A7" s="71"/>
      <c r="B7" s="73"/>
      <c r="C7" s="83"/>
      <c r="D7" s="11">
        <v>3</v>
      </c>
      <c r="E7" s="11">
        <v>335</v>
      </c>
      <c r="F7" s="6">
        <v>41</v>
      </c>
      <c r="G7" s="6">
        <v>29</v>
      </c>
      <c r="H7" s="6">
        <v>265</v>
      </c>
      <c r="I7" s="8">
        <v>335</v>
      </c>
      <c r="J7" s="6">
        <v>0</v>
      </c>
      <c r="K7" s="8">
        <v>0</v>
      </c>
    </row>
    <row r="8" spans="1:11" ht="17.25" customHeight="1" x14ac:dyDescent="0.25">
      <c r="A8" s="71"/>
      <c r="B8" s="73"/>
      <c r="C8" s="83"/>
      <c r="D8" s="11">
        <v>4</v>
      </c>
      <c r="E8" s="11">
        <v>499</v>
      </c>
      <c r="F8" s="6">
        <v>46</v>
      </c>
      <c r="G8" s="6">
        <v>60</v>
      </c>
      <c r="H8" s="6">
        <v>392</v>
      </c>
      <c r="I8" s="8">
        <v>498</v>
      </c>
      <c r="J8" s="6">
        <v>1</v>
      </c>
      <c r="K8" s="8">
        <v>0</v>
      </c>
    </row>
    <row r="9" spans="1:11" ht="17.25" customHeight="1" x14ac:dyDescent="0.25">
      <c r="A9" s="71"/>
      <c r="B9" s="73"/>
      <c r="C9" s="83"/>
      <c r="D9" s="11">
        <v>5</v>
      </c>
      <c r="E9" s="11">
        <v>433</v>
      </c>
      <c r="F9" s="6">
        <v>60</v>
      </c>
      <c r="G9" s="6">
        <v>77</v>
      </c>
      <c r="H9" s="6">
        <v>296</v>
      </c>
      <c r="I9" s="8">
        <v>433</v>
      </c>
      <c r="J9" s="6">
        <v>0</v>
      </c>
      <c r="K9" s="8">
        <v>0</v>
      </c>
    </row>
    <row r="10" spans="1:11" ht="17.25" customHeight="1" x14ac:dyDescent="0.25">
      <c r="A10" s="71"/>
      <c r="B10" s="73"/>
      <c r="C10" s="83"/>
      <c r="D10" s="11">
        <v>6</v>
      </c>
      <c r="E10" s="11">
        <v>464</v>
      </c>
      <c r="F10" s="6">
        <v>59</v>
      </c>
      <c r="G10" s="6">
        <v>68</v>
      </c>
      <c r="H10" s="6">
        <v>333</v>
      </c>
      <c r="I10" s="8">
        <v>460</v>
      </c>
      <c r="J10" s="6">
        <v>4</v>
      </c>
      <c r="K10" s="8">
        <v>0</v>
      </c>
    </row>
    <row r="11" spans="1:11" ht="17.25" customHeight="1" x14ac:dyDescent="0.25">
      <c r="A11" s="71"/>
      <c r="B11" s="73"/>
      <c r="C11" s="83"/>
      <c r="D11" s="11">
        <v>7</v>
      </c>
      <c r="E11" s="11">
        <v>496</v>
      </c>
      <c r="F11" s="6">
        <v>54</v>
      </c>
      <c r="G11" s="6">
        <v>71</v>
      </c>
      <c r="H11" s="6">
        <v>371</v>
      </c>
      <c r="I11" s="8">
        <v>496</v>
      </c>
      <c r="J11" s="6">
        <v>0</v>
      </c>
      <c r="K11" s="8">
        <v>0</v>
      </c>
    </row>
    <row r="12" spans="1:11" ht="17.25" customHeight="1" x14ac:dyDescent="0.25">
      <c r="A12" s="71"/>
      <c r="B12" s="73"/>
      <c r="C12" s="84"/>
      <c r="D12" s="11">
        <v>8</v>
      </c>
      <c r="E12" s="11">
        <v>525</v>
      </c>
      <c r="F12" s="6">
        <v>54</v>
      </c>
      <c r="G12" s="6">
        <v>86</v>
      </c>
      <c r="H12" s="6">
        <v>385</v>
      </c>
      <c r="I12" s="8">
        <v>525</v>
      </c>
      <c r="J12" s="6">
        <v>0</v>
      </c>
      <c r="K12" s="8">
        <v>0</v>
      </c>
    </row>
    <row r="13" spans="1:11" ht="17.25" customHeight="1" x14ac:dyDescent="0.25">
      <c r="A13" s="71"/>
      <c r="B13" s="73"/>
      <c r="C13" s="88" t="s">
        <v>76</v>
      </c>
      <c r="D13" s="11">
        <v>1</v>
      </c>
      <c r="E13" s="11">
        <v>281</v>
      </c>
      <c r="F13" s="6">
        <v>30</v>
      </c>
      <c r="G13" s="6">
        <v>36</v>
      </c>
      <c r="H13" s="6">
        <v>214</v>
      </c>
      <c r="I13" s="8">
        <v>280</v>
      </c>
      <c r="J13" s="6">
        <v>1</v>
      </c>
      <c r="K13" s="8">
        <v>0</v>
      </c>
    </row>
    <row r="14" spans="1:11" ht="17.25" customHeight="1" x14ac:dyDescent="0.25">
      <c r="A14" s="71"/>
      <c r="B14" s="73"/>
      <c r="C14" s="89"/>
      <c r="D14" s="11">
        <v>2</v>
      </c>
      <c r="E14" s="11">
        <v>298</v>
      </c>
      <c r="F14" s="6">
        <v>25</v>
      </c>
      <c r="G14" s="6">
        <v>22</v>
      </c>
      <c r="H14" s="6">
        <v>249</v>
      </c>
      <c r="I14" s="8">
        <v>296</v>
      </c>
      <c r="J14" s="6">
        <v>2</v>
      </c>
      <c r="K14" s="8">
        <v>0</v>
      </c>
    </row>
    <row r="15" spans="1:11" ht="17.25" customHeight="1" x14ac:dyDescent="0.25">
      <c r="A15" s="71"/>
      <c r="B15" s="73"/>
      <c r="C15" s="89"/>
      <c r="D15" s="11">
        <v>3</v>
      </c>
      <c r="E15" s="11">
        <v>303</v>
      </c>
      <c r="F15" s="6">
        <v>24</v>
      </c>
      <c r="G15" s="6">
        <v>39</v>
      </c>
      <c r="H15" s="6">
        <v>239</v>
      </c>
      <c r="I15" s="8">
        <v>302</v>
      </c>
      <c r="J15" s="6">
        <v>1</v>
      </c>
      <c r="K15" s="8">
        <v>0</v>
      </c>
    </row>
    <row r="16" spans="1:11" ht="17.25" customHeight="1" x14ac:dyDescent="0.25">
      <c r="A16" s="71"/>
      <c r="B16" s="73"/>
      <c r="C16" s="89"/>
      <c r="D16" s="11">
        <v>4</v>
      </c>
      <c r="E16" s="11">
        <v>478</v>
      </c>
      <c r="F16" s="6">
        <v>66</v>
      </c>
      <c r="G16" s="6">
        <v>80</v>
      </c>
      <c r="H16" s="6">
        <v>330</v>
      </c>
      <c r="I16" s="8">
        <v>476</v>
      </c>
      <c r="J16" s="6">
        <v>2</v>
      </c>
      <c r="K16" s="8">
        <v>0</v>
      </c>
    </row>
    <row r="17" spans="1:11" ht="17.25" customHeight="1" x14ac:dyDescent="0.25">
      <c r="A17" s="71"/>
      <c r="B17" s="73"/>
      <c r="C17" s="89"/>
      <c r="D17" s="11">
        <v>5</v>
      </c>
      <c r="E17" s="11">
        <v>430</v>
      </c>
      <c r="F17" s="6">
        <v>63</v>
      </c>
      <c r="G17" s="6">
        <v>70</v>
      </c>
      <c r="H17" s="6">
        <v>296</v>
      </c>
      <c r="I17" s="8">
        <v>429</v>
      </c>
      <c r="J17" s="6">
        <v>1</v>
      </c>
      <c r="K17" s="8">
        <v>0</v>
      </c>
    </row>
    <row r="18" spans="1:11" ht="17.25" customHeight="1" x14ac:dyDescent="0.25">
      <c r="A18" s="71"/>
      <c r="B18" s="73"/>
      <c r="C18" s="89"/>
      <c r="D18" s="11">
        <v>6</v>
      </c>
      <c r="E18" s="11">
        <v>450</v>
      </c>
      <c r="F18" s="6">
        <v>45</v>
      </c>
      <c r="G18" s="6">
        <v>57</v>
      </c>
      <c r="H18" s="6">
        <v>343</v>
      </c>
      <c r="I18" s="8">
        <v>445</v>
      </c>
      <c r="J18" s="6">
        <v>5</v>
      </c>
      <c r="K18" s="8">
        <v>0</v>
      </c>
    </row>
    <row r="19" spans="1:11" ht="17.25" customHeight="1" x14ac:dyDescent="0.25">
      <c r="A19" s="71"/>
      <c r="B19" s="73"/>
      <c r="C19" s="89"/>
      <c r="D19" s="11">
        <v>7</v>
      </c>
      <c r="E19" s="11">
        <v>478</v>
      </c>
      <c r="F19" s="6">
        <v>53</v>
      </c>
      <c r="G19" s="6">
        <v>64</v>
      </c>
      <c r="H19" s="6">
        <v>361</v>
      </c>
      <c r="I19" s="8">
        <v>478</v>
      </c>
      <c r="J19" s="6">
        <v>0</v>
      </c>
      <c r="K19" s="8">
        <v>0</v>
      </c>
    </row>
    <row r="20" spans="1:11" ht="17.25" customHeight="1" x14ac:dyDescent="0.25">
      <c r="A20" s="66"/>
      <c r="B20" s="74"/>
      <c r="C20" s="90"/>
      <c r="D20" s="11">
        <v>8</v>
      </c>
      <c r="E20" s="11">
        <v>507</v>
      </c>
      <c r="F20" s="6">
        <v>46</v>
      </c>
      <c r="G20" s="6">
        <v>76</v>
      </c>
      <c r="H20" s="6">
        <v>384</v>
      </c>
      <c r="I20" s="8">
        <v>506</v>
      </c>
      <c r="J20" s="6">
        <v>1</v>
      </c>
      <c r="K20" s="8">
        <v>0</v>
      </c>
    </row>
    <row r="21" spans="1:11" ht="30" customHeight="1" x14ac:dyDescent="0.25"/>
    <row r="22" spans="1:11" ht="261" customHeight="1" x14ac:dyDescent="0.25"/>
    <row r="23" spans="1:11" ht="261" customHeight="1" x14ac:dyDescent="0.25"/>
  </sheetData>
  <mergeCells count="14">
    <mergeCell ref="A5:A20"/>
    <mergeCell ref="B5:B20"/>
    <mergeCell ref="C5:C12"/>
    <mergeCell ref="C13:C20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2"/>
  <sheetViews>
    <sheetView workbookViewId="0">
      <selection activeCell="A5" sqref="A5:K19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77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21</v>
      </c>
      <c r="B5" s="72" t="s">
        <v>71</v>
      </c>
      <c r="C5" s="88" t="s">
        <v>78</v>
      </c>
      <c r="D5" s="11">
        <v>1</v>
      </c>
      <c r="E5" s="11">
        <v>296</v>
      </c>
      <c r="F5" s="6">
        <v>80</v>
      </c>
      <c r="G5" s="6">
        <v>44</v>
      </c>
      <c r="H5" s="6">
        <v>170</v>
      </c>
      <c r="I5" s="13">
        <v>294</v>
      </c>
      <c r="J5" s="6">
        <v>2</v>
      </c>
      <c r="K5" s="8">
        <v>0</v>
      </c>
    </row>
    <row r="6" spans="1:11" ht="17.25" customHeight="1" x14ac:dyDescent="0.25">
      <c r="A6" s="71"/>
      <c r="B6" s="73"/>
      <c r="C6" s="89"/>
      <c r="D6" s="11">
        <v>2</v>
      </c>
      <c r="E6" s="11">
        <v>298</v>
      </c>
      <c r="F6" s="6">
        <v>47</v>
      </c>
      <c r="G6" s="6">
        <v>41</v>
      </c>
      <c r="H6" s="6">
        <v>209</v>
      </c>
      <c r="I6" s="13">
        <v>297</v>
      </c>
      <c r="J6" s="6">
        <v>1</v>
      </c>
      <c r="K6" s="8">
        <v>0</v>
      </c>
    </row>
    <row r="7" spans="1:11" ht="17.25" customHeight="1" x14ac:dyDescent="0.25">
      <c r="A7" s="71"/>
      <c r="B7" s="73"/>
      <c r="C7" s="89"/>
      <c r="D7" s="11">
        <v>3</v>
      </c>
      <c r="E7" s="11">
        <v>406</v>
      </c>
      <c r="F7" s="6">
        <v>57</v>
      </c>
      <c r="G7" s="6">
        <v>54</v>
      </c>
      <c r="H7" s="6">
        <v>294</v>
      </c>
      <c r="I7" s="13">
        <v>405</v>
      </c>
      <c r="J7" s="6">
        <v>1</v>
      </c>
      <c r="K7" s="8">
        <v>0</v>
      </c>
    </row>
    <row r="8" spans="1:11" ht="17.25" customHeight="1" x14ac:dyDescent="0.25">
      <c r="A8" s="71"/>
      <c r="B8" s="73"/>
      <c r="C8" s="89"/>
      <c r="D8" s="11">
        <v>4</v>
      </c>
      <c r="E8" s="11">
        <v>402</v>
      </c>
      <c r="F8" s="6">
        <v>43</v>
      </c>
      <c r="G8" s="6">
        <v>74</v>
      </c>
      <c r="H8" s="6">
        <v>283</v>
      </c>
      <c r="I8" s="13">
        <v>400</v>
      </c>
      <c r="J8" s="6">
        <v>2</v>
      </c>
      <c r="K8" s="8">
        <v>0</v>
      </c>
    </row>
    <row r="9" spans="1:11" ht="17.25" customHeight="1" x14ac:dyDescent="0.25">
      <c r="A9" s="71"/>
      <c r="B9" s="73"/>
      <c r="C9" s="89"/>
      <c r="D9" s="11">
        <v>5</v>
      </c>
      <c r="E9" s="11">
        <v>459</v>
      </c>
      <c r="F9" s="6">
        <v>58</v>
      </c>
      <c r="G9" s="6">
        <v>71</v>
      </c>
      <c r="H9" s="6">
        <v>330</v>
      </c>
      <c r="I9" s="13">
        <v>459</v>
      </c>
      <c r="J9" s="6">
        <v>0</v>
      </c>
      <c r="K9" s="8">
        <v>0</v>
      </c>
    </row>
    <row r="10" spans="1:11" ht="17.25" customHeight="1" x14ac:dyDescent="0.25">
      <c r="A10" s="71"/>
      <c r="B10" s="73"/>
      <c r="C10" s="90"/>
      <c r="D10" s="11">
        <v>6</v>
      </c>
      <c r="E10" s="11">
        <v>474</v>
      </c>
      <c r="F10" s="6">
        <v>57</v>
      </c>
      <c r="G10" s="6">
        <v>86</v>
      </c>
      <c r="H10" s="6">
        <v>326</v>
      </c>
      <c r="I10" s="13">
        <v>469</v>
      </c>
      <c r="J10" s="6">
        <v>5</v>
      </c>
      <c r="K10" s="8">
        <v>0</v>
      </c>
    </row>
    <row r="11" spans="1:11" ht="17.25" customHeight="1" x14ac:dyDescent="0.25">
      <c r="A11" s="71"/>
      <c r="B11" s="73"/>
      <c r="C11" s="75" t="s">
        <v>79</v>
      </c>
      <c r="D11" s="11">
        <v>1</v>
      </c>
      <c r="E11" s="11">
        <v>295</v>
      </c>
      <c r="F11" s="6">
        <v>104</v>
      </c>
      <c r="G11" s="6">
        <v>121</v>
      </c>
      <c r="H11" s="6">
        <v>69</v>
      </c>
      <c r="I11" s="13">
        <v>294</v>
      </c>
      <c r="J11" s="6">
        <v>1</v>
      </c>
      <c r="K11" s="8">
        <v>0</v>
      </c>
    </row>
    <row r="12" spans="1:11" ht="17.25" customHeight="1" x14ac:dyDescent="0.25">
      <c r="A12" s="66"/>
      <c r="B12" s="74"/>
      <c r="C12" s="77"/>
      <c r="D12" s="11">
        <v>2</v>
      </c>
      <c r="E12" s="11">
        <v>362</v>
      </c>
      <c r="F12" s="6">
        <v>102</v>
      </c>
      <c r="G12" s="6">
        <v>186</v>
      </c>
      <c r="H12" s="6">
        <v>72</v>
      </c>
      <c r="I12" s="13">
        <v>360</v>
      </c>
      <c r="J12" s="6">
        <v>2</v>
      </c>
      <c r="K12" s="8">
        <v>0</v>
      </c>
    </row>
    <row r="13" spans="1:11" ht="17.25" customHeight="1" x14ac:dyDescent="0.25">
      <c r="A13" s="65">
        <v>22</v>
      </c>
      <c r="B13" s="93" t="s">
        <v>80</v>
      </c>
      <c r="C13" s="95" t="s">
        <v>81</v>
      </c>
      <c r="D13" s="11">
        <v>1</v>
      </c>
      <c r="E13" s="11">
        <v>214</v>
      </c>
      <c r="F13" s="6">
        <v>15</v>
      </c>
      <c r="G13" s="6">
        <v>3</v>
      </c>
      <c r="H13" s="6">
        <v>193</v>
      </c>
      <c r="I13" s="13">
        <v>211</v>
      </c>
      <c r="J13" s="6">
        <v>3</v>
      </c>
      <c r="K13" s="8">
        <v>0</v>
      </c>
    </row>
    <row r="14" spans="1:11" ht="17.25" customHeight="1" x14ac:dyDescent="0.25">
      <c r="A14" s="66"/>
      <c r="B14" s="94"/>
      <c r="C14" s="96"/>
      <c r="D14" s="11">
        <v>2</v>
      </c>
      <c r="E14" s="11">
        <v>229</v>
      </c>
      <c r="F14" s="6">
        <v>13</v>
      </c>
      <c r="G14" s="6">
        <v>15</v>
      </c>
      <c r="H14" s="6">
        <v>199</v>
      </c>
      <c r="I14" s="13">
        <v>227</v>
      </c>
      <c r="J14" s="6">
        <v>2</v>
      </c>
      <c r="K14" s="8">
        <v>0</v>
      </c>
    </row>
    <row r="15" spans="1:11" ht="17.25" customHeight="1" x14ac:dyDescent="0.25">
      <c r="A15" s="65">
        <v>23</v>
      </c>
      <c r="B15" s="82" t="s">
        <v>82</v>
      </c>
      <c r="C15" s="82" t="s">
        <v>83</v>
      </c>
      <c r="D15" s="11">
        <v>1</v>
      </c>
      <c r="E15" s="11">
        <v>223</v>
      </c>
      <c r="F15" s="6">
        <v>20</v>
      </c>
      <c r="G15" s="6">
        <v>8</v>
      </c>
      <c r="H15" s="6">
        <v>192</v>
      </c>
      <c r="I15" s="13">
        <v>220</v>
      </c>
      <c r="J15" s="6">
        <v>3</v>
      </c>
      <c r="K15" s="8">
        <v>0</v>
      </c>
    </row>
    <row r="16" spans="1:11" ht="17.25" customHeight="1" x14ac:dyDescent="0.25">
      <c r="A16" s="71"/>
      <c r="B16" s="83"/>
      <c r="C16" s="83"/>
      <c r="D16" s="11">
        <v>2</v>
      </c>
      <c r="E16" s="11">
        <v>286</v>
      </c>
      <c r="F16" s="6">
        <v>18</v>
      </c>
      <c r="G16" s="6">
        <v>3</v>
      </c>
      <c r="H16" s="6">
        <v>263</v>
      </c>
      <c r="I16" s="13">
        <v>284</v>
      </c>
      <c r="J16" s="6">
        <v>2</v>
      </c>
      <c r="K16" s="8">
        <v>0</v>
      </c>
    </row>
    <row r="17" spans="1:11" ht="17.25" customHeight="1" x14ac:dyDescent="0.25">
      <c r="A17" s="66"/>
      <c r="B17" s="84"/>
      <c r="C17" s="84"/>
      <c r="D17" s="11">
        <v>3</v>
      </c>
      <c r="E17" s="11">
        <v>394</v>
      </c>
      <c r="F17" s="6">
        <v>48</v>
      </c>
      <c r="G17" s="6">
        <v>31</v>
      </c>
      <c r="H17" s="6">
        <v>313</v>
      </c>
      <c r="I17" s="13">
        <v>392</v>
      </c>
      <c r="J17" s="6">
        <v>2</v>
      </c>
      <c r="K17" s="8">
        <v>0</v>
      </c>
    </row>
    <row r="18" spans="1:11" ht="17.25" customHeight="1" x14ac:dyDescent="0.25">
      <c r="A18" s="65">
        <v>24</v>
      </c>
      <c r="B18" s="91" t="s">
        <v>84</v>
      </c>
      <c r="C18" s="75" t="s">
        <v>85</v>
      </c>
      <c r="D18" s="11">
        <v>1</v>
      </c>
      <c r="E18" s="11">
        <v>176</v>
      </c>
      <c r="F18" s="6">
        <v>13</v>
      </c>
      <c r="G18" s="6">
        <v>2</v>
      </c>
      <c r="H18" s="6">
        <v>159</v>
      </c>
      <c r="I18" s="13">
        <v>174</v>
      </c>
      <c r="J18" s="6">
        <v>2</v>
      </c>
      <c r="K18" s="8">
        <v>0</v>
      </c>
    </row>
    <row r="19" spans="1:11" ht="17.25" customHeight="1" x14ac:dyDescent="0.25">
      <c r="A19" s="66"/>
      <c r="B19" s="92"/>
      <c r="C19" s="77"/>
      <c r="D19" s="11">
        <v>2</v>
      </c>
      <c r="E19" s="11">
        <v>213</v>
      </c>
      <c r="F19" s="6">
        <v>17</v>
      </c>
      <c r="G19" s="6">
        <v>8</v>
      </c>
      <c r="H19" s="6">
        <v>187</v>
      </c>
      <c r="I19" s="13">
        <v>212</v>
      </c>
      <c r="J19" s="6">
        <v>1</v>
      </c>
      <c r="K19" s="8">
        <v>0</v>
      </c>
    </row>
    <row r="20" spans="1:11" ht="30" customHeight="1" x14ac:dyDescent="0.25"/>
    <row r="21" spans="1:11" ht="244.95" customHeight="1" x14ac:dyDescent="0.25"/>
    <row r="22" spans="1:11" ht="244.95" customHeight="1" x14ac:dyDescent="0.25"/>
  </sheetData>
  <mergeCells count="23">
    <mergeCell ref="A15:A17"/>
    <mergeCell ref="B15:B17"/>
    <mergeCell ref="C15:C17"/>
    <mergeCell ref="A18:A19"/>
    <mergeCell ref="B18:B19"/>
    <mergeCell ref="C18:C19"/>
    <mergeCell ref="A5:A12"/>
    <mergeCell ref="B5:B12"/>
    <mergeCell ref="C5:C10"/>
    <mergeCell ref="C11:C12"/>
    <mergeCell ref="A13:A14"/>
    <mergeCell ref="B13:B14"/>
    <mergeCell ref="C13:C14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8"/>
  <sheetViews>
    <sheetView workbookViewId="0">
      <selection activeCell="A5" sqref="A5:K25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86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25</v>
      </c>
      <c r="B5" s="72" t="s">
        <v>87</v>
      </c>
      <c r="C5" s="88" t="s">
        <v>88</v>
      </c>
      <c r="D5" s="11">
        <v>1</v>
      </c>
      <c r="E5" s="11">
        <v>150</v>
      </c>
      <c r="F5" s="6">
        <v>22</v>
      </c>
      <c r="G5" s="6">
        <v>6</v>
      </c>
      <c r="H5" s="6">
        <v>121</v>
      </c>
      <c r="I5" s="8">
        <v>149</v>
      </c>
      <c r="J5" s="6">
        <v>1</v>
      </c>
      <c r="K5" s="8">
        <v>0</v>
      </c>
    </row>
    <row r="6" spans="1:11" ht="17.25" customHeight="1" x14ac:dyDescent="0.25">
      <c r="A6" s="71"/>
      <c r="B6" s="73"/>
      <c r="C6" s="89"/>
      <c r="D6" s="11">
        <v>2</v>
      </c>
      <c r="E6" s="11">
        <v>225</v>
      </c>
      <c r="F6" s="6">
        <v>28</v>
      </c>
      <c r="G6" s="6">
        <v>6</v>
      </c>
      <c r="H6" s="6">
        <v>190</v>
      </c>
      <c r="I6" s="8">
        <v>224</v>
      </c>
      <c r="J6" s="6">
        <v>1</v>
      </c>
      <c r="K6" s="8">
        <v>0</v>
      </c>
    </row>
    <row r="7" spans="1:11" ht="17.25" customHeight="1" x14ac:dyDescent="0.25">
      <c r="A7" s="71"/>
      <c r="B7" s="73"/>
      <c r="C7" s="89"/>
      <c r="D7" s="11">
        <v>3</v>
      </c>
      <c r="E7" s="11">
        <v>246</v>
      </c>
      <c r="F7" s="6">
        <v>26</v>
      </c>
      <c r="G7" s="6">
        <v>18</v>
      </c>
      <c r="H7" s="6">
        <v>196</v>
      </c>
      <c r="I7" s="8">
        <v>240</v>
      </c>
      <c r="J7" s="6">
        <v>6</v>
      </c>
      <c r="K7" s="8">
        <v>0</v>
      </c>
    </row>
    <row r="8" spans="1:11" ht="17.25" customHeight="1" x14ac:dyDescent="0.25">
      <c r="A8" s="71"/>
      <c r="B8" s="73"/>
      <c r="C8" s="89"/>
      <c r="D8" s="11">
        <v>4</v>
      </c>
      <c r="E8" s="11">
        <v>253</v>
      </c>
      <c r="F8" s="6">
        <v>30</v>
      </c>
      <c r="G8" s="6">
        <v>10</v>
      </c>
      <c r="H8" s="6">
        <v>211</v>
      </c>
      <c r="I8" s="8">
        <v>251</v>
      </c>
      <c r="J8" s="6">
        <v>2</v>
      </c>
      <c r="K8" s="8">
        <v>0</v>
      </c>
    </row>
    <row r="9" spans="1:11" ht="17.25" customHeight="1" x14ac:dyDescent="0.25">
      <c r="A9" s="71"/>
      <c r="B9" s="73"/>
      <c r="C9" s="89"/>
      <c r="D9" s="11">
        <v>5</v>
      </c>
      <c r="E9" s="11">
        <v>354</v>
      </c>
      <c r="F9" s="6">
        <v>39</v>
      </c>
      <c r="G9" s="6">
        <v>28</v>
      </c>
      <c r="H9" s="6">
        <v>286</v>
      </c>
      <c r="I9" s="8">
        <v>353</v>
      </c>
      <c r="J9" s="6">
        <v>1</v>
      </c>
      <c r="K9" s="8">
        <v>0</v>
      </c>
    </row>
    <row r="10" spans="1:11" ht="17.25" customHeight="1" x14ac:dyDescent="0.25">
      <c r="A10" s="71"/>
      <c r="B10" s="73"/>
      <c r="C10" s="89"/>
      <c r="D10" s="11">
        <v>6</v>
      </c>
      <c r="E10" s="11">
        <v>350</v>
      </c>
      <c r="F10" s="6">
        <v>35</v>
      </c>
      <c r="G10" s="6">
        <v>27</v>
      </c>
      <c r="H10" s="6">
        <v>287</v>
      </c>
      <c r="I10" s="8">
        <v>349</v>
      </c>
      <c r="J10" s="6">
        <v>1</v>
      </c>
      <c r="K10" s="8">
        <v>0</v>
      </c>
    </row>
    <row r="11" spans="1:11" ht="17.25" customHeight="1" x14ac:dyDescent="0.25">
      <c r="A11" s="66"/>
      <c r="B11" s="74"/>
      <c r="C11" s="90"/>
      <c r="D11" s="11">
        <v>7</v>
      </c>
      <c r="E11" s="11">
        <v>371</v>
      </c>
      <c r="F11" s="6">
        <v>31</v>
      </c>
      <c r="G11" s="6">
        <v>41</v>
      </c>
      <c r="H11" s="6">
        <v>298</v>
      </c>
      <c r="I11" s="8">
        <v>370</v>
      </c>
      <c r="J11" s="6">
        <v>1</v>
      </c>
      <c r="K11" s="8">
        <v>0</v>
      </c>
    </row>
    <row r="12" spans="1:11" ht="17.25" customHeight="1" x14ac:dyDescent="0.25">
      <c r="A12" s="65">
        <v>26</v>
      </c>
      <c r="B12" s="82" t="s">
        <v>89</v>
      </c>
      <c r="C12" s="88" t="s">
        <v>90</v>
      </c>
      <c r="D12" s="11">
        <v>1</v>
      </c>
      <c r="E12" s="11">
        <v>203</v>
      </c>
      <c r="F12" s="6">
        <v>30</v>
      </c>
      <c r="G12" s="6">
        <v>4</v>
      </c>
      <c r="H12" s="6">
        <v>162</v>
      </c>
      <c r="I12" s="8">
        <v>196</v>
      </c>
      <c r="J12" s="6">
        <v>7</v>
      </c>
      <c r="K12" s="8">
        <v>0</v>
      </c>
    </row>
    <row r="13" spans="1:11" ht="17.25" customHeight="1" x14ac:dyDescent="0.25">
      <c r="A13" s="71"/>
      <c r="B13" s="83"/>
      <c r="C13" s="89"/>
      <c r="D13" s="11">
        <v>2</v>
      </c>
      <c r="E13" s="11">
        <v>279</v>
      </c>
      <c r="F13" s="6">
        <v>32</v>
      </c>
      <c r="G13" s="6">
        <v>3</v>
      </c>
      <c r="H13" s="6">
        <v>242</v>
      </c>
      <c r="I13" s="8">
        <v>277</v>
      </c>
      <c r="J13" s="6">
        <v>2</v>
      </c>
      <c r="K13" s="8">
        <v>0</v>
      </c>
    </row>
    <row r="14" spans="1:11" ht="17.25" customHeight="1" x14ac:dyDescent="0.25">
      <c r="A14" s="71"/>
      <c r="B14" s="83"/>
      <c r="C14" s="89"/>
      <c r="D14" s="11">
        <v>3</v>
      </c>
      <c r="E14" s="11">
        <v>313</v>
      </c>
      <c r="F14" s="6">
        <v>26</v>
      </c>
      <c r="G14" s="6">
        <v>1</v>
      </c>
      <c r="H14" s="6">
        <v>280</v>
      </c>
      <c r="I14" s="8">
        <v>307</v>
      </c>
      <c r="J14" s="6">
        <v>6</v>
      </c>
      <c r="K14" s="8">
        <v>0</v>
      </c>
    </row>
    <row r="15" spans="1:11" ht="17.25" customHeight="1" x14ac:dyDescent="0.25">
      <c r="A15" s="71"/>
      <c r="B15" s="83"/>
      <c r="C15" s="89"/>
      <c r="D15" s="11">
        <v>4</v>
      </c>
      <c r="E15" s="11">
        <v>305</v>
      </c>
      <c r="F15" s="6">
        <v>25</v>
      </c>
      <c r="G15" s="6">
        <v>3</v>
      </c>
      <c r="H15" s="6">
        <v>274</v>
      </c>
      <c r="I15" s="8">
        <v>302</v>
      </c>
      <c r="J15" s="6">
        <v>3</v>
      </c>
      <c r="K15" s="8">
        <v>0</v>
      </c>
    </row>
    <row r="16" spans="1:11" ht="17.25" customHeight="1" x14ac:dyDescent="0.25">
      <c r="A16" s="71"/>
      <c r="B16" s="83"/>
      <c r="C16" s="89"/>
      <c r="D16" s="11">
        <v>5</v>
      </c>
      <c r="E16" s="11">
        <v>546</v>
      </c>
      <c r="F16" s="6">
        <v>19</v>
      </c>
      <c r="G16" s="6">
        <v>8</v>
      </c>
      <c r="H16" s="6">
        <v>518</v>
      </c>
      <c r="I16" s="8">
        <v>545</v>
      </c>
      <c r="J16" s="6">
        <v>1</v>
      </c>
      <c r="K16" s="8">
        <v>0</v>
      </c>
    </row>
    <row r="17" spans="1:11" ht="17.25" customHeight="1" x14ac:dyDescent="0.25">
      <c r="A17" s="71"/>
      <c r="B17" s="83"/>
      <c r="C17" s="89"/>
      <c r="D17" s="11">
        <v>6</v>
      </c>
      <c r="E17" s="11">
        <v>495</v>
      </c>
      <c r="F17" s="6">
        <v>21</v>
      </c>
      <c r="G17" s="6">
        <v>3</v>
      </c>
      <c r="H17" s="6">
        <v>471</v>
      </c>
      <c r="I17" s="8">
        <v>495</v>
      </c>
      <c r="J17" s="6">
        <v>0</v>
      </c>
      <c r="K17" s="8">
        <v>0</v>
      </c>
    </row>
    <row r="18" spans="1:11" ht="17.25" customHeight="1" x14ac:dyDescent="0.25">
      <c r="A18" s="66"/>
      <c r="B18" s="84"/>
      <c r="C18" s="90"/>
      <c r="D18" s="11">
        <v>7</v>
      </c>
      <c r="E18" s="11">
        <v>499</v>
      </c>
      <c r="F18" s="6">
        <v>25</v>
      </c>
      <c r="G18" s="6">
        <v>12</v>
      </c>
      <c r="H18" s="6">
        <v>462</v>
      </c>
      <c r="I18" s="8">
        <v>499</v>
      </c>
      <c r="J18" s="6">
        <v>0</v>
      </c>
      <c r="K18" s="8">
        <v>0</v>
      </c>
    </row>
    <row r="19" spans="1:11" ht="17.25" customHeight="1" x14ac:dyDescent="0.25">
      <c r="A19" s="65">
        <v>27</v>
      </c>
      <c r="B19" s="88" t="s">
        <v>91</v>
      </c>
      <c r="C19" s="82" t="s">
        <v>92</v>
      </c>
      <c r="D19" s="11">
        <v>1</v>
      </c>
      <c r="E19" s="11">
        <v>243</v>
      </c>
      <c r="F19" s="6">
        <v>110</v>
      </c>
      <c r="G19" s="6">
        <v>33</v>
      </c>
      <c r="H19" s="6">
        <v>97</v>
      </c>
      <c r="I19" s="8">
        <v>240</v>
      </c>
      <c r="J19" s="6">
        <v>3</v>
      </c>
      <c r="K19" s="8">
        <v>0</v>
      </c>
    </row>
    <row r="20" spans="1:11" ht="17.25" customHeight="1" x14ac:dyDescent="0.25">
      <c r="A20" s="71"/>
      <c r="B20" s="89"/>
      <c r="C20" s="83"/>
      <c r="D20" s="11">
        <v>2</v>
      </c>
      <c r="E20" s="11">
        <v>261</v>
      </c>
      <c r="F20" s="6">
        <v>88</v>
      </c>
      <c r="G20" s="6">
        <v>72</v>
      </c>
      <c r="H20" s="6">
        <v>97</v>
      </c>
      <c r="I20" s="8">
        <v>257</v>
      </c>
      <c r="J20" s="6">
        <v>4</v>
      </c>
      <c r="K20" s="8">
        <v>0</v>
      </c>
    </row>
    <row r="21" spans="1:11" ht="17.25" customHeight="1" x14ac:dyDescent="0.25">
      <c r="A21" s="71"/>
      <c r="B21" s="89"/>
      <c r="C21" s="83"/>
      <c r="D21" s="11">
        <v>3</v>
      </c>
      <c r="E21" s="11">
        <v>418</v>
      </c>
      <c r="F21" s="6">
        <v>137</v>
      </c>
      <c r="G21" s="6">
        <v>126</v>
      </c>
      <c r="H21" s="6">
        <v>154</v>
      </c>
      <c r="I21" s="8">
        <v>417</v>
      </c>
      <c r="J21" s="6">
        <v>1</v>
      </c>
      <c r="K21" s="8">
        <v>0</v>
      </c>
    </row>
    <row r="22" spans="1:11" ht="17.25" customHeight="1" x14ac:dyDescent="0.25">
      <c r="A22" s="71"/>
      <c r="B22" s="89"/>
      <c r="C22" s="83"/>
      <c r="D22" s="11">
        <v>4</v>
      </c>
      <c r="E22" s="11">
        <v>450</v>
      </c>
      <c r="F22" s="6">
        <v>137</v>
      </c>
      <c r="G22" s="6">
        <v>148</v>
      </c>
      <c r="H22" s="6">
        <v>165</v>
      </c>
      <c r="I22" s="8">
        <v>450</v>
      </c>
      <c r="J22" s="6">
        <v>0</v>
      </c>
      <c r="K22" s="8">
        <v>0</v>
      </c>
    </row>
    <row r="23" spans="1:11" ht="17.25" customHeight="1" x14ac:dyDescent="0.25">
      <c r="A23" s="71"/>
      <c r="B23" s="89"/>
      <c r="C23" s="84"/>
      <c r="D23" s="11">
        <v>5</v>
      </c>
      <c r="E23" s="11">
        <v>465</v>
      </c>
      <c r="F23" s="6">
        <v>114</v>
      </c>
      <c r="G23" s="6">
        <v>132</v>
      </c>
      <c r="H23" s="6">
        <v>217</v>
      </c>
      <c r="I23" s="8">
        <v>463</v>
      </c>
      <c r="J23" s="6">
        <v>2</v>
      </c>
      <c r="K23" s="8">
        <v>0</v>
      </c>
    </row>
    <row r="24" spans="1:11" ht="17.25" customHeight="1" x14ac:dyDescent="0.25">
      <c r="A24" s="71"/>
      <c r="B24" s="89"/>
      <c r="C24" s="95" t="s">
        <v>93</v>
      </c>
      <c r="D24" s="11">
        <v>1</v>
      </c>
      <c r="E24" s="11">
        <v>232</v>
      </c>
      <c r="F24" s="6">
        <v>59</v>
      </c>
      <c r="G24" s="6">
        <v>58</v>
      </c>
      <c r="H24" s="6">
        <v>114</v>
      </c>
      <c r="I24" s="8">
        <v>231</v>
      </c>
      <c r="J24" s="6">
        <v>1</v>
      </c>
      <c r="K24" s="8">
        <v>0</v>
      </c>
    </row>
    <row r="25" spans="1:11" ht="17.25" customHeight="1" x14ac:dyDescent="0.25">
      <c r="A25" s="66"/>
      <c r="B25" s="90"/>
      <c r="C25" s="96"/>
      <c r="D25" s="11">
        <v>2</v>
      </c>
      <c r="E25" s="11">
        <v>241</v>
      </c>
      <c r="F25" s="6">
        <v>49</v>
      </c>
      <c r="G25" s="6">
        <v>73</v>
      </c>
      <c r="H25" s="6">
        <v>119</v>
      </c>
      <c r="I25" s="8">
        <v>241</v>
      </c>
      <c r="J25" s="6">
        <v>0</v>
      </c>
      <c r="K25" s="8">
        <v>0</v>
      </c>
    </row>
    <row r="26" spans="1:11" ht="30" customHeight="1" x14ac:dyDescent="0.25"/>
    <row r="27" spans="1:11" ht="342" customHeight="1" x14ac:dyDescent="0.25"/>
    <row r="28" spans="1:11" ht="342" customHeight="1" x14ac:dyDescent="0.25"/>
  </sheetData>
  <mergeCells count="20">
    <mergeCell ref="A19:A25"/>
    <mergeCell ref="B19:B25"/>
    <mergeCell ref="C19:C23"/>
    <mergeCell ref="C24:C25"/>
    <mergeCell ref="A5:A11"/>
    <mergeCell ref="B5:B11"/>
    <mergeCell ref="C5:C11"/>
    <mergeCell ref="A12:A18"/>
    <mergeCell ref="B12:B18"/>
    <mergeCell ref="C12:C18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8"/>
  <sheetViews>
    <sheetView workbookViewId="0">
      <selection activeCell="A5" sqref="A5:K25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94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28</v>
      </c>
      <c r="B5" s="75" t="s">
        <v>95</v>
      </c>
      <c r="C5" s="82" t="s">
        <v>96</v>
      </c>
      <c r="D5" s="11">
        <v>1</v>
      </c>
      <c r="E5" s="11">
        <v>198</v>
      </c>
      <c r="F5" s="6">
        <v>17</v>
      </c>
      <c r="G5" s="6">
        <v>5</v>
      </c>
      <c r="H5" s="6">
        <v>172</v>
      </c>
      <c r="I5" s="8">
        <v>194</v>
      </c>
      <c r="J5" s="6">
        <v>4</v>
      </c>
      <c r="K5" s="8">
        <v>0</v>
      </c>
    </row>
    <row r="6" spans="1:11" ht="17.25" customHeight="1" x14ac:dyDescent="0.25">
      <c r="A6" s="71"/>
      <c r="B6" s="76"/>
      <c r="C6" s="83"/>
      <c r="D6" s="11">
        <v>2</v>
      </c>
      <c r="E6" s="11">
        <v>256</v>
      </c>
      <c r="F6" s="6">
        <v>26</v>
      </c>
      <c r="G6" s="6">
        <v>10</v>
      </c>
      <c r="H6" s="6">
        <v>218</v>
      </c>
      <c r="I6" s="8">
        <v>254</v>
      </c>
      <c r="J6" s="6">
        <v>2</v>
      </c>
      <c r="K6" s="8">
        <v>0</v>
      </c>
    </row>
    <row r="7" spans="1:11" ht="17.25" customHeight="1" x14ac:dyDescent="0.25">
      <c r="A7" s="66"/>
      <c r="B7" s="77"/>
      <c r="C7" s="84"/>
      <c r="D7" s="11">
        <v>3</v>
      </c>
      <c r="E7" s="11">
        <v>312</v>
      </c>
      <c r="F7" s="6">
        <v>33</v>
      </c>
      <c r="G7" s="6">
        <v>22</v>
      </c>
      <c r="H7" s="6">
        <v>257</v>
      </c>
      <c r="I7" s="8">
        <v>312</v>
      </c>
      <c r="J7" s="6">
        <v>0</v>
      </c>
      <c r="K7" s="8">
        <v>0</v>
      </c>
    </row>
    <row r="8" spans="1:11" ht="17.25" customHeight="1" x14ac:dyDescent="0.25">
      <c r="A8" s="65">
        <v>29</v>
      </c>
      <c r="B8" s="75" t="s">
        <v>97</v>
      </c>
      <c r="C8" s="69" t="s">
        <v>98</v>
      </c>
      <c r="D8" s="11">
        <v>1</v>
      </c>
      <c r="E8" s="11">
        <v>213</v>
      </c>
      <c r="F8" s="6">
        <v>23</v>
      </c>
      <c r="G8" s="6">
        <v>6</v>
      </c>
      <c r="H8" s="6">
        <v>180</v>
      </c>
      <c r="I8" s="8">
        <v>209</v>
      </c>
      <c r="J8" s="6">
        <v>4</v>
      </c>
      <c r="K8" s="8">
        <v>0</v>
      </c>
    </row>
    <row r="9" spans="1:11" ht="17.25" customHeight="1" x14ac:dyDescent="0.25">
      <c r="A9" s="71"/>
      <c r="B9" s="76"/>
      <c r="C9" s="81"/>
      <c r="D9" s="11">
        <v>2</v>
      </c>
      <c r="E9" s="11">
        <v>288</v>
      </c>
      <c r="F9" s="6">
        <v>30</v>
      </c>
      <c r="G9" s="6">
        <v>12</v>
      </c>
      <c r="H9" s="6">
        <v>246</v>
      </c>
      <c r="I9" s="8">
        <v>288</v>
      </c>
      <c r="J9" s="6">
        <v>0</v>
      </c>
      <c r="K9" s="8">
        <v>0</v>
      </c>
    </row>
    <row r="10" spans="1:11" ht="17.25" customHeight="1" x14ac:dyDescent="0.25">
      <c r="A10" s="71"/>
      <c r="B10" s="76"/>
      <c r="C10" s="81"/>
      <c r="D10" s="11">
        <v>3</v>
      </c>
      <c r="E10" s="11">
        <v>327</v>
      </c>
      <c r="F10" s="6">
        <v>41</v>
      </c>
      <c r="G10" s="6">
        <v>9</v>
      </c>
      <c r="H10" s="6">
        <v>273</v>
      </c>
      <c r="I10" s="8">
        <v>323</v>
      </c>
      <c r="J10" s="6">
        <v>4</v>
      </c>
      <c r="K10" s="8">
        <v>0</v>
      </c>
    </row>
    <row r="11" spans="1:11" ht="17.25" customHeight="1" x14ac:dyDescent="0.25">
      <c r="A11" s="71"/>
      <c r="B11" s="76"/>
      <c r="C11" s="81"/>
      <c r="D11" s="11">
        <v>4</v>
      </c>
      <c r="E11" s="11">
        <v>303</v>
      </c>
      <c r="F11" s="6">
        <v>36</v>
      </c>
      <c r="G11" s="6">
        <v>19</v>
      </c>
      <c r="H11" s="6">
        <v>246</v>
      </c>
      <c r="I11" s="8">
        <v>301</v>
      </c>
      <c r="J11" s="6">
        <v>2</v>
      </c>
      <c r="K11" s="8">
        <v>0</v>
      </c>
    </row>
    <row r="12" spans="1:11" ht="17.25" customHeight="1" x14ac:dyDescent="0.25">
      <c r="A12" s="66"/>
      <c r="B12" s="77"/>
      <c r="C12" s="70"/>
      <c r="D12" s="11">
        <v>5</v>
      </c>
      <c r="E12" s="11">
        <v>325</v>
      </c>
      <c r="F12" s="6">
        <v>49</v>
      </c>
      <c r="G12" s="6">
        <v>41</v>
      </c>
      <c r="H12" s="6">
        <v>233</v>
      </c>
      <c r="I12" s="8">
        <v>323</v>
      </c>
      <c r="J12" s="6">
        <v>2</v>
      </c>
      <c r="K12" s="8">
        <v>0</v>
      </c>
    </row>
    <row r="13" spans="1:11" ht="17.25" customHeight="1" x14ac:dyDescent="0.25">
      <c r="A13" s="65">
        <v>30</v>
      </c>
      <c r="B13" s="82" t="s">
        <v>99</v>
      </c>
      <c r="C13" s="82" t="s">
        <v>100</v>
      </c>
      <c r="D13" s="11">
        <v>1</v>
      </c>
      <c r="E13" s="11">
        <v>247</v>
      </c>
      <c r="F13" s="6">
        <v>59</v>
      </c>
      <c r="G13" s="6">
        <v>15</v>
      </c>
      <c r="H13" s="6">
        <v>168</v>
      </c>
      <c r="I13" s="8">
        <v>242</v>
      </c>
      <c r="J13" s="6">
        <v>5</v>
      </c>
      <c r="K13" s="8">
        <v>0</v>
      </c>
    </row>
    <row r="14" spans="1:11" ht="17.25" customHeight="1" x14ac:dyDescent="0.25">
      <c r="A14" s="71"/>
      <c r="B14" s="83"/>
      <c r="C14" s="83"/>
      <c r="D14" s="11">
        <v>2</v>
      </c>
      <c r="E14" s="11">
        <v>305</v>
      </c>
      <c r="F14" s="6">
        <v>56</v>
      </c>
      <c r="G14" s="6">
        <v>17</v>
      </c>
      <c r="H14" s="6">
        <v>227</v>
      </c>
      <c r="I14" s="8">
        <v>300</v>
      </c>
      <c r="J14" s="6">
        <v>5</v>
      </c>
      <c r="K14" s="8">
        <v>0</v>
      </c>
    </row>
    <row r="15" spans="1:11" ht="17.25" customHeight="1" x14ac:dyDescent="0.25">
      <c r="A15" s="71"/>
      <c r="B15" s="83"/>
      <c r="C15" s="83"/>
      <c r="D15" s="11">
        <v>3</v>
      </c>
      <c r="E15" s="11">
        <v>316</v>
      </c>
      <c r="F15" s="6">
        <v>62</v>
      </c>
      <c r="G15" s="6">
        <v>30</v>
      </c>
      <c r="H15" s="6">
        <v>216</v>
      </c>
      <c r="I15" s="8">
        <v>308</v>
      </c>
      <c r="J15" s="6">
        <v>7</v>
      </c>
      <c r="K15" s="8">
        <v>1</v>
      </c>
    </row>
    <row r="16" spans="1:11" ht="17.25" customHeight="1" x14ac:dyDescent="0.25">
      <c r="A16" s="71"/>
      <c r="B16" s="83"/>
      <c r="C16" s="83"/>
      <c r="D16" s="11">
        <v>4</v>
      </c>
      <c r="E16" s="11">
        <v>401</v>
      </c>
      <c r="F16" s="6">
        <v>83</v>
      </c>
      <c r="G16" s="6">
        <v>60</v>
      </c>
      <c r="H16" s="6">
        <v>224</v>
      </c>
      <c r="I16" s="8">
        <v>367</v>
      </c>
      <c r="J16" s="6">
        <v>34</v>
      </c>
      <c r="K16" s="8">
        <v>0</v>
      </c>
    </row>
    <row r="17" spans="1:11" ht="17.25" customHeight="1" x14ac:dyDescent="0.25">
      <c r="A17" s="71"/>
      <c r="B17" s="83"/>
      <c r="C17" s="83"/>
      <c r="D17" s="11">
        <v>5</v>
      </c>
      <c r="E17" s="11">
        <v>420</v>
      </c>
      <c r="F17" s="6">
        <v>67</v>
      </c>
      <c r="G17" s="6">
        <v>81</v>
      </c>
      <c r="H17" s="6">
        <v>271</v>
      </c>
      <c r="I17" s="8">
        <v>419</v>
      </c>
      <c r="J17" s="6">
        <v>1</v>
      </c>
      <c r="K17" s="8">
        <v>0</v>
      </c>
    </row>
    <row r="18" spans="1:11" ht="17.25" customHeight="1" x14ac:dyDescent="0.25">
      <c r="A18" s="71"/>
      <c r="B18" s="83"/>
      <c r="C18" s="83"/>
      <c r="D18" s="11">
        <v>6</v>
      </c>
      <c r="E18" s="11">
        <v>396</v>
      </c>
      <c r="F18" s="6">
        <v>66</v>
      </c>
      <c r="G18" s="6">
        <v>56</v>
      </c>
      <c r="H18" s="6">
        <v>269</v>
      </c>
      <c r="I18" s="8">
        <v>391</v>
      </c>
      <c r="J18" s="6">
        <v>5</v>
      </c>
      <c r="K18" s="8">
        <v>0</v>
      </c>
    </row>
    <row r="19" spans="1:11" ht="17.25" customHeight="1" x14ac:dyDescent="0.25">
      <c r="A19" s="66"/>
      <c r="B19" s="84"/>
      <c r="C19" s="84"/>
      <c r="D19" s="11">
        <v>7</v>
      </c>
      <c r="E19" s="11">
        <v>458</v>
      </c>
      <c r="F19" s="6">
        <v>59</v>
      </c>
      <c r="G19" s="6">
        <v>65</v>
      </c>
      <c r="H19" s="6">
        <v>331</v>
      </c>
      <c r="I19" s="8">
        <v>455</v>
      </c>
      <c r="J19" s="6">
        <v>3</v>
      </c>
      <c r="K19" s="8">
        <v>0</v>
      </c>
    </row>
    <row r="20" spans="1:11" ht="17.25" customHeight="1" x14ac:dyDescent="0.25">
      <c r="A20" s="65">
        <v>31</v>
      </c>
      <c r="B20" s="75" t="s">
        <v>101</v>
      </c>
      <c r="C20" s="88" t="s">
        <v>102</v>
      </c>
      <c r="D20" s="11">
        <v>1</v>
      </c>
      <c r="E20" s="11">
        <v>267</v>
      </c>
      <c r="F20" s="6">
        <v>51</v>
      </c>
      <c r="G20" s="6">
        <v>8</v>
      </c>
      <c r="H20" s="6">
        <v>206</v>
      </c>
      <c r="I20" s="8">
        <v>265</v>
      </c>
      <c r="J20" s="6">
        <v>2</v>
      </c>
      <c r="K20" s="8">
        <v>0</v>
      </c>
    </row>
    <row r="21" spans="1:11" ht="17.25" customHeight="1" x14ac:dyDescent="0.25">
      <c r="A21" s="71"/>
      <c r="B21" s="76"/>
      <c r="C21" s="89"/>
      <c r="D21" s="11">
        <v>2</v>
      </c>
      <c r="E21" s="11">
        <v>324</v>
      </c>
      <c r="F21" s="6">
        <v>51</v>
      </c>
      <c r="G21" s="6">
        <v>10</v>
      </c>
      <c r="H21" s="6">
        <v>263</v>
      </c>
      <c r="I21" s="8">
        <v>324</v>
      </c>
      <c r="J21" s="6">
        <v>0</v>
      </c>
      <c r="K21" s="8">
        <v>0</v>
      </c>
    </row>
    <row r="22" spans="1:11" ht="17.25" customHeight="1" x14ac:dyDescent="0.25">
      <c r="A22" s="71"/>
      <c r="B22" s="76"/>
      <c r="C22" s="89"/>
      <c r="D22" s="11">
        <v>3</v>
      </c>
      <c r="E22" s="11">
        <v>325</v>
      </c>
      <c r="F22" s="6">
        <v>43</v>
      </c>
      <c r="G22" s="6">
        <v>13</v>
      </c>
      <c r="H22" s="6">
        <v>268</v>
      </c>
      <c r="I22" s="8">
        <v>324</v>
      </c>
      <c r="J22" s="6">
        <v>1</v>
      </c>
      <c r="K22" s="8">
        <v>0</v>
      </c>
    </row>
    <row r="23" spans="1:11" ht="17.25" customHeight="1" x14ac:dyDescent="0.25">
      <c r="A23" s="71"/>
      <c r="B23" s="76"/>
      <c r="C23" s="89"/>
      <c r="D23" s="11">
        <v>4</v>
      </c>
      <c r="E23" s="11">
        <v>513</v>
      </c>
      <c r="F23" s="6">
        <v>29</v>
      </c>
      <c r="G23" s="6">
        <v>27</v>
      </c>
      <c r="H23" s="6">
        <v>453</v>
      </c>
      <c r="I23" s="8">
        <v>509</v>
      </c>
      <c r="J23" s="6">
        <v>4</v>
      </c>
      <c r="K23" s="8">
        <v>0</v>
      </c>
    </row>
    <row r="24" spans="1:11" ht="17.25" customHeight="1" x14ac:dyDescent="0.25">
      <c r="A24" s="71"/>
      <c r="B24" s="76"/>
      <c r="C24" s="89"/>
      <c r="D24" s="11">
        <v>5</v>
      </c>
      <c r="E24" s="11">
        <v>459</v>
      </c>
      <c r="F24" s="6">
        <v>31</v>
      </c>
      <c r="G24" s="6">
        <v>18</v>
      </c>
      <c r="H24" s="6">
        <v>410</v>
      </c>
      <c r="I24" s="8">
        <v>459</v>
      </c>
      <c r="J24" s="6">
        <v>0</v>
      </c>
      <c r="K24" s="8">
        <v>0</v>
      </c>
    </row>
    <row r="25" spans="1:11" ht="17.25" customHeight="1" x14ac:dyDescent="0.25">
      <c r="A25" s="66"/>
      <c r="B25" s="77"/>
      <c r="C25" s="90"/>
      <c r="D25" s="11">
        <v>6</v>
      </c>
      <c r="E25" s="11">
        <v>483</v>
      </c>
      <c r="F25" s="6">
        <v>30</v>
      </c>
      <c r="G25" s="6">
        <v>34</v>
      </c>
      <c r="H25" s="6">
        <v>408</v>
      </c>
      <c r="I25" s="8">
        <v>472</v>
      </c>
      <c r="J25" s="6">
        <v>11</v>
      </c>
      <c r="K25" s="8">
        <v>0</v>
      </c>
    </row>
    <row r="26" spans="1:11" ht="30" customHeight="1" x14ac:dyDescent="0.25"/>
    <row r="27" spans="1:11" ht="342" customHeight="1" x14ac:dyDescent="0.25"/>
    <row r="28" spans="1:11" ht="342" customHeight="1" x14ac:dyDescent="0.25"/>
  </sheetData>
  <mergeCells count="22">
    <mergeCell ref="A13:A19"/>
    <mergeCell ref="B13:B19"/>
    <mergeCell ref="C13:C19"/>
    <mergeCell ref="A20:A25"/>
    <mergeCell ref="B20:B25"/>
    <mergeCell ref="C20:C25"/>
    <mergeCell ref="A5:A7"/>
    <mergeCell ref="B5:B7"/>
    <mergeCell ref="C5:C7"/>
    <mergeCell ref="A8:A12"/>
    <mergeCell ref="B8:B12"/>
    <mergeCell ref="C8:C12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8"/>
  <sheetViews>
    <sheetView workbookViewId="0">
      <selection activeCell="A5" sqref="A5:K15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103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31</v>
      </c>
      <c r="B5" s="75" t="s">
        <v>101</v>
      </c>
      <c r="C5" s="82" t="s">
        <v>104</v>
      </c>
      <c r="D5" s="11">
        <v>1</v>
      </c>
      <c r="E5" s="11">
        <v>284</v>
      </c>
      <c r="F5" s="6">
        <v>121</v>
      </c>
      <c r="G5" s="6">
        <v>21</v>
      </c>
      <c r="H5" s="6">
        <v>139</v>
      </c>
      <c r="I5" s="8">
        <v>281</v>
      </c>
      <c r="J5" s="6">
        <v>3</v>
      </c>
      <c r="K5" s="8">
        <v>0</v>
      </c>
    </row>
    <row r="6" spans="1:11" ht="17.25" customHeight="1" x14ac:dyDescent="0.25">
      <c r="A6" s="71"/>
      <c r="B6" s="76"/>
      <c r="C6" s="83"/>
      <c r="D6" s="11">
        <v>2</v>
      </c>
      <c r="E6" s="11">
        <v>343</v>
      </c>
      <c r="F6" s="6">
        <v>92</v>
      </c>
      <c r="G6" s="6">
        <v>52</v>
      </c>
      <c r="H6" s="6">
        <v>197</v>
      </c>
      <c r="I6" s="8">
        <v>341</v>
      </c>
      <c r="J6" s="6">
        <v>2</v>
      </c>
      <c r="K6" s="8">
        <v>0</v>
      </c>
    </row>
    <row r="7" spans="1:11" ht="17.25" customHeight="1" x14ac:dyDescent="0.25">
      <c r="A7" s="66"/>
      <c r="B7" s="77"/>
      <c r="C7" s="84"/>
      <c r="D7" s="11">
        <v>3</v>
      </c>
      <c r="E7" s="11">
        <v>324</v>
      </c>
      <c r="F7" s="6">
        <v>102</v>
      </c>
      <c r="G7" s="6">
        <v>114</v>
      </c>
      <c r="H7" s="6">
        <v>107</v>
      </c>
      <c r="I7" s="8">
        <v>323</v>
      </c>
      <c r="J7" s="6">
        <v>1</v>
      </c>
      <c r="K7" s="8">
        <v>0</v>
      </c>
    </row>
    <row r="8" spans="1:11" ht="17.25" customHeight="1" x14ac:dyDescent="0.25">
      <c r="A8" s="65">
        <v>32</v>
      </c>
      <c r="B8" s="88" t="s">
        <v>105</v>
      </c>
      <c r="C8" s="75" t="s">
        <v>106</v>
      </c>
      <c r="D8" s="11">
        <v>1</v>
      </c>
      <c r="E8" s="11">
        <v>256</v>
      </c>
      <c r="F8" s="6">
        <v>31</v>
      </c>
      <c r="G8" s="6">
        <v>11</v>
      </c>
      <c r="H8" s="6">
        <v>210</v>
      </c>
      <c r="I8" s="8">
        <v>252</v>
      </c>
      <c r="J8" s="6">
        <v>4</v>
      </c>
      <c r="K8" s="8">
        <v>0</v>
      </c>
    </row>
    <row r="9" spans="1:11" ht="17.25" customHeight="1" x14ac:dyDescent="0.25">
      <c r="A9" s="71"/>
      <c r="B9" s="89"/>
      <c r="C9" s="76"/>
      <c r="D9" s="11">
        <v>2</v>
      </c>
      <c r="E9" s="11">
        <v>283</v>
      </c>
      <c r="F9" s="6">
        <v>39</v>
      </c>
      <c r="G9" s="6">
        <v>7</v>
      </c>
      <c r="H9" s="6">
        <v>231</v>
      </c>
      <c r="I9" s="8">
        <v>277</v>
      </c>
      <c r="J9" s="6">
        <v>6</v>
      </c>
      <c r="K9" s="8">
        <v>0</v>
      </c>
    </row>
    <row r="10" spans="1:11" ht="17.25" customHeight="1" x14ac:dyDescent="0.25">
      <c r="A10" s="71"/>
      <c r="B10" s="89"/>
      <c r="C10" s="76"/>
      <c r="D10" s="11">
        <v>3</v>
      </c>
      <c r="E10" s="11">
        <v>295</v>
      </c>
      <c r="F10" s="6">
        <v>36</v>
      </c>
      <c r="G10" s="6">
        <v>10</v>
      </c>
      <c r="H10" s="6">
        <v>246</v>
      </c>
      <c r="I10" s="8">
        <v>292</v>
      </c>
      <c r="J10" s="6">
        <v>3</v>
      </c>
      <c r="K10" s="8">
        <v>0</v>
      </c>
    </row>
    <row r="11" spans="1:11" ht="17.25" customHeight="1" x14ac:dyDescent="0.25">
      <c r="A11" s="71"/>
      <c r="B11" s="89"/>
      <c r="C11" s="76"/>
      <c r="D11" s="11">
        <v>4</v>
      </c>
      <c r="E11" s="11">
        <v>448</v>
      </c>
      <c r="F11" s="6">
        <v>30</v>
      </c>
      <c r="G11" s="6">
        <v>37</v>
      </c>
      <c r="H11" s="6">
        <v>380</v>
      </c>
      <c r="I11" s="8">
        <v>447</v>
      </c>
      <c r="J11" s="6">
        <v>1</v>
      </c>
      <c r="K11" s="8">
        <v>0</v>
      </c>
    </row>
    <row r="12" spans="1:11" ht="17.25" customHeight="1" x14ac:dyDescent="0.25">
      <c r="A12" s="71"/>
      <c r="B12" s="89"/>
      <c r="C12" s="76"/>
      <c r="D12" s="11">
        <v>5</v>
      </c>
      <c r="E12" s="11">
        <v>419</v>
      </c>
      <c r="F12" s="6">
        <v>36</v>
      </c>
      <c r="G12" s="6">
        <v>24</v>
      </c>
      <c r="H12" s="6">
        <v>358</v>
      </c>
      <c r="I12" s="8">
        <v>418</v>
      </c>
      <c r="J12" s="6">
        <v>1</v>
      </c>
      <c r="K12" s="8">
        <v>0</v>
      </c>
    </row>
    <row r="13" spans="1:11" ht="17.25" customHeight="1" x14ac:dyDescent="0.25">
      <c r="A13" s="66"/>
      <c r="B13" s="90"/>
      <c r="C13" s="77"/>
      <c r="D13" s="11">
        <v>6</v>
      </c>
      <c r="E13" s="11">
        <v>426</v>
      </c>
      <c r="F13" s="6">
        <v>30</v>
      </c>
      <c r="G13" s="6">
        <v>30</v>
      </c>
      <c r="H13" s="6">
        <v>363</v>
      </c>
      <c r="I13" s="8">
        <v>423</v>
      </c>
      <c r="J13" s="6">
        <v>3</v>
      </c>
      <c r="K13" s="8">
        <v>0</v>
      </c>
    </row>
    <row r="14" spans="1:11" ht="17.25" customHeight="1" x14ac:dyDescent="0.25">
      <c r="A14" s="65">
        <v>33</v>
      </c>
      <c r="B14" s="91" t="s">
        <v>107</v>
      </c>
      <c r="C14" s="67" t="s">
        <v>108</v>
      </c>
      <c r="D14" s="11">
        <v>1</v>
      </c>
      <c r="E14" s="11">
        <v>298</v>
      </c>
      <c r="F14" s="6">
        <v>50</v>
      </c>
      <c r="G14" s="6">
        <v>9</v>
      </c>
      <c r="H14" s="6">
        <v>239</v>
      </c>
      <c r="I14" s="8">
        <v>298</v>
      </c>
      <c r="J14" s="6">
        <v>0</v>
      </c>
      <c r="K14" s="8">
        <v>0</v>
      </c>
    </row>
    <row r="15" spans="1:11" ht="17.25" customHeight="1" x14ac:dyDescent="0.25">
      <c r="A15" s="66"/>
      <c r="B15" s="92"/>
      <c r="C15" s="68"/>
      <c r="D15" s="11">
        <v>2</v>
      </c>
      <c r="E15" s="11">
        <v>426</v>
      </c>
      <c r="F15" s="6">
        <v>52</v>
      </c>
      <c r="G15" s="6">
        <v>49</v>
      </c>
      <c r="H15" s="6">
        <v>325</v>
      </c>
      <c r="I15" s="8">
        <v>426</v>
      </c>
      <c r="J15" s="6">
        <v>0</v>
      </c>
      <c r="K15" s="8">
        <v>0</v>
      </c>
    </row>
    <row r="16" spans="1:11" ht="30" customHeight="1" x14ac:dyDescent="0.25"/>
    <row r="17" ht="180" customHeight="1" x14ac:dyDescent="0.25"/>
    <row r="18" ht="180" customHeight="1" x14ac:dyDescent="0.25"/>
  </sheetData>
  <mergeCells count="19">
    <mergeCell ref="A14:A15"/>
    <mergeCell ref="B14:B15"/>
    <mergeCell ref="C14:C15"/>
    <mergeCell ref="A5:A7"/>
    <mergeCell ref="B5:B7"/>
    <mergeCell ref="C5:C7"/>
    <mergeCell ref="A8:A13"/>
    <mergeCell ref="B8:B13"/>
    <mergeCell ref="C8:C13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7"/>
  <sheetViews>
    <sheetView topLeftCell="A5" workbookViewId="0">
      <selection activeCell="A5" sqref="A5:K24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0" width="12.88671875" customWidth="1"/>
    <col min="11" max="11" width="13.109375" customWidth="1"/>
  </cols>
  <sheetData>
    <row r="1" spans="1:11" ht="34.799999999999997" customHeight="1" x14ac:dyDescent="0.25">
      <c r="A1" s="37" t="s">
        <v>109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34</v>
      </c>
      <c r="B5" s="72" t="s">
        <v>110</v>
      </c>
      <c r="C5" s="82" t="s">
        <v>111</v>
      </c>
      <c r="D5" s="6">
        <v>1</v>
      </c>
      <c r="E5" s="11">
        <v>191</v>
      </c>
      <c r="F5" s="6">
        <v>37</v>
      </c>
      <c r="G5" s="6">
        <v>13</v>
      </c>
      <c r="H5" s="6">
        <v>134</v>
      </c>
      <c r="I5" s="8">
        <v>184</v>
      </c>
      <c r="J5" s="6">
        <v>7</v>
      </c>
      <c r="K5" s="8">
        <v>0</v>
      </c>
    </row>
    <row r="6" spans="1:11" ht="17.25" customHeight="1" x14ac:dyDescent="0.25">
      <c r="A6" s="71"/>
      <c r="B6" s="73"/>
      <c r="C6" s="83"/>
      <c r="D6" s="6">
        <v>2</v>
      </c>
      <c r="E6" s="11">
        <v>283</v>
      </c>
      <c r="F6" s="6">
        <v>48</v>
      </c>
      <c r="G6" s="6">
        <v>10</v>
      </c>
      <c r="H6" s="6">
        <v>222</v>
      </c>
      <c r="I6" s="8">
        <v>280</v>
      </c>
      <c r="J6" s="6">
        <v>3</v>
      </c>
      <c r="K6" s="8">
        <v>0</v>
      </c>
    </row>
    <row r="7" spans="1:11" ht="17.25" customHeight="1" x14ac:dyDescent="0.25">
      <c r="A7" s="71"/>
      <c r="B7" s="73"/>
      <c r="C7" s="83"/>
      <c r="D7" s="6">
        <v>3</v>
      </c>
      <c r="E7" s="11">
        <v>294</v>
      </c>
      <c r="F7" s="6">
        <v>53</v>
      </c>
      <c r="G7" s="6">
        <v>20</v>
      </c>
      <c r="H7" s="6">
        <v>219</v>
      </c>
      <c r="I7" s="8">
        <v>292</v>
      </c>
      <c r="J7" s="6">
        <v>2</v>
      </c>
      <c r="K7" s="8">
        <v>0</v>
      </c>
    </row>
    <row r="8" spans="1:11" ht="17.25" customHeight="1" x14ac:dyDescent="0.25">
      <c r="A8" s="71"/>
      <c r="B8" s="73"/>
      <c r="C8" s="83"/>
      <c r="D8" s="6">
        <v>4</v>
      </c>
      <c r="E8" s="11">
        <v>297</v>
      </c>
      <c r="F8" s="6">
        <v>62</v>
      </c>
      <c r="G8" s="6">
        <v>22</v>
      </c>
      <c r="H8" s="6">
        <v>210</v>
      </c>
      <c r="I8" s="8">
        <v>294</v>
      </c>
      <c r="J8" s="6">
        <v>3</v>
      </c>
      <c r="K8" s="8">
        <v>0</v>
      </c>
    </row>
    <row r="9" spans="1:11" ht="17.25" customHeight="1" x14ac:dyDescent="0.25">
      <c r="A9" s="71"/>
      <c r="B9" s="73"/>
      <c r="C9" s="83"/>
      <c r="D9" s="6">
        <v>5</v>
      </c>
      <c r="E9" s="11">
        <v>301</v>
      </c>
      <c r="F9" s="6">
        <v>36</v>
      </c>
      <c r="G9" s="6">
        <v>17</v>
      </c>
      <c r="H9" s="6">
        <v>247</v>
      </c>
      <c r="I9" s="8">
        <v>300</v>
      </c>
      <c r="J9" s="6">
        <v>1</v>
      </c>
      <c r="K9" s="8">
        <v>0</v>
      </c>
    </row>
    <row r="10" spans="1:11" ht="17.25" customHeight="1" x14ac:dyDescent="0.25">
      <c r="A10" s="71"/>
      <c r="B10" s="73"/>
      <c r="C10" s="83"/>
      <c r="D10" s="6">
        <v>6</v>
      </c>
      <c r="E10" s="11">
        <v>296</v>
      </c>
      <c r="F10" s="6">
        <v>33</v>
      </c>
      <c r="G10" s="6">
        <v>16</v>
      </c>
      <c r="H10" s="6">
        <v>241</v>
      </c>
      <c r="I10" s="8">
        <v>290</v>
      </c>
      <c r="J10" s="6">
        <v>6</v>
      </c>
      <c r="K10" s="8">
        <v>0</v>
      </c>
    </row>
    <row r="11" spans="1:11" ht="17.25" customHeight="1" x14ac:dyDescent="0.25">
      <c r="A11" s="71"/>
      <c r="B11" s="73"/>
      <c r="C11" s="83"/>
      <c r="D11" s="6">
        <v>7</v>
      </c>
      <c r="E11" s="11">
        <v>294</v>
      </c>
      <c r="F11" s="6">
        <v>25</v>
      </c>
      <c r="G11" s="6">
        <v>12</v>
      </c>
      <c r="H11" s="6">
        <v>255</v>
      </c>
      <c r="I11" s="8">
        <v>292</v>
      </c>
      <c r="J11" s="6">
        <v>2</v>
      </c>
      <c r="K11" s="8">
        <v>0</v>
      </c>
    </row>
    <row r="12" spans="1:11" ht="17.25" customHeight="1" x14ac:dyDescent="0.25">
      <c r="A12" s="71"/>
      <c r="B12" s="73"/>
      <c r="C12" s="83"/>
      <c r="D12" s="6">
        <v>8</v>
      </c>
      <c r="E12" s="11">
        <v>434</v>
      </c>
      <c r="F12" s="6">
        <v>21</v>
      </c>
      <c r="G12" s="6">
        <v>9</v>
      </c>
      <c r="H12" s="6">
        <v>399</v>
      </c>
      <c r="I12" s="8">
        <v>429</v>
      </c>
      <c r="J12" s="6">
        <v>5</v>
      </c>
      <c r="K12" s="8">
        <v>0</v>
      </c>
    </row>
    <row r="13" spans="1:11" ht="17.25" customHeight="1" x14ac:dyDescent="0.25">
      <c r="A13" s="71"/>
      <c r="B13" s="73"/>
      <c r="C13" s="83"/>
      <c r="D13" s="6">
        <v>9</v>
      </c>
      <c r="E13" s="11">
        <v>426</v>
      </c>
      <c r="F13" s="6">
        <v>34</v>
      </c>
      <c r="G13" s="6">
        <v>18</v>
      </c>
      <c r="H13" s="6">
        <v>374</v>
      </c>
      <c r="I13" s="8">
        <v>426</v>
      </c>
      <c r="J13" s="6">
        <v>0</v>
      </c>
      <c r="K13" s="8">
        <v>0</v>
      </c>
    </row>
    <row r="14" spans="1:11" ht="17.25" customHeight="1" x14ac:dyDescent="0.25">
      <c r="A14" s="71"/>
      <c r="B14" s="73"/>
      <c r="C14" s="83"/>
      <c r="D14" s="6">
        <v>10</v>
      </c>
      <c r="E14" s="11">
        <v>424</v>
      </c>
      <c r="F14" s="6">
        <v>37</v>
      </c>
      <c r="G14" s="6">
        <v>23</v>
      </c>
      <c r="H14" s="6">
        <v>363</v>
      </c>
      <c r="I14" s="8">
        <v>423</v>
      </c>
      <c r="J14" s="6">
        <v>1</v>
      </c>
      <c r="K14" s="8">
        <v>0</v>
      </c>
    </row>
    <row r="15" spans="1:11" ht="17.25" customHeight="1" x14ac:dyDescent="0.25">
      <c r="A15" s="71"/>
      <c r="B15" s="73"/>
      <c r="C15" s="83"/>
      <c r="D15" s="6">
        <v>11</v>
      </c>
      <c r="E15" s="11">
        <v>404</v>
      </c>
      <c r="F15" s="6">
        <v>44</v>
      </c>
      <c r="G15" s="6">
        <v>38</v>
      </c>
      <c r="H15" s="6">
        <v>319</v>
      </c>
      <c r="I15" s="8">
        <v>401</v>
      </c>
      <c r="J15" s="6">
        <v>1</v>
      </c>
      <c r="K15" s="8">
        <v>2</v>
      </c>
    </row>
    <row r="16" spans="1:11" ht="17.25" customHeight="1" x14ac:dyDescent="0.25">
      <c r="A16" s="71"/>
      <c r="B16" s="73"/>
      <c r="C16" s="83"/>
      <c r="D16" s="6">
        <v>12</v>
      </c>
      <c r="E16" s="11">
        <v>394</v>
      </c>
      <c r="F16" s="6">
        <v>47</v>
      </c>
      <c r="G16" s="6">
        <v>43</v>
      </c>
      <c r="H16" s="6">
        <v>304</v>
      </c>
      <c r="I16" s="8">
        <v>394</v>
      </c>
      <c r="J16" s="6">
        <v>0</v>
      </c>
      <c r="K16" s="8">
        <v>0</v>
      </c>
    </row>
    <row r="17" spans="1:11" ht="17.25" customHeight="1" x14ac:dyDescent="0.25">
      <c r="A17" s="71"/>
      <c r="B17" s="73"/>
      <c r="C17" s="83"/>
      <c r="D17" s="6">
        <v>13</v>
      </c>
      <c r="E17" s="11">
        <v>404</v>
      </c>
      <c r="F17" s="6">
        <v>47</v>
      </c>
      <c r="G17" s="6">
        <v>41</v>
      </c>
      <c r="H17" s="6">
        <v>314</v>
      </c>
      <c r="I17" s="8">
        <v>402</v>
      </c>
      <c r="J17" s="6">
        <v>2</v>
      </c>
      <c r="K17" s="8">
        <v>0</v>
      </c>
    </row>
    <row r="18" spans="1:11" ht="17.25" customHeight="1" x14ac:dyDescent="0.25">
      <c r="A18" s="71"/>
      <c r="B18" s="73"/>
      <c r="C18" s="83"/>
      <c r="D18" s="6">
        <v>14</v>
      </c>
      <c r="E18" s="11">
        <v>390</v>
      </c>
      <c r="F18" s="6">
        <v>44</v>
      </c>
      <c r="G18" s="6">
        <v>51</v>
      </c>
      <c r="H18" s="6">
        <v>291</v>
      </c>
      <c r="I18" s="8">
        <v>386</v>
      </c>
      <c r="J18" s="6">
        <v>4</v>
      </c>
      <c r="K18" s="8">
        <v>0</v>
      </c>
    </row>
    <row r="19" spans="1:11" ht="17.25" customHeight="1" x14ac:dyDescent="0.25">
      <c r="A19" s="71"/>
      <c r="B19" s="73"/>
      <c r="C19" s="83"/>
      <c r="D19" s="6">
        <v>15</v>
      </c>
      <c r="E19" s="11">
        <v>387</v>
      </c>
      <c r="F19" s="6">
        <v>50</v>
      </c>
      <c r="G19" s="6">
        <v>47</v>
      </c>
      <c r="H19" s="6">
        <v>290</v>
      </c>
      <c r="I19" s="8">
        <v>387</v>
      </c>
      <c r="J19" s="6">
        <v>0</v>
      </c>
      <c r="K19" s="8">
        <v>0</v>
      </c>
    </row>
    <row r="20" spans="1:11" ht="17.25" customHeight="1" x14ac:dyDescent="0.25">
      <c r="A20" s="71"/>
      <c r="B20" s="73"/>
      <c r="C20" s="83"/>
      <c r="D20" s="6">
        <v>16</v>
      </c>
      <c r="E20" s="11">
        <v>389</v>
      </c>
      <c r="F20" s="6">
        <v>44</v>
      </c>
      <c r="G20" s="6">
        <v>49</v>
      </c>
      <c r="H20" s="6">
        <v>296</v>
      </c>
      <c r="I20" s="8">
        <v>389</v>
      </c>
      <c r="J20" s="6">
        <v>0</v>
      </c>
      <c r="K20" s="8">
        <v>0</v>
      </c>
    </row>
    <row r="21" spans="1:11" ht="17.25" customHeight="1" x14ac:dyDescent="0.25">
      <c r="A21" s="71"/>
      <c r="B21" s="73"/>
      <c r="C21" s="83"/>
      <c r="D21" s="6">
        <v>17</v>
      </c>
      <c r="E21" s="11">
        <v>393</v>
      </c>
      <c r="F21" s="6">
        <v>39</v>
      </c>
      <c r="G21" s="6">
        <v>49</v>
      </c>
      <c r="H21" s="6">
        <v>304</v>
      </c>
      <c r="I21" s="8">
        <v>392</v>
      </c>
      <c r="J21" s="6">
        <v>1</v>
      </c>
      <c r="K21" s="8">
        <v>0</v>
      </c>
    </row>
    <row r="22" spans="1:11" ht="17.25" customHeight="1" x14ac:dyDescent="0.25">
      <c r="A22" s="71"/>
      <c r="B22" s="73"/>
      <c r="C22" s="83"/>
      <c r="D22" s="6">
        <v>18</v>
      </c>
      <c r="E22" s="11">
        <v>418</v>
      </c>
      <c r="F22" s="6">
        <v>35</v>
      </c>
      <c r="G22" s="6">
        <v>43</v>
      </c>
      <c r="H22" s="6">
        <v>340</v>
      </c>
      <c r="I22" s="8">
        <v>418</v>
      </c>
      <c r="J22" s="6">
        <v>0</v>
      </c>
      <c r="K22" s="8">
        <v>0</v>
      </c>
    </row>
    <row r="23" spans="1:11" ht="17.25" customHeight="1" x14ac:dyDescent="0.25">
      <c r="A23" s="71"/>
      <c r="B23" s="73"/>
      <c r="C23" s="83"/>
      <c r="D23" s="6">
        <v>19</v>
      </c>
      <c r="E23" s="11">
        <v>429</v>
      </c>
      <c r="F23" s="6">
        <v>37</v>
      </c>
      <c r="G23" s="6">
        <v>42</v>
      </c>
      <c r="H23" s="6">
        <v>347</v>
      </c>
      <c r="I23" s="8">
        <v>426</v>
      </c>
      <c r="J23" s="6">
        <v>3</v>
      </c>
      <c r="K23" s="8">
        <v>0</v>
      </c>
    </row>
    <row r="24" spans="1:11" ht="17.25" customHeight="1" x14ac:dyDescent="0.25">
      <c r="A24" s="66"/>
      <c r="B24" s="74"/>
      <c r="C24" s="84"/>
      <c r="D24" s="6">
        <v>20</v>
      </c>
      <c r="E24" s="11">
        <v>451</v>
      </c>
      <c r="F24" s="6">
        <v>46</v>
      </c>
      <c r="G24" s="6">
        <v>67</v>
      </c>
      <c r="H24" s="6">
        <v>336</v>
      </c>
      <c r="I24" s="8">
        <v>449</v>
      </c>
      <c r="J24" s="6">
        <v>2</v>
      </c>
      <c r="K24" s="8">
        <v>0</v>
      </c>
    </row>
    <row r="25" spans="1:11" ht="30" customHeight="1" x14ac:dyDescent="0.25"/>
    <row r="26" spans="1:11" ht="325.95" customHeight="1" x14ac:dyDescent="0.25"/>
    <row r="27" spans="1:11" ht="325.95" customHeight="1" x14ac:dyDescent="0.25"/>
  </sheetData>
  <mergeCells count="13">
    <mergeCell ref="A5:A24"/>
    <mergeCell ref="B5:B24"/>
    <mergeCell ref="C5:C24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6"/>
  <sheetViews>
    <sheetView workbookViewId="0">
      <selection activeCell="A5" sqref="A5:K23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112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34</v>
      </c>
      <c r="B5" s="72" t="s">
        <v>110</v>
      </c>
      <c r="C5" s="69" t="s">
        <v>113</v>
      </c>
      <c r="D5" s="6">
        <v>1</v>
      </c>
      <c r="E5" s="11">
        <v>340</v>
      </c>
      <c r="F5" s="6">
        <v>35</v>
      </c>
      <c r="G5" s="6">
        <v>22</v>
      </c>
      <c r="H5" s="6">
        <v>282</v>
      </c>
      <c r="I5" s="8">
        <v>339</v>
      </c>
      <c r="J5" s="6">
        <v>1</v>
      </c>
      <c r="K5" s="8">
        <v>0</v>
      </c>
    </row>
    <row r="6" spans="1:11" ht="17.25" customHeight="1" x14ac:dyDescent="0.25">
      <c r="A6" s="71"/>
      <c r="B6" s="73"/>
      <c r="C6" s="81"/>
      <c r="D6" s="6">
        <v>2</v>
      </c>
      <c r="E6" s="11">
        <v>449</v>
      </c>
      <c r="F6" s="6">
        <v>33</v>
      </c>
      <c r="G6" s="6">
        <v>38</v>
      </c>
      <c r="H6" s="6">
        <v>375</v>
      </c>
      <c r="I6" s="8">
        <v>446</v>
      </c>
      <c r="J6" s="6">
        <v>3</v>
      </c>
      <c r="K6" s="8">
        <v>0</v>
      </c>
    </row>
    <row r="7" spans="1:11" ht="17.25" customHeight="1" x14ac:dyDescent="0.25">
      <c r="A7" s="66"/>
      <c r="B7" s="74"/>
      <c r="C7" s="70"/>
      <c r="D7" s="6">
        <v>3</v>
      </c>
      <c r="E7" s="11">
        <v>465</v>
      </c>
      <c r="F7" s="6">
        <v>51</v>
      </c>
      <c r="G7" s="6">
        <v>48</v>
      </c>
      <c r="H7" s="6">
        <v>366</v>
      </c>
      <c r="I7" s="8">
        <v>465</v>
      </c>
      <c r="J7" s="6">
        <v>0</v>
      </c>
      <c r="K7" s="8">
        <v>0</v>
      </c>
    </row>
    <row r="8" spans="1:11" ht="17.25" customHeight="1" x14ac:dyDescent="0.25">
      <c r="A8" s="65">
        <v>35</v>
      </c>
      <c r="B8" s="82" t="s">
        <v>114</v>
      </c>
      <c r="C8" s="88" t="s">
        <v>115</v>
      </c>
      <c r="D8" s="6">
        <v>1</v>
      </c>
      <c r="E8" s="11">
        <v>233</v>
      </c>
      <c r="F8" s="6">
        <v>20</v>
      </c>
      <c r="G8" s="6">
        <v>3</v>
      </c>
      <c r="H8" s="6">
        <v>205</v>
      </c>
      <c r="I8" s="8">
        <v>228</v>
      </c>
      <c r="J8" s="6">
        <v>5</v>
      </c>
      <c r="K8" s="8">
        <v>0</v>
      </c>
    </row>
    <row r="9" spans="1:11" ht="17.25" customHeight="1" x14ac:dyDescent="0.25">
      <c r="A9" s="71"/>
      <c r="B9" s="83"/>
      <c r="C9" s="89"/>
      <c r="D9" s="6">
        <v>2</v>
      </c>
      <c r="E9" s="11">
        <v>298</v>
      </c>
      <c r="F9" s="6">
        <v>15</v>
      </c>
      <c r="G9" s="6">
        <v>7</v>
      </c>
      <c r="H9" s="6">
        <v>275</v>
      </c>
      <c r="I9" s="8">
        <v>297</v>
      </c>
      <c r="J9" s="6">
        <v>1</v>
      </c>
      <c r="K9" s="8">
        <v>0</v>
      </c>
    </row>
    <row r="10" spans="1:11" ht="17.25" customHeight="1" x14ac:dyDescent="0.25">
      <c r="A10" s="71"/>
      <c r="B10" s="83"/>
      <c r="C10" s="89"/>
      <c r="D10" s="6">
        <v>3</v>
      </c>
      <c r="E10" s="11">
        <v>295</v>
      </c>
      <c r="F10" s="6">
        <v>9</v>
      </c>
      <c r="G10" s="6">
        <v>3</v>
      </c>
      <c r="H10" s="6">
        <v>278</v>
      </c>
      <c r="I10" s="8">
        <v>290</v>
      </c>
      <c r="J10" s="6">
        <v>2</v>
      </c>
      <c r="K10" s="8">
        <v>3</v>
      </c>
    </row>
    <row r="11" spans="1:11" ht="17.25" customHeight="1" x14ac:dyDescent="0.25">
      <c r="A11" s="71"/>
      <c r="B11" s="83"/>
      <c r="C11" s="89"/>
      <c r="D11" s="6">
        <v>4</v>
      </c>
      <c r="E11" s="11">
        <v>517</v>
      </c>
      <c r="F11" s="6">
        <v>19</v>
      </c>
      <c r="G11" s="6">
        <v>6</v>
      </c>
      <c r="H11" s="6">
        <v>487</v>
      </c>
      <c r="I11" s="8">
        <v>512</v>
      </c>
      <c r="J11" s="6">
        <v>5</v>
      </c>
      <c r="K11" s="8">
        <v>0</v>
      </c>
    </row>
    <row r="12" spans="1:11" ht="17.25" customHeight="1" x14ac:dyDescent="0.25">
      <c r="A12" s="71"/>
      <c r="B12" s="83"/>
      <c r="C12" s="89"/>
      <c r="D12" s="6">
        <v>5</v>
      </c>
      <c r="E12" s="11">
        <v>518</v>
      </c>
      <c r="F12" s="6">
        <v>14</v>
      </c>
      <c r="G12" s="6">
        <v>12</v>
      </c>
      <c r="H12" s="6">
        <v>492</v>
      </c>
      <c r="I12" s="8">
        <v>518</v>
      </c>
      <c r="J12" s="6">
        <v>0</v>
      </c>
      <c r="K12" s="8">
        <v>0</v>
      </c>
    </row>
    <row r="13" spans="1:11" ht="17.25" customHeight="1" x14ac:dyDescent="0.25">
      <c r="A13" s="71"/>
      <c r="B13" s="83"/>
      <c r="C13" s="89"/>
      <c r="D13" s="6">
        <v>6</v>
      </c>
      <c r="E13" s="11">
        <v>483</v>
      </c>
      <c r="F13" s="6">
        <v>21</v>
      </c>
      <c r="G13" s="6">
        <v>9</v>
      </c>
      <c r="H13" s="6">
        <v>452</v>
      </c>
      <c r="I13" s="8">
        <v>482</v>
      </c>
      <c r="J13" s="6">
        <v>1</v>
      </c>
      <c r="K13" s="8">
        <v>0</v>
      </c>
    </row>
    <row r="14" spans="1:11" ht="17.25" customHeight="1" x14ac:dyDescent="0.25">
      <c r="A14" s="71"/>
      <c r="B14" s="83"/>
      <c r="C14" s="89"/>
      <c r="D14" s="6">
        <v>7</v>
      </c>
      <c r="E14" s="11">
        <v>500</v>
      </c>
      <c r="F14" s="6">
        <v>18</v>
      </c>
      <c r="G14" s="6">
        <v>11</v>
      </c>
      <c r="H14" s="6">
        <v>471</v>
      </c>
      <c r="I14" s="8">
        <v>500</v>
      </c>
      <c r="J14" s="6">
        <v>0</v>
      </c>
      <c r="K14" s="8">
        <v>0</v>
      </c>
    </row>
    <row r="15" spans="1:11" ht="17.25" customHeight="1" x14ac:dyDescent="0.25">
      <c r="A15" s="71"/>
      <c r="B15" s="83"/>
      <c r="C15" s="89"/>
      <c r="D15" s="6">
        <v>8</v>
      </c>
      <c r="E15" s="11">
        <v>473</v>
      </c>
      <c r="F15" s="6">
        <v>18</v>
      </c>
      <c r="G15" s="6">
        <v>11</v>
      </c>
      <c r="H15" s="6">
        <v>438</v>
      </c>
      <c r="I15" s="8">
        <v>467</v>
      </c>
      <c r="J15" s="6">
        <v>6</v>
      </c>
      <c r="K15" s="8">
        <v>0</v>
      </c>
    </row>
    <row r="16" spans="1:11" ht="17.25" customHeight="1" x14ac:dyDescent="0.25">
      <c r="A16" s="71"/>
      <c r="B16" s="83"/>
      <c r="C16" s="89"/>
      <c r="D16" s="6">
        <v>9</v>
      </c>
      <c r="E16" s="11">
        <v>523</v>
      </c>
      <c r="F16" s="6">
        <v>12</v>
      </c>
      <c r="G16" s="6">
        <v>10</v>
      </c>
      <c r="H16" s="6">
        <v>499</v>
      </c>
      <c r="I16" s="8">
        <v>521</v>
      </c>
      <c r="J16" s="6">
        <v>2</v>
      </c>
      <c r="K16" s="8">
        <v>0</v>
      </c>
    </row>
    <row r="17" spans="1:11" ht="17.25" customHeight="1" x14ac:dyDescent="0.25">
      <c r="A17" s="71"/>
      <c r="B17" s="83"/>
      <c r="C17" s="90"/>
      <c r="D17" s="6">
        <v>10</v>
      </c>
      <c r="E17" s="11">
        <v>562</v>
      </c>
      <c r="F17" s="6">
        <v>12</v>
      </c>
      <c r="G17" s="6">
        <v>14</v>
      </c>
      <c r="H17" s="6">
        <v>533</v>
      </c>
      <c r="I17" s="8">
        <v>559</v>
      </c>
      <c r="J17" s="6">
        <v>3</v>
      </c>
      <c r="K17" s="8">
        <v>0</v>
      </c>
    </row>
    <row r="18" spans="1:11" ht="17.25" customHeight="1" x14ac:dyDescent="0.25">
      <c r="A18" s="71"/>
      <c r="B18" s="83"/>
      <c r="C18" s="88" t="s">
        <v>116</v>
      </c>
      <c r="D18" s="6">
        <v>1</v>
      </c>
      <c r="E18" s="11">
        <v>278</v>
      </c>
      <c r="F18" s="6">
        <v>29</v>
      </c>
      <c r="G18" s="6">
        <v>8</v>
      </c>
      <c r="H18" s="6">
        <v>237</v>
      </c>
      <c r="I18" s="8">
        <v>274</v>
      </c>
      <c r="J18" s="6">
        <v>4</v>
      </c>
      <c r="K18" s="8">
        <v>0</v>
      </c>
    </row>
    <row r="19" spans="1:11" ht="17.25" customHeight="1" x14ac:dyDescent="0.25">
      <c r="A19" s="71"/>
      <c r="B19" s="83"/>
      <c r="C19" s="89"/>
      <c r="D19" s="6">
        <v>2</v>
      </c>
      <c r="E19" s="11">
        <v>320</v>
      </c>
      <c r="F19" s="6">
        <v>18</v>
      </c>
      <c r="G19" s="6">
        <v>7</v>
      </c>
      <c r="H19" s="6">
        <v>294</v>
      </c>
      <c r="I19" s="8">
        <v>319</v>
      </c>
      <c r="J19" s="6">
        <v>1</v>
      </c>
      <c r="K19" s="8">
        <v>0</v>
      </c>
    </row>
    <row r="20" spans="1:11" ht="17.25" customHeight="1" x14ac:dyDescent="0.25">
      <c r="A20" s="71"/>
      <c r="B20" s="83"/>
      <c r="C20" s="89"/>
      <c r="D20" s="6">
        <v>3</v>
      </c>
      <c r="E20" s="11">
        <v>524</v>
      </c>
      <c r="F20" s="6">
        <v>26</v>
      </c>
      <c r="G20" s="6">
        <v>8</v>
      </c>
      <c r="H20" s="6">
        <v>489</v>
      </c>
      <c r="I20" s="8">
        <v>523</v>
      </c>
      <c r="J20" s="6">
        <v>1</v>
      </c>
      <c r="K20" s="8">
        <v>0</v>
      </c>
    </row>
    <row r="21" spans="1:11" ht="17.25" customHeight="1" x14ac:dyDescent="0.25">
      <c r="A21" s="71"/>
      <c r="B21" s="83"/>
      <c r="C21" s="89"/>
      <c r="D21" s="6">
        <v>4</v>
      </c>
      <c r="E21" s="11">
        <v>488</v>
      </c>
      <c r="F21" s="6">
        <v>21</v>
      </c>
      <c r="G21" s="6">
        <v>16</v>
      </c>
      <c r="H21" s="6">
        <v>450</v>
      </c>
      <c r="I21" s="8">
        <v>487</v>
      </c>
      <c r="J21" s="6">
        <v>1</v>
      </c>
      <c r="K21" s="8">
        <v>0</v>
      </c>
    </row>
    <row r="22" spans="1:11" ht="17.25" customHeight="1" x14ac:dyDescent="0.25">
      <c r="A22" s="71"/>
      <c r="B22" s="83"/>
      <c r="C22" s="89"/>
      <c r="D22" s="6">
        <v>5</v>
      </c>
      <c r="E22" s="11">
        <v>473</v>
      </c>
      <c r="F22" s="6">
        <v>23</v>
      </c>
      <c r="G22" s="6">
        <v>13</v>
      </c>
      <c r="H22" s="6">
        <v>436</v>
      </c>
      <c r="I22" s="8">
        <v>472</v>
      </c>
      <c r="J22" s="6">
        <v>1</v>
      </c>
      <c r="K22" s="8">
        <v>0</v>
      </c>
    </row>
    <row r="23" spans="1:11" ht="17.25" customHeight="1" x14ac:dyDescent="0.25">
      <c r="A23" s="66"/>
      <c r="B23" s="84"/>
      <c r="C23" s="90"/>
      <c r="D23" s="6">
        <v>6</v>
      </c>
      <c r="E23" s="11">
        <v>520</v>
      </c>
      <c r="F23" s="6">
        <v>23</v>
      </c>
      <c r="G23" s="6">
        <v>15</v>
      </c>
      <c r="H23" s="6">
        <v>482</v>
      </c>
      <c r="I23" s="8">
        <v>520</v>
      </c>
      <c r="J23" s="6">
        <v>0</v>
      </c>
      <c r="K23" s="8">
        <v>0</v>
      </c>
    </row>
    <row r="24" spans="1:11" ht="30" customHeight="1" x14ac:dyDescent="0.25"/>
    <row r="25" spans="1:11" ht="310.05" customHeight="1" x14ac:dyDescent="0.25"/>
    <row r="26" spans="1:11" ht="310.05" customHeight="1" x14ac:dyDescent="0.25"/>
  </sheetData>
  <mergeCells count="17">
    <mergeCell ref="A5:A7"/>
    <mergeCell ref="B5:B7"/>
    <mergeCell ref="C5:C7"/>
    <mergeCell ref="A8:A23"/>
    <mergeCell ref="B8:B23"/>
    <mergeCell ref="C8:C17"/>
    <mergeCell ref="C18:C23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"/>
  <sheetViews>
    <sheetView workbookViewId="0">
      <selection activeCell="A5" sqref="A5:K23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117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36</v>
      </c>
      <c r="B5" s="82" t="s">
        <v>118</v>
      </c>
      <c r="C5" s="88" t="s">
        <v>119</v>
      </c>
      <c r="D5" s="11">
        <v>1</v>
      </c>
      <c r="E5" s="11">
        <v>233</v>
      </c>
      <c r="F5" s="6">
        <v>12</v>
      </c>
      <c r="G5" s="6">
        <v>1</v>
      </c>
      <c r="H5" s="6">
        <v>217</v>
      </c>
      <c r="I5" s="13">
        <v>230</v>
      </c>
      <c r="J5" s="6">
        <v>3</v>
      </c>
      <c r="K5" s="8">
        <v>0</v>
      </c>
    </row>
    <row r="6" spans="1:11" ht="17.25" customHeight="1" x14ac:dyDescent="0.25">
      <c r="A6" s="71"/>
      <c r="B6" s="83"/>
      <c r="C6" s="89"/>
      <c r="D6" s="11">
        <v>2</v>
      </c>
      <c r="E6" s="11">
        <v>300</v>
      </c>
      <c r="F6" s="6">
        <v>15</v>
      </c>
      <c r="G6" s="6">
        <v>3</v>
      </c>
      <c r="H6" s="6">
        <v>282</v>
      </c>
      <c r="I6" s="13">
        <v>300</v>
      </c>
      <c r="J6" s="6">
        <v>0</v>
      </c>
      <c r="K6" s="8">
        <v>0</v>
      </c>
    </row>
    <row r="7" spans="1:11" ht="17.25" customHeight="1" x14ac:dyDescent="0.25">
      <c r="A7" s="71"/>
      <c r="B7" s="83"/>
      <c r="C7" s="89"/>
      <c r="D7" s="11">
        <v>3</v>
      </c>
      <c r="E7" s="11">
        <v>456</v>
      </c>
      <c r="F7" s="6">
        <v>19</v>
      </c>
      <c r="G7" s="6">
        <v>8</v>
      </c>
      <c r="H7" s="6">
        <v>429</v>
      </c>
      <c r="I7" s="13">
        <v>456</v>
      </c>
      <c r="J7" s="6">
        <v>0</v>
      </c>
      <c r="K7" s="8">
        <v>0</v>
      </c>
    </row>
    <row r="8" spans="1:11" ht="17.25" customHeight="1" x14ac:dyDescent="0.25">
      <c r="A8" s="71"/>
      <c r="B8" s="83"/>
      <c r="C8" s="89"/>
      <c r="D8" s="11">
        <v>4</v>
      </c>
      <c r="E8" s="11">
        <v>458</v>
      </c>
      <c r="F8" s="6">
        <v>20</v>
      </c>
      <c r="G8" s="6">
        <v>13</v>
      </c>
      <c r="H8" s="6">
        <v>424</v>
      </c>
      <c r="I8" s="13">
        <v>457</v>
      </c>
      <c r="J8" s="6">
        <v>1</v>
      </c>
      <c r="K8" s="8">
        <v>0</v>
      </c>
    </row>
    <row r="9" spans="1:11" ht="17.25" customHeight="1" x14ac:dyDescent="0.25">
      <c r="A9" s="71"/>
      <c r="B9" s="83"/>
      <c r="C9" s="89"/>
      <c r="D9" s="11">
        <v>5</v>
      </c>
      <c r="E9" s="11">
        <v>435</v>
      </c>
      <c r="F9" s="6">
        <v>14</v>
      </c>
      <c r="G9" s="6">
        <v>9</v>
      </c>
      <c r="H9" s="6">
        <v>410</v>
      </c>
      <c r="I9" s="13">
        <v>433</v>
      </c>
      <c r="J9" s="6">
        <v>2</v>
      </c>
      <c r="K9" s="8">
        <v>0</v>
      </c>
    </row>
    <row r="10" spans="1:11" ht="17.25" customHeight="1" x14ac:dyDescent="0.25">
      <c r="A10" s="66"/>
      <c r="B10" s="84"/>
      <c r="C10" s="90"/>
      <c r="D10" s="11">
        <v>6</v>
      </c>
      <c r="E10" s="11">
        <v>462</v>
      </c>
      <c r="F10" s="6">
        <v>13</v>
      </c>
      <c r="G10" s="6">
        <v>15</v>
      </c>
      <c r="H10" s="6">
        <v>432</v>
      </c>
      <c r="I10" s="13">
        <v>460</v>
      </c>
      <c r="J10" s="6">
        <v>2</v>
      </c>
      <c r="K10" s="8">
        <v>0</v>
      </c>
    </row>
    <row r="11" spans="1:11" ht="17.25" customHeight="1" x14ac:dyDescent="0.25">
      <c r="A11" s="65">
        <v>37</v>
      </c>
      <c r="B11" s="75" t="s">
        <v>120</v>
      </c>
      <c r="C11" s="88" t="s">
        <v>121</v>
      </c>
      <c r="D11" s="11">
        <v>1</v>
      </c>
      <c r="E11" s="11">
        <v>227</v>
      </c>
      <c r="F11" s="6">
        <v>14</v>
      </c>
      <c r="G11" s="6">
        <v>6</v>
      </c>
      <c r="H11" s="6">
        <v>203</v>
      </c>
      <c r="I11" s="13">
        <v>223</v>
      </c>
      <c r="J11" s="6">
        <v>3</v>
      </c>
      <c r="K11" s="8">
        <v>1</v>
      </c>
    </row>
    <row r="12" spans="1:11" ht="17.25" customHeight="1" x14ac:dyDescent="0.25">
      <c r="A12" s="71"/>
      <c r="B12" s="76"/>
      <c r="C12" s="89"/>
      <c r="D12" s="11">
        <v>2</v>
      </c>
      <c r="E12" s="11">
        <v>297</v>
      </c>
      <c r="F12" s="6">
        <v>14</v>
      </c>
      <c r="G12" s="6">
        <v>4</v>
      </c>
      <c r="H12" s="6">
        <v>279</v>
      </c>
      <c r="I12" s="13">
        <v>297</v>
      </c>
      <c r="J12" s="6">
        <v>0</v>
      </c>
      <c r="K12" s="8">
        <v>0</v>
      </c>
    </row>
    <row r="13" spans="1:11" ht="17.25" customHeight="1" x14ac:dyDescent="0.25">
      <c r="A13" s="71"/>
      <c r="B13" s="76"/>
      <c r="C13" s="89"/>
      <c r="D13" s="11">
        <v>3</v>
      </c>
      <c r="E13" s="11">
        <v>301</v>
      </c>
      <c r="F13" s="6">
        <v>12</v>
      </c>
      <c r="G13" s="6">
        <v>4</v>
      </c>
      <c r="H13" s="6">
        <v>282</v>
      </c>
      <c r="I13" s="13">
        <v>298</v>
      </c>
      <c r="J13" s="6">
        <v>3</v>
      </c>
      <c r="K13" s="8">
        <v>0</v>
      </c>
    </row>
    <row r="14" spans="1:11" ht="17.25" customHeight="1" x14ac:dyDescent="0.25">
      <c r="A14" s="71"/>
      <c r="B14" s="76"/>
      <c r="C14" s="89"/>
      <c r="D14" s="11">
        <v>4</v>
      </c>
      <c r="E14" s="11">
        <v>455</v>
      </c>
      <c r="F14" s="6">
        <v>16</v>
      </c>
      <c r="G14" s="6">
        <v>15</v>
      </c>
      <c r="H14" s="6">
        <v>420</v>
      </c>
      <c r="I14" s="13">
        <v>451</v>
      </c>
      <c r="J14" s="6">
        <v>4</v>
      </c>
      <c r="K14" s="8">
        <v>0</v>
      </c>
    </row>
    <row r="15" spans="1:11" ht="17.25" customHeight="1" x14ac:dyDescent="0.25">
      <c r="A15" s="71"/>
      <c r="B15" s="76"/>
      <c r="C15" s="89"/>
      <c r="D15" s="11">
        <v>5</v>
      </c>
      <c r="E15" s="11">
        <v>420</v>
      </c>
      <c r="F15" s="6">
        <v>19</v>
      </c>
      <c r="G15" s="6">
        <v>13</v>
      </c>
      <c r="H15" s="6">
        <v>388</v>
      </c>
      <c r="I15" s="13">
        <v>420</v>
      </c>
      <c r="J15" s="6">
        <v>0</v>
      </c>
      <c r="K15" s="8">
        <v>0</v>
      </c>
    </row>
    <row r="16" spans="1:11" ht="17.25" customHeight="1" x14ac:dyDescent="0.25">
      <c r="A16" s="71"/>
      <c r="B16" s="76"/>
      <c r="C16" s="89"/>
      <c r="D16" s="11">
        <v>6</v>
      </c>
      <c r="E16" s="11">
        <v>415</v>
      </c>
      <c r="F16" s="6">
        <v>18</v>
      </c>
      <c r="G16" s="6">
        <v>14</v>
      </c>
      <c r="H16" s="6">
        <v>382</v>
      </c>
      <c r="I16" s="13">
        <v>414</v>
      </c>
      <c r="J16" s="6">
        <v>1</v>
      </c>
      <c r="K16" s="8">
        <v>0</v>
      </c>
    </row>
    <row r="17" spans="1:11" ht="17.25" customHeight="1" x14ac:dyDescent="0.25">
      <c r="A17" s="66"/>
      <c r="B17" s="77"/>
      <c r="C17" s="90"/>
      <c r="D17" s="11">
        <v>7</v>
      </c>
      <c r="E17" s="11">
        <v>481</v>
      </c>
      <c r="F17" s="6">
        <v>22</v>
      </c>
      <c r="G17" s="6">
        <v>43</v>
      </c>
      <c r="H17" s="6">
        <v>416</v>
      </c>
      <c r="I17" s="13">
        <v>481</v>
      </c>
      <c r="J17" s="6">
        <v>0</v>
      </c>
      <c r="K17" s="8">
        <v>0</v>
      </c>
    </row>
    <row r="18" spans="1:11" ht="17.25" customHeight="1" x14ac:dyDescent="0.25">
      <c r="A18" s="65">
        <v>38</v>
      </c>
      <c r="B18" s="82" t="s">
        <v>122</v>
      </c>
      <c r="C18" s="88" t="s">
        <v>123</v>
      </c>
      <c r="D18" s="11">
        <v>1</v>
      </c>
      <c r="E18" s="11">
        <v>220</v>
      </c>
      <c r="F18" s="6">
        <v>21</v>
      </c>
      <c r="G18" s="6">
        <v>9</v>
      </c>
      <c r="H18" s="6">
        <v>182</v>
      </c>
      <c r="I18" s="13">
        <v>212</v>
      </c>
      <c r="J18" s="6">
        <v>8</v>
      </c>
      <c r="K18" s="8">
        <v>0</v>
      </c>
    </row>
    <row r="19" spans="1:11" ht="17.25" customHeight="1" x14ac:dyDescent="0.25">
      <c r="A19" s="71"/>
      <c r="B19" s="83"/>
      <c r="C19" s="89"/>
      <c r="D19" s="11">
        <v>2</v>
      </c>
      <c r="E19" s="11">
        <v>288</v>
      </c>
      <c r="F19" s="6">
        <v>15</v>
      </c>
      <c r="G19" s="6">
        <v>8</v>
      </c>
      <c r="H19" s="6">
        <v>262</v>
      </c>
      <c r="I19" s="13">
        <v>285</v>
      </c>
      <c r="J19" s="6">
        <v>3</v>
      </c>
      <c r="K19" s="8">
        <v>0</v>
      </c>
    </row>
    <row r="20" spans="1:11" ht="17.25" customHeight="1" x14ac:dyDescent="0.25">
      <c r="A20" s="71"/>
      <c r="B20" s="83"/>
      <c r="C20" s="89"/>
      <c r="D20" s="11">
        <v>3</v>
      </c>
      <c r="E20" s="11">
        <v>320</v>
      </c>
      <c r="F20" s="6">
        <v>14</v>
      </c>
      <c r="G20" s="6">
        <v>6</v>
      </c>
      <c r="H20" s="6">
        <v>300</v>
      </c>
      <c r="I20" s="13">
        <v>320</v>
      </c>
      <c r="J20" s="6">
        <v>0</v>
      </c>
      <c r="K20" s="8">
        <v>0</v>
      </c>
    </row>
    <row r="21" spans="1:11" ht="17.25" customHeight="1" x14ac:dyDescent="0.25">
      <c r="A21" s="71"/>
      <c r="B21" s="83"/>
      <c r="C21" s="89"/>
      <c r="D21" s="11">
        <v>4</v>
      </c>
      <c r="E21" s="11">
        <v>432</v>
      </c>
      <c r="F21" s="6">
        <v>19</v>
      </c>
      <c r="G21" s="6">
        <v>7</v>
      </c>
      <c r="H21" s="6">
        <v>402</v>
      </c>
      <c r="I21" s="13">
        <v>428</v>
      </c>
      <c r="J21" s="6">
        <v>4</v>
      </c>
      <c r="K21" s="8">
        <v>0</v>
      </c>
    </row>
    <row r="22" spans="1:11" ht="17.25" customHeight="1" x14ac:dyDescent="0.25">
      <c r="A22" s="71"/>
      <c r="B22" s="83"/>
      <c r="C22" s="89"/>
      <c r="D22" s="11">
        <v>5</v>
      </c>
      <c r="E22" s="11">
        <v>412</v>
      </c>
      <c r="F22" s="6">
        <v>18</v>
      </c>
      <c r="G22" s="6">
        <v>4</v>
      </c>
      <c r="H22" s="6">
        <v>389</v>
      </c>
      <c r="I22" s="13">
        <v>411</v>
      </c>
      <c r="J22" s="6">
        <v>1</v>
      </c>
      <c r="K22" s="8">
        <v>0</v>
      </c>
    </row>
    <row r="23" spans="1:11" ht="17.25" customHeight="1" x14ac:dyDescent="0.25">
      <c r="A23" s="66"/>
      <c r="B23" s="84"/>
      <c r="C23" s="90"/>
      <c r="D23" s="11">
        <v>6</v>
      </c>
      <c r="E23" s="11">
        <v>419</v>
      </c>
      <c r="F23" s="6">
        <v>12</v>
      </c>
      <c r="G23" s="6">
        <v>4</v>
      </c>
      <c r="H23" s="6">
        <v>401</v>
      </c>
      <c r="I23" s="13">
        <v>417</v>
      </c>
      <c r="J23" s="6">
        <v>2</v>
      </c>
      <c r="K23" s="8">
        <v>0</v>
      </c>
    </row>
    <row r="24" spans="1:11" ht="30" customHeight="1" x14ac:dyDescent="0.25"/>
    <row r="25" spans="1:11" ht="310.05" customHeight="1" x14ac:dyDescent="0.25"/>
    <row r="26" spans="1:11" ht="310.05" customHeight="1" x14ac:dyDescent="0.25"/>
  </sheetData>
  <mergeCells count="19">
    <mergeCell ref="A18:A23"/>
    <mergeCell ref="B18:B23"/>
    <mergeCell ref="C18:C23"/>
    <mergeCell ref="A5:A10"/>
    <mergeCell ref="B5:B10"/>
    <mergeCell ref="C5:C10"/>
    <mergeCell ref="A11:A17"/>
    <mergeCell ref="B11:B17"/>
    <mergeCell ref="C11:C17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8"/>
  <sheetViews>
    <sheetView topLeftCell="A5" workbookViewId="0">
      <selection activeCell="A5" sqref="A5:K25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124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39</v>
      </c>
      <c r="B5" s="72" t="s">
        <v>125</v>
      </c>
      <c r="C5" s="82" t="s">
        <v>126</v>
      </c>
      <c r="D5" s="6">
        <v>1</v>
      </c>
      <c r="E5" s="11">
        <v>288</v>
      </c>
      <c r="F5" s="6">
        <v>119</v>
      </c>
      <c r="G5" s="6">
        <v>28</v>
      </c>
      <c r="H5" s="6">
        <v>129</v>
      </c>
      <c r="I5" s="13">
        <v>276</v>
      </c>
      <c r="J5" s="6">
        <v>12</v>
      </c>
      <c r="K5" s="8">
        <v>0</v>
      </c>
    </row>
    <row r="6" spans="1:11" ht="17.25" customHeight="1" x14ac:dyDescent="0.25">
      <c r="A6" s="71"/>
      <c r="B6" s="73"/>
      <c r="C6" s="83"/>
      <c r="D6" s="6">
        <v>2</v>
      </c>
      <c r="E6" s="11">
        <v>316</v>
      </c>
      <c r="F6" s="6">
        <v>114</v>
      </c>
      <c r="G6" s="6">
        <v>41</v>
      </c>
      <c r="H6" s="6">
        <v>156</v>
      </c>
      <c r="I6" s="13">
        <v>311</v>
      </c>
      <c r="J6" s="6">
        <v>5</v>
      </c>
      <c r="K6" s="8">
        <v>0</v>
      </c>
    </row>
    <row r="7" spans="1:11" ht="17.25" customHeight="1" x14ac:dyDescent="0.25">
      <c r="A7" s="71"/>
      <c r="B7" s="73"/>
      <c r="C7" s="83"/>
      <c r="D7" s="6">
        <v>3</v>
      </c>
      <c r="E7" s="11">
        <v>526</v>
      </c>
      <c r="F7" s="6">
        <v>127</v>
      </c>
      <c r="G7" s="6">
        <v>90</v>
      </c>
      <c r="H7" s="6">
        <v>302</v>
      </c>
      <c r="I7" s="13">
        <v>519</v>
      </c>
      <c r="J7" s="6">
        <v>7</v>
      </c>
      <c r="K7" s="8">
        <v>0</v>
      </c>
    </row>
    <row r="8" spans="1:11" ht="17.25" customHeight="1" x14ac:dyDescent="0.25">
      <c r="A8" s="71"/>
      <c r="B8" s="73"/>
      <c r="C8" s="83"/>
      <c r="D8" s="6">
        <v>4</v>
      </c>
      <c r="E8" s="11">
        <v>496</v>
      </c>
      <c r="F8" s="6">
        <v>102</v>
      </c>
      <c r="G8" s="6">
        <v>85</v>
      </c>
      <c r="H8" s="6">
        <v>301</v>
      </c>
      <c r="I8" s="13">
        <v>488</v>
      </c>
      <c r="J8" s="6">
        <v>8</v>
      </c>
      <c r="K8" s="8">
        <v>0</v>
      </c>
    </row>
    <row r="9" spans="1:11" ht="17.25" customHeight="1" x14ac:dyDescent="0.25">
      <c r="A9" s="71"/>
      <c r="B9" s="73"/>
      <c r="C9" s="83"/>
      <c r="D9" s="6">
        <v>5</v>
      </c>
      <c r="E9" s="11">
        <v>497</v>
      </c>
      <c r="F9" s="6">
        <v>114</v>
      </c>
      <c r="G9" s="6">
        <v>126</v>
      </c>
      <c r="H9" s="6">
        <v>255</v>
      </c>
      <c r="I9" s="13">
        <v>495</v>
      </c>
      <c r="J9" s="6">
        <v>2</v>
      </c>
      <c r="K9" s="8">
        <v>0</v>
      </c>
    </row>
    <row r="10" spans="1:11" ht="17.25" customHeight="1" x14ac:dyDescent="0.25">
      <c r="A10" s="66"/>
      <c r="B10" s="74"/>
      <c r="C10" s="84"/>
      <c r="D10" s="6">
        <v>6</v>
      </c>
      <c r="E10" s="11">
        <v>518</v>
      </c>
      <c r="F10" s="6">
        <v>101</v>
      </c>
      <c r="G10" s="6">
        <v>148</v>
      </c>
      <c r="H10" s="6">
        <v>267</v>
      </c>
      <c r="I10" s="13">
        <v>516</v>
      </c>
      <c r="J10" s="6">
        <v>2</v>
      </c>
      <c r="K10" s="8">
        <v>0</v>
      </c>
    </row>
    <row r="11" spans="1:11" ht="17.25" customHeight="1" x14ac:dyDescent="0.25">
      <c r="A11" s="65">
        <v>40</v>
      </c>
      <c r="B11" s="85" t="s">
        <v>127</v>
      </c>
      <c r="C11" s="88" t="s">
        <v>128</v>
      </c>
      <c r="D11" s="6">
        <v>1</v>
      </c>
      <c r="E11" s="11">
        <v>217</v>
      </c>
      <c r="F11" s="6">
        <v>50</v>
      </c>
      <c r="G11" s="6">
        <v>22</v>
      </c>
      <c r="H11" s="6">
        <v>142</v>
      </c>
      <c r="I11" s="13">
        <v>214</v>
      </c>
      <c r="J11" s="6">
        <v>3</v>
      </c>
      <c r="K11" s="8">
        <v>0</v>
      </c>
    </row>
    <row r="12" spans="1:11" ht="17.25" customHeight="1" x14ac:dyDescent="0.25">
      <c r="A12" s="71"/>
      <c r="B12" s="86"/>
      <c r="C12" s="89"/>
      <c r="D12" s="6">
        <v>2</v>
      </c>
      <c r="E12" s="11">
        <v>291</v>
      </c>
      <c r="F12" s="6">
        <v>80</v>
      </c>
      <c r="G12" s="6">
        <v>23</v>
      </c>
      <c r="H12" s="6">
        <v>186</v>
      </c>
      <c r="I12" s="13">
        <v>289</v>
      </c>
      <c r="J12" s="6">
        <v>2</v>
      </c>
      <c r="K12" s="8">
        <v>0</v>
      </c>
    </row>
    <row r="13" spans="1:11" ht="17.25" customHeight="1" x14ac:dyDescent="0.25">
      <c r="A13" s="71"/>
      <c r="B13" s="86"/>
      <c r="C13" s="89"/>
      <c r="D13" s="6">
        <v>3</v>
      </c>
      <c r="E13" s="11">
        <v>323</v>
      </c>
      <c r="F13" s="6">
        <v>99</v>
      </c>
      <c r="G13" s="6">
        <v>36</v>
      </c>
      <c r="H13" s="6">
        <v>185</v>
      </c>
      <c r="I13" s="13">
        <v>320</v>
      </c>
      <c r="J13" s="6">
        <v>3</v>
      </c>
      <c r="K13" s="8">
        <v>0</v>
      </c>
    </row>
    <row r="14" spans="1:11" ht="17.25" customHeight="1" x14ac:dyDescent="0.25">
      <c r="A14" s="71"/>
      <c r="B14" s="86"/>
      <c r="C14" s="89"/>
      <c r="D14" s="6">
        <v>4</v>
      </c>
      <c r="E14" s="11">
        <v>319</v>
      </c>
      <c r="F14" s="6">
        <v>118</v>
      </c>
      <c r="G14" s="6">
        <v>35</v>
      </c>
      <c r="H14" s="6">
        <v>160</v>
      </c>
      <c r="I14" s="13">
        <v>313</v>
      </c>
      <c r="J14" s="6">
        <v>6</v>
      </c>
      <c r="K14" s="8">
        <v>0</v>
      </c>
    </row>
    <row r="15" spans="1:11" ht="17.25" customHeight="1" x14ac:dyDescent="0.25">
      <c r="A15" s="71"/>
      <c r="B15" s="86"/>
      <c r="C15" s="89"/>
      <c r="D15" s="6">
        <v>5</v>
      </c>
      <c r="E15" s="11">
        <v>303</v>
      </c>
      <c r="F15" s="6">
        <v>78</v>
      </c>
      <c r="G15" s="6">
        <v>44</v>
      </c>
      <c r="H15" s="6">
        <v>179</v>
      </c>
      <c r="I15" s="13">
        <v>301</v>
      </c>
      <c r="J15" s="6">
        <v>2</v>
      </c>
      <c r="K15" s="8">
        <v>0</v>
      </c>
    </row>
    <row r="16" spans="1:11" ht="17.25" customHeight="1" x14ac:dyDescent="0.25">
      <c r="A16" s="71"/>
      <c r="B16" s="86"/>
      <c r="C16" s="89"/>
      <c r="D16" s="6">
        <v>6</v>
      </c>
      <c r="E16" s="11">
        <v>565</v>
      </c>
      <c r="F16" s="6">
        <v>120</v>
      </c>
      <c r="G16" s="6">
        <v>53</v>
      </c>
      <c r="H16" s="6">
        <v>389</v>
      </c>
      <c r="I16" s="13">
        <v>562</v>
      </c>
      <c r="J16" s="6">
        <v>3</v>
      </c>
      <c r="K16" s="8">
        <v>0</v>
      </c>
    </row>
    <row r="17" spans="1:11" ht="17.25" customHeight="1" x14ac:dyDescent="0.25">
      <c r="A17" s="71"/>
      <c r="B17" s="86"/>
      <c r="C17" s="89"/>
      <c r="D17" s="6">
        <v>7</v>
      </c>
      <c r="E17" s="11">
        <v>558</v>
      </c>
      <c r="F17" s="6">
        <v>79</v>
      </c>
      <c r="G17" s="6">
        <v>56</v>
      </c>
      <c r="H17" s="6">
        <v>410</v>
      </c>
      <c r="I17" s="13">
        <v>545</v>
      </c>
      <c r="J17" s="6">
        <v>13</v>
      </c>
      <c r="K17" s="8">
        <v>0</v>
      </c>
    </row>
    <row r="18" spans="1:11" ht="17.25" customHeight="1" x14ac:dyDescent="0.25">
      <c r="A18" s="71"/>
      <c r="B18" s="86"/>
      <c r="C18" s="89"/>
      <c r="D18" s="6">
        <v>8</v>
      </c>
      <c r="E18" s="11">
        <v>545</v>
      </c>
      <c r="F18" s="6">
        <v>81</v>
      </c>
      <c r="G18" s="6">
        <v>56</v>
      </c>
      <c r="H18" s="6">
        <v>405</v>
      </c>
      <c r="I18" s="13">
        <v>542</v>
      </c>
      <c r="J18" s="6">
        <v>3</v>
      </c>
      <c r="K18" s="8">
        <v>0</v>
      </c>
    </row>
    <row r="19" spans="1:11" ht="17.25" customHeight="1" x14ac:dyDescent="0.25">
      <c r="A19" s="71"/>
      <c r="B19" s="86"/>
      <c r="C19" s="89"/>
      <c r="D19" s="6">
        <v>9</v>
      </c>
      <c r="E19" s="11">
        <v>541</v>
      </c>
      <c r="F19" s="6">
        <v>66</v>
      </c>
      <c r="G19" s="6">
        <v>51</v>
      </c>
      <c r="H19" s="6">
        <v>419</v>
      </c>
      <c r="I19" s="13">
        <v>536</v>
      </c>
      <c r="J19" s="6">
        <v>5</v>
      </c>
      <c r="K19" s="8">
        <v>0</v>
      </c>
    </row>
    <row r="20" spans="1:11" ht="17.25" customHeight="1" x14ac:dyDescent="0.25">
      <c r="A20" s="71"/>
      <c r="B20" s="86"/>
      <c r="C20" s="89"/>
      <c r="D20" s="6">
        <v>10</v>
      </c>
      <c r="E20" s="11">
        <v>500</v>
      </c>
      <c r="F20" s="6">
        <v>70</v>
      </c>
      <c r="G20" s="6">
        <v>47</v>
      </c>
      <c r="H20" s="6">
        <v>378</v>
      </c>
      <c r="I20" s="13">
        <v>495</v>
      </c>
      <c r="J20" s="6">
        <v>5</v>
      </c>
      <c r="K20" s="8">
        <v>0</v>
      </c>
    </row>
    <row r="21" spans="1:11" ht="17.25" customHeight="1" x14ac:dyDescent="0.25">
      <c r="A21" s="71"/>
      <c r="B21" s="86"/>
      <c r="C21" s="89"/>
      <c r="D21" s="6">
        <v>11</v>
      </c>
      <c r="E21" s="11">
        <v>489</v>
      </c>
      <c r="F21" s="6">
        <v>64</v>
      </c>
      <c r="G21" s="6">
        <v>66</v>
      </c>
      <c r="H21" s="6">
        <v>357</v>
      </c>
      <c r="I21" s="13">
        <v>487</v>
      </c>
      <c r="J21" s="6">
        <v>2</v>
      </c>
      <c r="K21" s="8">
        <v>0</v>
      </c>
    </row>
    <row r="22" spans="1:11" ht="17.25" customHeight="1" x14ac:dyDescent="0.25">
      <c r="A22" s="71"/>
      <c r="B22" s="86"/>
      <c r="C22" s="89"/>
      <c r="D22" s="6">
        <v>12</v>
      </c>
      <c r="E22" s="11">
        <v>477</v>
      </c>
      <c r="F22" s="6">
        <v>67</v>
      </c>
      <c r="G22" s="6">
        <v>102</v>
      </c>
      <c r="H22" s="6">
        <v>307</v>
      </c>
      <c r="I22" s="13">
        <v>476</v>
      </c>
      <c r="J22" s="6">
        <v>1</v>
      </c>
      <c r="K22" s="8">
        <v>0</v>
      </c>
    </row>
    <row r="23" spans="1:11" ht="17.25" customHeight="1" x14ac:dyDescent="0.25">
      <c r="A23" s="71"/>
      <c r="B23" s="86"/>
      <c r="C23" s="89"/>
      <c r="D23" s="6">
        <v>13</v>
      </c>
      <c r="E23" s="11">
        <v>476</v>
      </c>
      <c r="F23" s="6">
        <v>70</v>
      </c>
      <c r="G23" s="6">
        <v>100</v>
      </c>
      <c r="H23" s="6">
        <v>305</v>
      </c>
      <c r="I23" s="13">
        <v>475</v>
      </c>
      <c r="J23" s="6">
        <v>1</v>
      </c>
      <c r="K23" s="8">
        <v>0</v>
      </c>
    </row>
    <row r="24" spans="1:11" ht="17.25" customHeight="1" x14ac:dyDescent="0.25">
      <c r="A24" s="71"/>
      <c r="B24" s="86"/>
      <c r="C24" s="89"/>
      <c r="D24" s="6">
        <v>14</v>
      </c>
      <c r="E24" s="11">
        <v>490</v>
      </c>
      <c r="F24" s="6">
        <v>85</v>
      </c>
      <c r="G24" s="6">
        <v>112</v>
      </c>
      <c r="H24" s="6">
        <v>292</v>
      </c>
      <c r="I24" s="13">
        <v>489</v>
      </c>
      <c r="J24" s="6">
        <v>1</v>
      </c>
      <c r="K24" s="8">
        <v>0</v>
      </c>
    </row>
    <row r="25" spans="1:11" ht="17.25" customHeight="1" x14ac:dyDescent="0.25">
      <c r="A25" s="66"/>
      <c r="B25" s="87"/>
      <c r="C25" s="90"/>
      <c r="D25" s="6">
        <v>15</v>
      </c>
      <c r="E25" s="11">
        <v>476</v>
      </c>
      <c r="F25" s="6">
        <v>76</v>
      </c>
      <c r="G25" s="6">
        <v>98</v>
      </c>
      <c r="H25" s="6">
        <v>299</v>
      </c>
      <c r="I25" s="13">
        <v>473</v>
      </c>
      <c r="J25" s="6">
        <v>3</v>
      </c>
      <c r="K25" s="8">
        <v>0</v>
      </c>
    </row>
    <row r="26" spans="1:11" ht="30" customHeight="1" x14ac:dyDescent="0.25"/>
    <row r="27" spans="1:11" ht="342" customHeight="1" x14ac:dyDescent="0.25"/>
    <row r="28" spans="1:11" ht="342" customHeight="1" x14ac:dyDescent="0.25"/>
  </sheetData>
  <mergeCells count="16">
    <mergeCell ref="A5:A10"/>
    <mergeCell ref="B5:B10"/>
    <mergeCell ref="C5:C10"/>
    <mergeCell ref="A11:A25"/>
    <mergeCell ref="B11:B25"/>
    <mergeCell ref="C11:C25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7"/>
  <sheetViews>
    <sheetView topLeftCell="A5" workbookViewId="0">
      <selection activeCell="A5" sqref="A5:K24"/>
    </sheetView>
  </sheetViews>
  <sheetFormatPr defaultRowHeight="13.2" x14ac:dyDescent="0.25"/>
  <cols>
    <col min="1" max="1" width="6.21875" customWidth="1"/>
    <col min="2" max="2" width="19.5546875" customWidth="1"/>
    <col min="3" max="3" width="25.77734375" customWidth="1"/>
    <col min="4" max="4" width="10.21875" customWidth="1"/>
    <col min="5" max="5" width="12.88671875" customWidth="1"/>
    <col min="6" max="6" width="19.5546875" customWidth="1"/>
    <col min="7" max="7" width="19.33203125" customWidth="1"/>
    <col min="8" max="8" width="19.5546875" customWidth="1"/>
    <col min="9" max="9" width="13.109375" customWidth="1"/>
    <col min="10" max="11" width="12.88671875" customWidth="1"/>
  </cols>
  <sheetData>
    <row r="1" spans="1:11" ht="34.799999999999997" customHeight="1" x14ac:dyDescent="0.25">
      <c r="A1" s="37" t="s">
        <v>129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8" customHeight="1" x14ac:dyDescent="0.25">
      <c r="A2" s="40" t="s">
        <v>1</v>
      </c>
      <c r="B2" s="43" t="s">
        <v>2</v>
      </c>
      <c r="C2" s="43" t="s">
        <v>3</v>
      </c>
      <c r="D2" s="46" t="s">
        <v>4</v>
      </c>
      <c r="E2" s="49" t="s">
        <v>5</v>
      </c>
      <c r="F2" s="52" t="s">
        <v>6</v>
      </c>
      <c r="G2" s="53"/>
      <c r="H2" s="53"/>
      <c r="I2" s="54"/>
      <c r="J2" s="55" t="s">
        <v>7</v>
      </c>
      <c r="K2" s="49" t="s">
        <v>8</v>
      </c>
    </row>
    <row r="3" spans="1:11" ht="29.7" customHeight="1" x14ac:dyDescent="0.25">
      <c r="A3" s="41"/>
      <c r="B3" s="44"/>
      <c r="C3" s="44"/>
      <c r="D3" s="47"/>
      <c r="E3" s="50"/>
      <c r="F3" s="1" t="s">
        <v>9</v>
      </c>
      <c r="G3" s="1" t="s">
        <v>10</v>
      </c>
      <c r="H3" s="1" t="s">
        <v>11</v>
      </c>
      <c r="I3" s="58" t="s">
        <v>12</v>
      </c>
      <c r="J3" s="56"/>
      <c r="K3" s="50"/>
    </row>
    <row r="4" spans="1:11" ht="28.2" customHeight="1" x14ac:dyDescent="0.25">
      <c r="A4" s="42"/>
      <c r="B4" s="45"/>
      <c r="C4" s="45"/>
      <c r="D4" s="48"/>
      <c r="E4" s="51"/>
      <c r="F4" s="2"/>
      <c r="G4" s="2"/>
      <c r="H4" s="2"/>
      <c r="I4" s="59"/>
      <c r="J4" s="57"/>
      <c r="K4" s="51"/>
    </row>
    <row r="5" spans="1:11" ht="17.25" customHeight="1" x14ac:dyDescent="0.25">
      <c r="A5" s="65">
        <v>40</v>
      </c>
      <c r="B5" s="85" t="s">
        <v>127</v>
      </c>
      <c r="C5" s="88" t="s">
        <v>128</v>
      </c>
      <c r="D5" s="6">
        <v>16</v>
      </c>
      <c r="E5" s="6">
        <v>500</v>
      </c>
      <c r="F5" s="6">
        <v>91</v>
      </c>
      <c r="G5" s="6">
        <v>108</v>
      </c>
      <c r="H5" s="6">
        <v>298</v>
      </c>
      <c r="I5" s="8">
        <v>497</v>
      </c>
      <c r="J5" s="6">
        <v>3</v>
      </c>
      <c r="K5" s="8">
        <v>0</v>
      </c>
    </row>
    <row r="6" spans="1:11" ht="17.25" customHeight="1" x14ac:dyDescent="0.25">
      <c r="A6" s="71"/>
      <c r="B6" s="86"/>
      <c r="C6" s="89"/>
      <c r="D6" s="6">
        <v>17</v>
      </c>
      <c r="E6" s="6">
        <v>490</v>
      </c>
      <c r="F6" s="6">
        <v>73</v>
      </c>
      <c r="G6" s="6">
        <v>112</v>
      </c>
      <c r="H6" s="6">
        <v>304</v>
      </c>
      <c r="I6" s="8">
        <v>489</v>
      </c>
      <c r="J6" s="6">
        <v>1</v>
      </c>
      <c r="K6" s="8">
        <v>0</v>
      </c>
    </row>
    <row r="7" spans="1:11" ht="17.25" customHeight="1" x14ac:dyDescent="0.25">
      <c r="A7" s="71"/>
      <c r="B7" s="86"/>
      <c r="C7" s="89"/>
      <c r="D7" s="6">
        <v>18</v>
      </c>
      <c r="E7" s="6">
        <v>536</v>
      </c>
      <c r="F7" s="6">
        <v>77</v>
      </c>
      <c r="G7" s="6">
        <v>113</v>
      </c>
      <c r="H7" s="6">
        <v>339</v>
      </c>
      <c r="I7" s="8">
        <v>529</v>
      </c>
      <c r="J7" s="6">
        <v>7</v>
      </c>
      <c r="K7" s="8">
        <v>0</v>
      </c>
    </row>
    <row r="8" spans="1:11" ht="17.25" customHeight="1" x14ac:dyDescent="0.25">
      <c r="A8" s="71"/>
      <c r="B8" s="86"/>
      <c r="C8" s="89"/>
      <c r="D8" s="6">
        <v>19</v>
      </c>
      <c r="E8" s="6">
        <v>545</v>
      </c>
      <c r="F8" s="6">
        <v>87</v>
      </c>
      <c r="G8" s="6">
        <v>105</v>
      </c>
      <c r="H8" s="6">
        <v>351</v>
      </c>
      <c r="I8" s="8">
        <v>543</v>
      </c>
      <c r="J8" s="6">
        <v>2</v>
      </c>
      <c r="K8" s="8">
        <v>0</v>
      </c>
    </row>
    <row r="9" spans="1:11" ht="17.25" customHeight="1" x14ac:dyDescent="0.25">
      <c r="A9" s="71"/>
      <c r="B9" s="86"/>
      <c r="C9" s="89"/>
      <c r="D9" s="6">
        <v>20</v>
      </c>
      <c r="E9" s="6">
        <v>545</v>
      </c>
      <c r="F9" s="6">
        <v>75</v>
      </c>
      <c r="G9" s="6">
        <v>103</v>
      </c>
      <c r="H9" s="6">
        <v>361</v>
      </c>
      <c r="I9" s="8">
        <v>539</v>
      </c>
      <c r="J9" s="6">
        <v>6</v>
      </c>
      <c r="K9" s="8">
        <v>0</v>
      </c>
    </row>
    <row r="10" spans="1:11" ht="17.25" customHeight="1" x14ac:dyDescent="0.25">
      <c r="A10" s="71"/>
      <c r="B10" s="86"/>
      <c r="C10" s="89"/>
      <c r="D10" s="6">
        <v>21</v>
      </c>
      <c r="E10" s="6">
        <v>543</v>
      </c>
      <c r="F10" s="6">
        <v>76</v>
      </c>
      <c r="G10" s="6">
        <v>102</v>
      </c>
      <c r="H10" s="6">
        <v>361</v>
      </c>
      <c r="I10" s="8">
        <v>539</v>
      </c>
      <c r="J10" s="6">
        <v>4</v>
      </c>
      <c r="K10" s="8">
        <v>0</v>
      </c>
    </row>
    <row r="11" spans="1:11" ht="17.25" customHeight="1" x14ac:dyDescent="0.25">
      <c r="A11" s="71"/>
      <c r="B11" s="86"/>
      <c r="C11" s="90"/>
      <c r="D11" s="6">
        <v>22</v>
      </c>
      <c r="E11" s="6">
        <v>568</v>
      </c>
      <c r="F11" s="6">
        <v>72</v>
      </c>
      <c r="G11" s="6">
        <v>116</v>
      </c>
      <c r="H11" s="6">
        <v>374</v>
      </c>
      <c r="I11" s="8">
        <v>562</v>
      </c>
      <c r="J11" s="6">
        <v>6</v>
      </c>
      <c r="K11" s="8">
        <v>0</v>
      </c>
    </row>
    <row r="12" spans="1:11" ht="17.25" customHeight="1" x14ac:dyDescent="0.25">
      <c r="A12" s="71"/>
      <c r="B12" s="86"/>
      <c r="C12" s="88" t="s">
        <v>130</v>
      </c>
      <c r="D12" s="6">
        <v>1</v>
      </c>
      <c r="E12" s="6">
        <v>285</v>
      </c>
      <c r="F12" s="6">
        <v>41</v>
      </c>
      <c r="G12" s="6">
        <v>11</v>
      </c>
      <c r="H12" s="6">
        <v>230</v>
      </c>
      <c r="I12" s="8">
        <v>282</v>
      </c>
      <c r="J12" s="6">
        <v>3</v>
      </c>
      <c r="K12" s="8">
        <v>0</v>
      </c>
    </row>
    <row r="13" spans="1:11" ht="17.25" customHeight="1" x14ac:dyDescent="0.25">
      <c r="A13" s="71"/>
      <c r="B13" s="86"/>
      <c r="C13" s="89"/>
      <c r="D13" s="6">
        <v>2</v>
      </c>
      <c r="E13" s="6">
        <v>303</v>
      </c>
      <c r="F13" s="6">
        <v>18</v>
      </c>
      <c r="G13" s="6">
        <v>11</v>
      </c>
      <c r="H13" s="6">
        <v>271</v>
      </c>
      <c r="I13" s="8">
        <v>300</v>
      </c>
      <c r="J13" s="6">
        <v>3</v>
      </c>
      <c r="K13" s="8">
        <v>0</v>
      </c>
    </row>
    <row r="14" spans="1:11" ht="17.25" customHeight="1" x14ac:dyDescent="0.25">
      <c r="A14" s="71"/>
      <c r="B14" s="86"/>
      <c r="C14" s="89"/>
      <c r="D14" s="6">
        <v>3</v>
      </c>
      <c r="E14" s="6">
        <v>291</v>
      </c>
      <c r="F14" s="6">
        <v>14</v>
      </c>
      <c r="G14" s="6">
        <v>9</v>
      </c>
      <c r="H14" s="6">
        <v>268</v>
      </c>
      <c r="I14" s="8">
        <v>291</v>
      </c>
      <c r="J14" s="6">
        <v>0</v>
      </c>
      <c r="K14" s="8">
        <v>0</v>
      </c>
    </row>
    <row r="15" spans="1:11" ht="17.25" customHeight="1" x14ac:dyDescent="0.25">
      <c r="A15" s="71"/>
      <c r="B15" s="86"/>
      <c r="C15" s="89"/>
      <c r="D15" s="6">
        <v>4</v>
      </c>
      <c r="E15" s="6">
        <v>276</v>
      </c>
      <c r="F15" s="6">
        <v>20</v>
      </c>
      <c r="G15" s="6">
        <v>13</v>
      </c>
      <c r="H15" s="6">
        <v>243</v>
      </c>
      <c r="I15" s="8">
        <v>276</v>
      </c>
      <c r="J15" s="6">
        <v>0</v>
      </c>
      <c r="K15" s="8">
        <v>0</v>
      </c>
    </row>
    <row r="16" spans="1:11" ht="17.25" customHeight="1" x14ac:dyDescent="0.25">
      <c r="A16" s="71"/>
      <c r="B16" s="86"/>
      <c r="C16" s="89"/>
      <c r="D16" s="6">
        <v>5</v>
      </c>
      <c r="E16" s="6">
        <v>442</v>
      </c>
      <c r="F16" s="6">
        <v>23</v>
      </c>
      <c r="G16" s="6">
        <v>21</v>
      </c>
      <c r="H16" s="6">
        <v>397</v>
      </c>
      <c r="I16" s="8">
        <v>441</v>
      </c>
      <c r="J16" s="6">
        <v>1</v>
      </c>
      <c r="K16" s="8">
        <v>0</v>
      </c>
    </row>
    <row r="17" spans="1:11" ht="17.25" customHeight="1" x14ac:dyDescent="0.25">
      <c r="A17" s="71"/>
      <c r="B17" s="86"/>
      <c r="C17" s="90"/>
      <c r="D17" s="6">
        <v>6</v>
      </c>
      <c r="E17" s="6">
        <v>464</v>
      </c>
      <c r="F17" s="6">
        <v>23</v>
      </c>
      <c r="G17" s="6">
        <v>16</v>
      </c>
      <c r="H17" s="6">
        <v>423</v>
      </c>
      <c r="I17" s="8">
        <v>462</v>
      </c>
      <c r="J17" s="6">
        <v>2</v>
      </c>
      <c r="K17" s="8">
        <v>0</v>
      </c>
    </row>
    <row r="18" spans="1:11" ht="17.25" customHeight="1" x14ac:dyDescent="0.25">
      <c r="A18" s="71"/>
      <c r="B18" s="86"/>
      <c r="C18" s="82" t="s">
        <v>131</v>
      </c>
      <c r="D18" s="6">
        <v>1</v>
      </c>
      <c r="E18" s="6">
        <v>265</v>
      </c>
      <c r="F18" s="6">
        <v>68</v>
      </c>
      <c r="G18" s="6">
        <v>25</v>
      </c>
      <c r="H18" s="6">
        <v>158</v>
      </c>
      <c r="I18" s="8">
        <v>251</v>
      </c>
      <c r="J18" s="14">
        <v>14</v>
      </c>
      <c r="K18" s="8">
        <v>0</v>
      </c>
    </row>
    <row r="19" spans="1:11" ht="17.25" customHeight="1" x14ac:dyDescent="0.25">
      <c r="A19" s="71"/>
      <c r="B19" s="86"/>
      <c r="C19" s="83"/>
      <c r="D19" s="6">
        <v>2</v>
      </c>
      <c r="E19" s="6">
        <v>309</v>
      </c>
      <c r="F19" s="6">
        <v>45</v>
      </c>
      <c r="G19" s="6">
        <v>34</v>
      </c>
      <c r="H19" s="6">
        <v>222</v>
      </c>
      <c r="I19" s="8">
        <v>301</v>
      </c>
      <c r="J19" s="6">
        <v>8</v>
      </c>
      <c r="K19" s="8">
        <v>0</v>
      </c>
    </row>
    <row r="20" spans="1:11" ht="17.25" customHeight="1" x14ac:dyDescent="0.25">
      <c r="A20" s="71"/>
      <c r="B20" s="86"/>
      <c r="C20" s="83"/>
      <c r="D20" s="6">
        <v>3</v>
      </c>
      <c r="E20" s="6">
        <v>282</v>
      </c>
      <c r="F20" s="6">
        <v>31</v>
      </c>
      <c r="G20" s="6">
        <v>33</v>
      </c>
      <c r="H20" s="6">
        <v>217</v>
      </c>
      <c r="I20" s="8">
        <v>281</v>
      </c>
      <c r="J20" s="6">
        <v>1</v>
      </c>
      <c r="K20" s="8">
        <v>0</v>
      </c>
    </row>
    <row r="21" spans="1:11" ht="17.25" customHeight="1" x14ac:dyDescent="0.25">
      <c r="A21" s="71"/>
      <c r="B21" s="86"/>
      <c r="C21" s="83"/>
      <c r="D21" s="6">
        <v>4</v>
      </c>
      <c r="E21" s="6">
        <v>532</v>
      </c>
      <c r="F21" s="6">
        <v>80</v>
      </c>
      <c r="G21" s="6">
        <v>53</v>
      </c>
      <c r="H21" s="6">
        <v>398</v>
      </c>
      <c r="I21" s="8">
        <v>531</v>
      </c>
      <c r="J21" s="6">
        <v>1</v>
      </c>
      <c r="K21" s="8">
        <v>0</v>
      </c>
    </row>
    <row r="22" spans="1:11" ht="17.25" customHeight="1" x14ac:dyDescent="0.25">
      <c r="A22" s="71"/>
      <c r="B22" s="86"/>
      <c r="C22" s="83"/>
      <c r="D22" s="6">
        <v>5</v>
      </c>
      <c r="E22" s="6">
        <v>538</v>
      </c>
      <c r="F22" s="6">
        <v>75</v>
      </c>
      <c r="G22" s="6">
        <v>95</v>
      </c>
      <c r="H22" s="6">
        <v>363</v>
      </c>
      <c r="I22" s="8">
        <v>533</v>
      </c>
      <c r="J22" s="6">
        <v>5</v>
      </c>
      <c r="K22" s="8">
        <v>0</v>
      </c>
    </row>
    <row r="23" spans="1:11" ht="17.25" customHeight="1" x14ac:dyDescent="0.25">
      <c r="A23" s="66"/>
      <c r="B23" s="87"/>
      <c r="C23" s="84"/>
      <c r="D23" s="6">
        <v>6</v>
      </c>
      <c r="E23" s="6">
        <v>543</v>
      </c>
      <c r="F23" s="6">
        <v>88</v>
      </c>
      <c r="G23" s="6">
        <v>95</v>
      </c>
      <c r="H23" s="6">
        <v>351</v>
      </c>
      <c r="I23" s="8">
        <v>534</v>
      </c>
      <c r="J23" s="6">
        <v>9</v>
      </c>
      <c r="K23" s="8">
        <v>0</v>
      </c>
    </row>
    <row r="24" spans="1:11" ht="19.5" customHeight="1" x14ac:dyDescent="0.25">
      <c r="A24" s="97" t="s">
        <v>132</v>
      </c>
      <c r="B24" s="98"/>
      <c r="C24" s="99"/>
      <c r="D24" s="15">
        <v>317</v>
      </c>
      <c r="E24" s="16">
        <v>120928</v>
      </c>
      <c r="F24" s="16">
        <v>19447</v>
      </c>
      <c r="G24" s="16">
        <v>18810</v>
      </c>
      <c r="H24" s="16">
        <v>81434</v>
      </c>
      <c r="I24" s="16">
        <v>119691</v>
      </c>
      <c r="J24" s="17">
        <v>903</v>
      </c>
      <c r="K24" s="15">
        <v>334</v>
      </c>
    </row>
    <row r="25" spans="1:11" ht="30" customHeight="1" x14ac:dyDescent="0.25"/>
    <row r="26" spans="1:11" ht="310.05" customHeight="1" x14ac:dyDescent="0.25"/>
    <row r="27" spans="1:11" ht="310.05" customHeight="1" x14ac:dyDescent="0.25"/>
  </sheetData>
  <mergeCells count="16">
    <mergeCell ref="A24:C24"/>
    <mergeCell ref="A5:A23"/>
    <mergeCell ref="B5:B23"/>
    <mergeCell ref="C5:C11"/>
    <mergeCell ref="C12:C17"/>
    <mergeCell ref="C18:C23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RaceWorksheet</vt:lpstr>
      <vt:lpstr>P130Rasah</vt:lpstr>
      <vt:lpstr>N21BktKepayang</vt:lpstr>
      <vt:lpstr>N22Rahang</vt:lpstr>
      <vt:lpstr>N23Mambau</vt:lpstr>
      <vt:lpstr>N24SerembanJaya</vt:lpstr>
      <vt:lpstr>Race&amp;Age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 Ming Ong</cp:lastModifiedBy>
  <dcterms:created xsi:type="dcterms:W3CDTF">2023-01-24T06:47:05Z</dcterms:created>
  <dcterms:modified xsi:type="dcterms:W3CDTF">2023-11-30T02:52:31Z</dcterms:modified>
</cp:coreProperties>
</file>